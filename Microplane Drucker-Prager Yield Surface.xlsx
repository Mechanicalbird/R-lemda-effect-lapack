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bhedeg\Documents\University of Minnesota Duluth\FEM Youtube Series\Lesson 10 - Microplane\"/>
    </mc:Choice>
  </mc:AlternateContent>
  <xr:revisionPtr revIDLastSave="0" documentId="13_ncr:1_{40C70C9B-DBB4-4348-BE43-695DFE5169B8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psi" sheetId="4" r:id="rId1"/>
    <sheet name="MP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4" l="1"/>
  <c r="H29" i="5"/>
  <c r="E29" i="5"/>
  <c r="D29" i="5"/>
  <c r="F28" i="5"/>
  <c r="H28" i="5" s="1"/>
  <c r="J17" i="5"/>
  <c r="J20" i="5"/>
  <c r="E12" i="5"/>
  <c r="J15" i="5" l="1"/>
  <c r="M15" i="5" s="1"/>
  <c r="J11" i="5"/>
  <c r="J12" i="5" s="1"/>
  <c r="J21" i="5" s="1"/>
  <c r="J15" i="4"/>
  <c r="M15" i="4" s="1"/>
  <c r="J20" i="4"/>
  <c r="J11" i="4"/>
  <c r="J12" i="4" s="1"/>
  <c r="J22" i="5" l="1"/>
  <c r="J23" i="5" s="1"/>
  <c r="M21" i="5"/>
  <c r="M22" i="5" s="1"/>
  <c r="M23" i="5" s="1"/>
  <c r="J21" i="4"/>
  <c r="J22" i="4" s="1"/>
  <c r="J23" i="4" s="1"/>
  <c r="D120" i="4" s="1"/>
  <c r="D545" i="4" l="1"/>
  <c r="L1026" i="5"/>
  <c r="L1020" i="5"/>
  <c r="L1014" i="5"/>
  <c r="L1008" i="5"/>
  <c r="L1002" i="5"/>
  <c r="L996" i="5"/>
  <c r="L990" i="5"/>
  <c r="L984" i="5"/>
  <c r="L978" i="5"/>
  <c r="L972" i="5"/>
  <c r="L966" i="5"/>
  <c r="L960" i="5"/>
  <c r="L954" i="5"/>
  <c r="L948" i="5"/>
  <c r="L942" i="5"/>
  <c r="L936" i="5"/>
  <c r="L930" i="5"/>
  <c r="L1028" i="5"/>
  <c r="L1022" i="5"/>
  <c r="L1016" i="5"/>
  <c r="L1010" i="5"/>
  <c r="L1004" i="5"/>
  <c r="L998" i="5"/>
  <c r="L992" i="5"/>
  <c r="L986" i="5"/>
  <c r="L980" i="5"/>
  <c r="L974" i="5"/>
  <c r="L968" i="5"/>
  <c r="L1023" i="5"/>
  <c r="L1017" i="5"/>
  <c r="L1011" i="5"/>
  <c r="L1005" i="5"/>
  <c r="L999" i="5"/>
  <c r="L993" i="5"/>
  <c r="L987" i="5"/>
  <c r="L981" i="5"/>
  <c r="L975" i="5"/>
  <c r="L969" i="5"/>
  <c r="L963" i="5"/>
  <c r="L957" i="5"/>
  <c r="L951" i="5"/>
  <c r="L945" i="5"/>
  <c r="L1025" i="5"/>
  <c r="L1019" i="5"/>
  <c r="L1013" i="5"/>
  <c r="L947" i="5"/>
  <c r="L1015" i="5"/>
  <c r="L958" i="5"/>
  <c r="L941" i="5"/>
  <c r="L937" i="5"/>
  <c r="L923" i="5"/>
  <c r="L917" i="5"/>
  <c r="L911" i="5"/>
  <c r="L905" i="5"/>
  <c r="L899" i="5"/>
  <c r="L1021" i="5"/>
  <c r="L994" i="5"/>
  <c r="L976" i="5"/>
  <c r="L955" i="5"/>
  <c r="L933" i="5"/>
  <c r="L1027" i="5"/>
  <c r="L1003" i="5"/>
  <c r="L985" i="5"/>
  <c r="L967" i="5"/>
  <c r="L952" i="5"/>
  <c r="L1024" i="5"/>
  <c r="L995" i="5"/>
  <c r="L977" i="5"/>
  <c r="L950" i="5"/>
  <c r="L935" i="5"/>
  <c r="L931" i="5"/>
  <c r="L1018" i="5"/>
  <c r="L982" i="5"/>
  <c r="L973" i="5"/>
  <c r="L944" i="5"/>
  <c r="L898" i="5"/>
  <c r="L892" i="5"/>
  <c r="L886" i="5"/>
  <c r="L880" i="5"/>
  <c r="L874" i="5"/>
  <c r="L868" i="5"/>
  <c r="L862" i="5"/>
  <c r="L856" i="5"/>
  <c r="L850" i="5"/>
  <c r="L1012" i="5"/>
  <c r="L1000" i="5"/>
  <c r="L991" i="5"/>
  <c r="L1006" i="5"/>
  <c r="L953" i="5"/>
  <c r="L943" i="5"/>
  <c r="L927" i="5"/>
  <c r="L921" i="5"/>
  <c r="L918" i="5"/>
  <c r="L908" i="5"/>
  <c r="L904" i="5"/>
  <c r="L900" i="5"/>
  <c r="L965" i="5"/>
  <c r="L934" i="5"/>
  <c r="L895" i="5"/>
  <c r="L889" i="5"/>
  <c r="L883" i="5"/>
  <c r="L877" i="5"/>
  <c r="L871" i="5"/>
  <c r="L865" i="5"/>
  <c r="L940" i="5"/>
  <c r="L922" i="5"/>
  <c r="L919" i="5"/>
  <c r="L1009" i="5"/>
  <c r="L1001" i="5"/>
  <c r="L989" i="5"/>
  <c r="L997" i="5"/>
  <c r="L983" i="5"/>
  <c r="L925" i="5"/>
  <c r="L915" i="5"/>
  <c r="L903" i="5"/>
  <c r="L893" i="5"/>
  <c r="L885" i="5"/>
  <c r="L870" i="5"/>
  <c r="L847" i="5"/>
  <c r="L841" i="5"/>
  <c r="L988" i="5"/>
  <c r="L970" i="5"/>
  <c r="L914" i="5"/>
  <c r="L894" i="5"/>
  <c r="L878" i="5"/>
  <c r="L853" i="5"/>
  <c r="L956" i="5"/>
  <c r="L897" i="5"/>
  <c r="L881" i="5"/>
  <c r="L875" i="5"/>
  <c r="L849" i="5"/>
  <c r="L844" i="5"/>
  <c r="L939" i="5"/>
  <c r="L1007" i="5"/>
  <c r="L979" i="5"/>
  <c r="L959" i="5"/>
  <c r="L913" i="5"/>
  <c r="L887" i="5"/>
  <c r="L879" i="5"/>
  <c r="L866" i="5"/>
  <c r="L928" i="5"/>
  <c r="L920" i="5"/>
  <c r="L882" i="5"/>
  <c r="L873" i="5"/>
  <c r="L855" i="5"/>
  <c r="L851" i="5"/>
  <c r="L946" i="5"/>
  <c r="L916" i="5"/>
  <c r="L891" i="5"/>
  <c r="L858" i="5"/>
  <c r="L854" i="5"/>
  <c r="L852" i="5"/>
  <c r="L838" i="5"/>
  <c r="L825" i="5"/>
  <c r="L819" i="5"/>
  <c r="L813" i="5"/>
  <c r="L807" i="5"/>
  <c r="L801" i="5"/>
  <c r="L795" i="5"/>
  <c r="L789" i="5"/>
  <c r="L783" i="5"/>
  <c r="L777" i="5"/>
  <c r="L771" i="5"/>
  <c r="L765" i="5"/>
  <c r="L759" i="5"/>
  <c r="L753" i="5"/>
  <c r="L747" i="5"/>
  <c r="L741" i="5"/>
  <c r="L735" i="5"/>
  <c r="L729" i="5"/>
  <c r="L723" i="5"/>
  <c r="L929" i="5"/>
  <c r="L902" i="5"/>
  <c r="L896" i="5"/>
  <c r="L888" i="5"/>
  <c r="L860" i="5"/>
  <c r="L848" i="5"/>
  <c r="L834" i="5"/>
  <c r="L924" i="5"/>
  <c r="L901" i="5"/>
  <c r="L890" i="5"/>
  <c r="L842" i="5"/>
  <c r="L835" i="5"/>
  <c r="L821" i="5"/>
  <c r="L815" i="5"/>
  <c r="L809" i="5"/>
  <c r="L803" i="5"/>
  <c r="L797" i="5"/>
  <c r="L791" i="5"/>
  <c r="L785" i="5"/>
  <c r="L779" i="5"/>
  <c r="L773" i="5"/>
  <c r="L767" i="5"/>
  <c r="L761" i="5"/>
  <c r="L755" i="5"/>
  <c r="L749" i="5"/>
  <c r="L962" i="5"/>
  <c r="L907" i="5"/>
  <c r="L869" i="5"/>
  <c r="L864" i="5"/>
  <c r="L831" i="5"/>
  <c r="L827" i="5"/>
  <c r="L910" i="5"/>
  <c r="L884" i="5"/>
  <c r="L857" i="5"/>
  <c r="L822" i="5"/>
  <c r="L816" i="5"/>
  <c r="L810" i="5"/>
  <c r="L804" i="5"/>
  <c r="L798" i="5"/>
  <c r="L792" i="5"/>
  <c r="L786" i="5"/>
  <c r="L780" i="5"/>
  <c r="L774" i="5"/>
  <c r="L768" i="5"/>
  <c r="L762" i="5"/>
  <c r="L756" i="5"/>
  <c r="L750" i="5"/>
  <c r="L744" i="5"/>
  <c r="L738" i="5"/>
  <c r="L732" i="5"/>
  <c r="L726" i="5"/>
  <c r="L961" i="5"/>
  <c r="L932" i="5"/>
  <c r="L876" i="5"/>
  <c r="L859" i="5"/>
  <c r="L840" i="5"/>
  <c r="L949" i="5"/>
  <c r="L926" i="5"/>
  <c r="L938" i="5"/>
  <c r="L909" i="5"/>
  <c r="L863" i="5"/>
  <c r="L843" i="5"/>
  <c r="L837" i="5"/>
  <c r="L833" i="5"/>
  <c r="L824" i="5"/>
  <c r="L818" i="5"/>
  <c r="L812" i="5"/>
  <c r="L806" i="5"/>
  <c r="L800" i="5"/>
  <c r="L794" i="5"/>
  <c r="L788" i="5"/>
  <c r="L845" i="5"/>
  <c r="L828" i="5"/>
  <c r="L799" i="5"/>
  <c r="L781" i="5"/>
  <c r="L763" i="5"/>
  <c r="L743" i="5"/>
  <c r="L730" i="5"/>
  <c r="L971" i="5"/>
  <c r="L817" i="5"/>
  <c r="L734" i="5"/>
  <c r="L912" i="5"/>
  <c r="L823" i="5"/>
  <c r="L775" i="5"/>
  <c r="L757" i="5"/>
  <c r="L731" i="5"/>
  <c r="L720" i="5"/>
  <c r="L714" i="5"/>
  <c r="L964" i="5"/>
  <c r="L790" i="5"/>
  <c r="L784" i="5"/>
  <c r="L766" i="5"/>
  <c r="L728" i="5"/>
  <c r="L796" i="5"/>
  <c r="L782" i="5"/>
  <c r="L764" i="5"/>
  <c r="L867" i="5"/>
  <c r="L906" i="5"/>
  <c r="L861" i="5"/>
  <c r="L814" i="5"/>
  <c r="L778" i="5"/>
  <c r="L760" i="5"/>
  <c r="L826" i="5"/>
  <c r="L793" i="5"/>
  <c r="L746" i="5"/>
  <c r="L769" i="5"/>
  <c r="L752" i="5"/>
  <c r="L709" i="5"/>
  <c r="L703" i="5"/>
  <c r="L697" i="5"/>
  <c r="L691" i="5"/>
  <c r="L685" i="5"/>
  <c r="L679" i="5"/>
  <c r="L673" i="5"/>
  <c r="L667" i="5"/>
  <c r="L661" i="5"/>
  <c r="L655" i="5"/>
  <c r="L649" i="5"/>
  <c r="L643" i="5"/>
  <c r="L637" i="5"/>
  <c r="L631" i="5"/>
  <c r="L625" i="5"/>
  <c r="L619" i="5"/>
  <c r="L613" i="5"/>
  <c r="L607" i="5"/>
  <c r="L601" i="5"/>
  <c r="L595" i="5"/>
  <c r="L589" i="5"/>
  <c r="L583" i="5"/>
  <c r="L577" i="5"/>
  <c r="L571" i="5"/>
  <c r="L565" i="5"/>
  <c r="L559" i="5"/>
  <c r="L811" i="5"/>
  <c r="L733" i="5"/>
  <c r="L717" i="5"/>
  <c r="L839" i="5"/>
  <c r="L751" i="5"/>
  <c r="L710" i="5"/>
  <c r="L704" i="5"/>
  <c r="L698" i="5"/>
  <c r="L692" i="5"/>
  <c r="L820" i="5"/>
  <c r="L805" i="5"/>
  <c r="L740" i="5"/>
  <c r="L830" i="5"/>
  <c r="L772" i="5"/>
  <c r="L725" i="5"/>
  <c r="L711" i="5"/>
  <c r="L705" i="5"/>
  <c r="L699" i="5"/>
  <c r="L693" i="5"/>
  <c r="L687" i="5"/>
  <c r="L681" i="5"/>
  <c r="L675" i="5"/>
  <c r="L669" i="5"/>
  <c r="L663" i="5"/>
  <c r="L657" i="5"/>
  <c r="L651" i="5"/>
  <c r="L645" i="5"/>
  <c r="L639" i="5"/>
  <c r="L633" i="5"/>
  <c r="L627" i="5"/>
  <c r="L621" i="5"/>
  <c r="L615" i="5"/>
  <c r="L609" i="5"/>
  <c r="L603" i="5"/>
  <c r="L597" i="5"/>
  <c r="L591" i="5"/>
  <c r="L836" i="5"/>
  <c r="L829" i="5"/>
  <c r="L776" i="5"/>
  <c r="L872" i="5"/>
  <c r="L754" i="5"/>
  <c r="L737" i="5"/>
  <c r="L727" i="5"/>
  <c r="L721" i="5"/>
  <c r="L718" i="5"/>
  <c r="L712" i="5"/>
  <c r="L706" i="5"/>
  <c r="L700" i="5"/>
  <c r="L694" i="5"/>
  <c r="L688" i="5"/>
  <c r="L682" i="5"/>
  <c r="L676" i="5"/>
  <c r="L670" i="5"/>
  <c r="L664" i="5"/>
  <c r="L658" i="5"/>
  <c r="L652" i="5"/>
  <c r="L646" i="5"/>
  <c r="L640" i="5"/>
  <c r="L634" i="5"/>
  <c r="L628" i="5"/>
  <c r="L622" i="5"/>
  <c r="L616" i="5"/>
  <c r="L610" i="5"/>
  <c r="L604" i="5"/>
  <c r="L598" i="5"/>
  <c r="L592" i="5"/>
  <c r="L586" i="5"/>
  <c r="L580" i="5"/>
  <c r="L574" i="5"/>
  <c r="L568" i="5"/>
  <c r="L562" i="5"/>
  <c r="L758" i="5"/>
  <c r="L739" i="5"/>
  <c r="L808" i="5"/>
  <c r="L742" i="5"/>
  <c r="L716" i="5"/>
  <c r="L713" i="5"/>
  <c r="L707" i="5"/>
  <c r="L701" i="5"/>
  <c r="L695" i="5"/>
  <c r="L846" i="5"/>
  <c r="L745" i="5"/>
  <c r="L802" i="5"/>
  <c r="L770" i="5"/>
  <c r="L736" i="5"/>
  <c r="L708" i="5"/>
  <c r="L702" i="5"/>
  <c r="L696" i="5"/>
  <c r="L690" i="5"/>
  <c r="L684" i="5"/>
  <c r="L678" i="5"/>
  <c r="L672" i="5"/>
  <c r="L666" i="5"/>
  <c r="L660" i="5"/>
  <c r="L654" i="5"/>
  <c r="L648" i="5"/>
  <c r="L642" i="5"/>
  <c r="L636" i="5"/>
  <c r="L630" i="5"/>
  <c r="L624" i="5"/>
  <c r="L618" i="5"/>
  <c r="L612" i="5"/>
  <c r="L606" i="5"/>
  <c r="L787" i="5"/>
  <c r="L644" i="5"/>
  <c r="L611" i="5"/>
  <c r="L596" i="5"/>
  <c r="L587" i="5"/>
  <c r="L584" i="5"/>
  <c r="L561" i="5"/>
  <c r="L719" i="5"/>
  <c r="L689" i="5"/>
  <c r="L686" i="5"/>
  <c r="L683" i="5"/>
  <c r="L680" i="5"/>
  <c r="L677" i="5"/>
  <c r="L656" i="5"/>
  <c r="L832" i="5"/>
  <c r="L641" i="5"/>
  <c r="L588" i="5"/>
  <c r="L582" i="5"/>
  <c r="L569" i="5"/>
  <c r="L555" i="5"/>
  <c r="L549" i="5"/>
  <c r="L543" i="5"/>
  <c r="L537" i="5"/>
  <c r="L724" i="5"/>
  <c r="L647" i="5"/>
  <c r="L608" i="5"/>
  <c r="L579" i="5"/>
  <c r="L566" i="5"/>
  <c r="L722" i="5"/>
  <c r="L715" i="5"/>
  <c r="L748" i="5"/>
  <c r="L638" i="5"/>
  <c r="L605" i="5"/>
  <c r="L564" i="5"/>
  <c r="L552" i="5"/>
  <c r="L659" i="5"/>
  <c r="L548" i="5"/>
  <c r="L674" i="5"/>
  <c r="L590" i="5"/>
  <c r="L585" i="5"/>
  <c r="L572" i="5"/>
  <c r="L545" i="5"/>
  <c r="L531" i="5"/>
  <c r="L525" i="5"/>
  <c r="L519" i="5"/>
  <c r="L513" i="5"/>
  <c r="L507" i="5"/>
  <c r="L600" i="5"/>
  <c r="L546" i="5"/>
  <c r="L567" i="5"/>
  <c r="L553" i="5"/>
  <c r="L671" i="5"/>
  <c r="L623" i="5"/>
  <c r="L620" i="5"/>
  <c r="L602" i="5"/>
  <c r="L573" i="5"/>
  <c r="L560" i="5"/>
  <c r="L547" i="5"/>
  <c r="L593" i="5"/>
  <c r="L581" i="5"/>
  <c r="L551" i="5"/>
  <c r="L650" i="5"/>
  <c r="L570" i="5"/>
  <c r="L557" i="5"/>
  <c r="L542" i="5"/>
  <c r="L530" i="5"/>
  <c r="L527" i="5"/>
  <c r="L668" i="5"/>
  <c r="L578" i="5"/>
  <c r="L534" i="5"/>
  <c r="L515" i="5"/>
  <c r="L502" i="5"/>
  <c r="L496" i="5"/>
  <c r="L490" i="5"/>
  <c r="L484" i="5"/>
  <c r="L478" i="5"/>
  <c r="L472" i="5"/>
  <c r="L466" i="5"/>
  <c r="L460" i="5"/>
  <c r="L454" i="5"/>
  <c r="L632" i="5"/>
  <c r="L516" i="5"/>
  <c r="L538" i="5"/>
  <c r="L535" i="5"/>
  <c r="L576" i="5"/>
  <c r="L563" i="5"/>
  <c r="L532" i="5"/>
  <c r="L662" i="5"/>
  <c r="L653" i="5"/>
  <c r="L541" i="5"/>
  <c r="L529" i="5"/>
  <c r="L517" i="5"/>
  <c r="L499" i="5"/>
  <c r="L493" i="5"/>
  <c r="L487" i="5"/>
  <c r="L481" i="5"/>
  <c r="L475" i="5"/>
  <c r="L469" i="5"/>
  <c r="L635" i="5"/>
  <c r="L554" i="5"/>
  <c r="L539" i="5"/>
  <c r="L536" i="5"/>
  <c r="L518" i="5"/>
  <c r="L514" i="5"/>
  <c r="L614" i="5"/>
  <c r="L556" i="5"/>
  <c r="L511" i="5"/>
  <c r="L509" i="5"/>
  <c r="L464" i="5"/>
  <c r="L458" i="5"/>
  <c r="L449" i="5"/>
  <c r="L528" i="5"/>
  <c r="L524" i="5"/>
  <c r="L505" i="5"/>
  <c r="L503" i="5"/>
  <c r="L494" i="5"/>
  <c r="L485" i="5"/>
  <c r="L476" i="5"/>
  <c r="L467" i="5"/>
  <c r="L594" i="5"/>
  <c r="L521" i="5"/>
  <c r="L501" i="5"/>
  <c r="L492" i="5"/>
  <c r="L483" i="5"/>
  <c r="L474" i="5"/>
  <c r="L462" i="5"/>
  <c r="L450" i="5"/>
  <c r="L444" i="5"/>
  <c r="L438" i="5"/>
  <c r="L432" i="5"/>
  <c r="L426" i="5"/>
  <c r="L420" i="5"/>
  <c r="L414" i="5"/>
  <c r="L408" i="5"/>
  <c r="L402" i="5"/>
  <c r="L396" i="5"/>
  <c r="L390" i="5"/>
  <c r="L384" i="5"/>
  <c r="L378" i="5"/>
  <c r="L372" i="5"/>
  <c r="L366" i="5"/>
  <c r="L360" i="5"/>
  <c r="L354" i="5"/>
  <c r="L348" i="5"/>
  <c r="L342" i="5"/>
  <c r="L336" i="5"/>
  <c r="L330" i="5"/>
  <c r="L324" i="5"/>
  <c r="L318" i="5"/>
  <c r="L629" i="5"/>
  <c r="L626" i="5"/>
  <c r="L540" i="5"/>
  <c r="L523" i="5"/>
  <c r="L497" i="5"/>
  <c r="L488" i="5"/>
  <c r="L479" i="5"/>
  <c r="L470" i="5"/>
  <c r="L544" i="5"/>
  <c r="L526" i="5"/>
  <c r="L512" i="5"/>
  <c r="L510" i="5"/>
  <c r="L508" i="5"/>
  <c r="L495" i="5"/>
  <c r="L486" i="5"/>
  <c r="L477" i="5"/>
  <c r="L468" i="5"/>
  <c r="L456" i="5"/>
  <c r="L575" i="5"/>
  <c r="L520" i="5"/>
  <c r="L506" i="5"/>
  <c r="L504" i="5"/>
  <c r="L463" i="5"/>
  <c r="L452" i="5"/>
  <c r="L550" i="5"/>
  <c r="L447" i="5"/>
  <c r="L441" i="5"/>
  <c r="L435" i="5"/>
  <c r="L429" i="5"/>
  <c r="L423" i="5"/>
  <c r="L417" i="5"/>
  <c r="L411" i="5"/>
  <c r="L405" i="5"/>
  <c r="L399" i="5"/>
  <c r="L393" i="5"/>
  <c r="L387" i="5"/>
  <c r="L381" i="5"/>
  <c r="L375" i="5"/>
  <c r="L369" i="5"/>
  <c r="L363" i="5"/>
  <c r="L357" i="5"/>
  <c r="L351" i="5"/>
  <c r="L345" i="5"/>
  <c r="L339" i="5"/>
  <c r="L333" i="5"/>
  <c r="L327" i="5"/>
  <c r="L321" i="5"/>
  <c r="L315" i="5"/>
  <c r="L665" i="5"/>
  <c r="L500" i="5"/>
  <c r="L491" i="5"/>
  <c r="L482" i="5"/>
  <c r="L617" i="5"/>
  <c r="L558" i="5"/>
  <c r="L522" i="5"/>
  <c r="L498" i="5"/>
  <c r="L489" i="5"/>
  <c r="L480" i="5"/>
  <c r="L599" i="5"/>
  <c r="L533" i="5"/>
  <c r="L461" i="5"/>
  <c r="L445" i="5"/>
  <c r="L436" i="5"/>
  <c r="L427" i="5"/>
  <c r="L418" i="5"/>
  <c r="L409" i="5"/>
  <c r="L400" i="5"/>
  <c r="L391" i="5"/>
  <c r="L382" i="5"/>
  <c r="L373" i="5"/>
  <c r="L364" i="5"/>
  <c r="L355" i="5"/>
  <c r="L346" i="5"/>
  <c r="L337" i="5"/>
  <c r="L328" i="5"/>
  <c r="L319" i="5"/>
  <c r="L312" i="5"/>
  <c r="L306" i="5"/>
  <c r="L443" i="5"/>
  <c r="L434" i="5"/>
  <c r="L425" i="5"/>
  <c r="L416" i="5"/>
  <c r="L407" i="5"/>
  <c r="L398" i="5"/>
  <c r="L389" i="5"/>
  <c r="L380" i="5"/>
  <c r="L371" i="5"/>
  <c r="L362" i="5"/>
  <c r="L353" i="5"/>
  <c r="L344" i="5"/>
  <c r="L335" i="5"/>
  <c r="L326" i="5"/>
  <c r="L317" i="5"/>
  <c r="L473" i="5"/>
  <c r="L457" i="5"/>
  <c r="L453" i="5"/>
  <c r="L439" i="5"/>
  <c r="L430" i="5"/>
  <c r="L421" i="5"/>
  <c r="L412" i="5"/>
  <c r="L403" i="5"/>
  <c r="L394" i="5"/>
  <c r="L385" i="5"/>
  <c r="L376" i="5"/>
  <c r="L367" i="5"/>
  <c r="L358" i="5"/>
  <c r="L349" i="5"/>
  <c r="L340" i="5"/>
  <c r="L331" i="5"/>
  <c r="L322" i="5"/>
  <c r="L313" i="5"/>
  <c r="L308" i="5"/>
  <c r="L302" i="5"/>
  <c r="L296" i="5"/>
  <c r="L290" i="5"/>
  <c r="L284" i="5"/>
  <c r="L278" i="5"/>
  <c r="L272" i="5"/>
  <c r="L471" i="5"/>
  <c r="L465" i="5"/>
  <c r="L437" i="5"/>
  <c r="L428" i="5"/>
  <c r="L419" i="5"/>
  <c r="L410" i="5"/>
  <c r="L401" i="5"/>
  <c r="L392" i="5"/>
  <c r="L383" i="5"/>
  <c r="L374" i="5"/>
  <c r="L365" i="5"/>
  <c r="L356" i="5"/>
  <c r="L347" i="5"/>
  <c r="L338" i="5"/>
  <c r="L329" i="5"/>
  <c r="L320" i="5"/>
  <c r="L446" i="5"/>
  <c r="L309" i="5"/>
  <c r="L455" i="5"/>
  <c r="L442" i="5"/>
  <c r="L433" i="5"/>
  <c r="L424" i="5"/>
  <c r="L415" i="5"/>
  <c r="L406" i="5"/>
  <c r="L459" i="5"/>
  <c r="L451" i="5"/>
  <c r="L440" i="5"/>
  <c r="L431" i="5"/>
  <c r="L422" i="5"/>
  <c r="L413" i="5"/>
  <c r="L404" i="5"/>
  <c r="L395" i="5"/>
  <c r="L448" i="5"/>
  <c r="L311" i="5"/>
  <c r="L305" i="5"/>
  <c r="L299" i="5"/>
  <c r="L293" i="5"/>
  <c r="L287" i="5"/>
  <c r="L281" i="5"/>
  <c r="L275" i="5"/>
  <c r="L269" i="5"/>
  <c r="L295" i="5"/>
  <c r="L288" i="5"/>
  <c r="L279" i="5"/>
  <c r="L270" i="5"/>
  <c r="L263" i="5"/>
  <c r="L257" i="5"/>
  <c r="L251" i="5"/>
  <c r="L245" i="5"/>
  <c r="L286" i="5"/>
  <c r="L277" i="5"/>
  <c r="L370" i="5"/>
  <c r="L343" i="5"/>
  <c r="L316" i="5"/>
  <c r="L297" i="5"/>
  <c r="L268" i="5"/>
  <c r="L264" i="5"/>
  <c r="L258" i="5"/>
  <c r="L252" i="5"/>
  <c r="L246" i="5"/>
  <c r="L240" i="5"/>
  <c r="L234" i="5"/>
  <c r="L228" i="5"/>
  <c r="L222" i="5"/>
  <c r="L216" i="5"/>
  <c r="L210" i="5"/>
  <c r="L204" i="5"/>
  <c r="L386" i="5"/>
  <c r="L359" i="5"/>
  <c r="L332" i="5"/>
  <c r="L292" i="5"/>
  <c r="L307" i="5"/>
  <c r="L282" i="5"/>
  <c r="L273" i="5"/>
  <c r="L265" i="5"/>
  <c r="L304" i="5"/>
  <c r="L294" i="5"/>
  <c r="L280" i="5"/>
  <c r="L271" i="5"/>
  <c r="L379" i="5"/>
  <c r="L352" i="5"/>
  <c r="L325" i="5"/>
  <c r="L310" i="5"/>
  <c r="L301" i="5"/>
  <c r="L289" i="5"/>
  <c r="L260" i="5"/>
  <c r="L254" i="5"/>
  <c r="L248" i="5"/>
  <c r="L368" i="5"/>
  <c r="L341" i="5"/>
  <c r="L314" i="5"/>
  <c r="L266" i="5"/>
  <c r="L397" i="5"/>
  <c r="L291" i="5"/>
  <c r="L285" i="5"/>
  <c r="L276" i="5"/>
  <c r="L261" i="5"/>
  <c r="L255" i="5"/>
  <c r="L249" i="5"/>
  <c r="L243" i="5"/>
  <c r="L237" i="5"/>
  <c r="L231" i="5"/>
  <c r="L225" i="5"/>
  <c r="L219" i="5"/>
  <c r="L213" i="5"/>
  <c r="L207" i="5"/>
  <c r="L201" i="5"/>
  <c r="L303" i="5"/>
  <c r="L298" i="5"/>
  <c r="L283" i="5"/>
  <c r="L274" i="5"/>
  <c r="L388" i="5"/>
  <c r="L361" i="5"/>
  <c r="L334" i="5"/>
  <c r="L262" i="5"/>
  <c r="L377" i="5"/>
  <c r="L350" i="5"/>
  <c r="L323" i="5"/>
  <c r="L300" i="5"/>
  <c r="L267" i="5"/>
  <c r="L232" i="5"/>
  <c r="L220" i="5"/>
  <c r="L206" i="5"/>
  <c r="L202" i="5"/>
  <c r="L198" i="5"/>
  <c r="L192" i="5"/>
  <c r="L186" i="5"/>
  <c r="L180" i="5"/>
  <c r="L174" i="5"/>
  <c r="L168" i="5"/>
  <c r="L162" i="5"/>
  <c r="L156" i="5"/>
  <c r="L150" i="5"/>
  <c r="L144" i="5"/>
  <c r="L138" i="5"/>
  <c r="L132" i="5"/>
  <c r="L126" i="5"/>
  <c r="L120" i="5"/>
  <c r="L114" i="5"/>
  <c r="L108" i="5"/>
  <c r="L102" i="5"/>
  <c r="L96" i="5"/>
  <c r="L90" i="5"/>
  <c r="L84" i="5"/>
  <c r="L78" i="5"/>
  <c r="L72" i="5"/>
  <c r="L66" i="5"/>
  <c r="L60" i="5"/>
  <c r="L54" i="5"/>
  <c r="L48" i="5"/>
  <c r="L42" i="5"/>
  <c r="L36" i="5"/>
  <c r="L30" i="5"/>
  <c r="L259" i="5"/>
  <c r="L253" i="5"/>
  <c r="L239" i="5"/>
  <c r="L227" i="5"/>
  <c r="L215" i="5"/>
  <c r="L208" i="5"/>
  <c r="L193" i="5"/>
  <c r="L187" i="5"/>
  <c r="L181" i="5"/>
  <c r="L175" i="5"/>
  <c r="L169" i="5"/>
  <c r="L163" i="5"/>
  <c r="L157" i="5"/>
  <c r="L151" i="5"/>
  <c r="L145" i="5"/>
  <c r="L139" i="5"/>
  <c r="L133" i="5"/>
  <c r="L127" i="5"/>
  <c r="L121" i="5"/>
  <c r="L115" i="5"/>
  <c r="L109" i="5"/>
  <c r="L103" i="5"/>
  <c r="L97" i="5"/>
  <c r="L91" i="5"/>
  <c r="L85" i="5"/>
  <c r="L79" i="5"/>
  <c r="L73" i="5"/>
  <c r="L67" i="5"/>
  <c r="L61" i="5"/>
  <c r="L55" i="5"/>
  <c r="L244" i="5"/>
  <c r="L241" i="5"/>
  <c r="L229" i="5"/>
  <c r="L217" i="5"/>
  <c r="L236" i="5"/>
  <c r="L224" i="5"/>
  <c r="L212" i="5"/>
  <c r="L194" i="5"/>
  <c r="L188" i="5"/>
  <c r="L182" i="5"/>
  <c r="L176" i="5"/>
  <c r="L170" i="5"/>
  <c r="L164" i="5"/>
  <c r="L158" i="5"/>
  <c r="L152" i="5"/>
  <c r="L146" i="5"/>
  <c r="L140" i="5"/>
  <c r="L134" i="5"/>
  <c r="L128" i="5"/>
  <c r="L122" i="5"/>
  <c r="L116" i="5"/>
  <c r="L110" i="5"/>
  <c r="L104" i="5"/>
  <c r="L98" i="5"/>
  <c r="L92" i="5"/>
  <c r="L86" i="5"/>
  <c r="L80" i="5"/>
  <c r="L74" i="5"/>
  <c r="L68" i="5"/>
  <c r="L62" i="5"/>
  <c r="L56" i="5"/>
  <c r="L50" i="5"/>
  <c r="L44" i="5"/>
  <c r="L38" i="5"/>
  <c r="L32" i="5"/>
  <c r="L247" i="5"/>
  <c r="L199" i="5"/>
  <c r="L256" i="5"/>
  <c r="L238" i="5"/>
  <c r="L226" i="5"/>
  <c r="L214" i="5"/>
  <c r="L205" i="5"/>
  <c r="L203" i="5"/>
  <c r="L195" i="5"/>
  <c r="L189" i="5"/>
  <c r="L183" i="5"/>
  <c r="L177" i="5"/>
  <c r="L171" i="5"/>
  <c r="L165" i="5"/>
  <c r="L159" i="5"/>
  <c r="L153" i="5"/>
  <c r="L147" i="5"/>
  <c r="L141" i="5"/>
  <c r="L135" i="5"/>
  <c r="L129" i="5"/>
  <c r="L123" i="5"/>
  <c r="L117" i="5"/>
  <c r="L111" i="5"/>
  <c r="L105" i="5"/>
  <c r="L99" i="5"/>
  <c r="L93" i="5"/>
  <c r="L87" i="5"/>
  <c r="L81" i="5"/>
  <c r="L75" i="5"/>
  <c r="L69" i="5"/>
  <c r="L63" i="5"/>
  <c r="L57" i="5"/>
  <c r="L51" i="5"/>
  <c r="L45" i="5"/>
  <c r="L39" i="5"/>
  <c r="L33" i="5"/>
  <c r="L233" i="5"/>
  <c r="L221" i="5"/>
  <c r="L209" i="5"/>
  <c r="L196" i="5"/>
  <c r="L190" i="5"/>
  <c r="L184" i="5"/>
  <c r="L178" i="5"/>
  <c r="L172" i="5"/>
  <c r="L166" i="5"/>
  <c r="L160" i="5"/>
  <c r="L154" i="5"/>
  <c r="L148" i="5"/>
  <c r="L142" i="5"/>
  <c r="L136" i="5"/>
  <c r="L130" i="5"/>
  <c r="L124" i="5"/>
  <c r="L118" i="5"/>
  <c r="L112" i="5"/>
  <c r="L106" i="5"/>
  <c r="L100" i="5"/>
  <c r="L94" i="5"/>
  <c r="L88" i="5"/>
  <c r="L82" i="5"/>
  <c r="L76" i="5"/>
  <c r="L70" i="5"/>
  <c r="L64" i="5"/>
  <c r="L58" i="5"/>
  <c r="L250" i="5"/>
  <c r="L235" i="5"/>
  <c r="L223" i="5"/>
  <c r="L211" i="5"/>
  <c r="L242" i="5"/>
  <c r="L230" i="5"/>
  <c r="L218" i="5"/>
  <c r="L197" i="5"/>
  <c r="L191" i="5"/>
  <c r="L185" i="5"/>
  <c r="L179" i="5"/>
  <c r="L173" i="5"/>
  <c r="L167" i="5"/>
  <c r="L161" i="5"/>
  <c r="L155" i="5"/>
  <c r="L149" i="5"/>
  <c r="L143" i="5"/>
  <c r="L137" i="5"/>
  <c r="L131" i="5"/>
  <c r="L125" i="5"/>
  <c r="L119" i="5"/>
  <c r="L113" i="5"/>
  <c r="L107" i="5"/>
  <c r="L101" i="5"/>
  <c r="L95" i="5"/>
  <c r="L89" i="5"/>
  <c r="L83" i="5"/>
  <c r="L77" i="5"/>
  <c r="L71" i="5"/>
  <c r="L65" i="5"/>
  <c r="L59" i="5"/>
  <c r="L53" i="5"/>
  <c r="L200" i="5"/>
  <c r="L28" i="5"/>
  <c r="L29" i="5"/>
  <c r="L47" i="5"/>
  <c r="L41" i="5"/>
  <c r="L35" i="5"/>
  <c r="L37" i="5"/>
  <c r="L31" i="5"/>
  <c r="L49" i="5"/>
  <c r="L43" i="5"/>
  <c r="L52" i="5"/>
  <c r="L46" i="5"/>
  <c r="L40" i="5"/>
  <c r="L34" i="5"/>
  <c r="D1026" i="5"/>
  <c r="D1020" i="5"/>
  <c r="D1014" i="5"/>
  <c r="D1008" i="5"/>
  <c r="D1002" i="5"/>
  <c r="D996" i="5"/>
  <c r="D990" i="5"/>
  <c r="D984" i="5"/>
  <c r="D978" i="5"/>
  <c r="D972" i="5"/>
  <c r="D966" i="5"/>
  <c r="D1012" i="5"/>
  <c r="D1010" i="5"/>
  <c r="D999" i="5"/>
  <c r="D997" i="5"/>
  <c r="D981" i="5"/>
  <c r="D979" i="5"/>
  <c r="D959" i="5"/>
  <c r="D946" i="5"/>
  <c r="D938" i="5"/>
  <c r="D934" i="5"/>
  <c r="D1024" i="5"/>
  <c r="D1022" i="5"/>
  <c r="D993" i="5"/>
  <c r="D991" i="5"/>
  <c r="D975" i="5"/>
  <c r="D973" i="5"/>
  <c r="D960" i="5"/>
  <c r="D947" i="5"/>
  <c r="D931" i="5"/>
  <c r="D1009" i="5"/>
  <c r="D1000" i="5"/>
  <c r="D982" i="5"/>
  <c r="D957" i="5"/>
  <c r="D944" i="5"/>
  <c r="D940" i="5"/>
  <c r="D927" i="5"/>
  <c r="D921" i="5"/>
  <c r="D915" i="5"/>
  <c r="D909" i="5"/>
  <c r="D1015" i="5"/>
  <c r="D1011" i="5"/>
  <c r="D998" i="5"/>
  <c r="D980" i="5"/>
  <c r="D964" i="5"/>
  <c r="D954" i="5"/>
  <c r="D936" i="5"/>
  <c r="D1027" i="5"/>
  <c r="D1023" i="5"/>
  <c r="D1019" i="5"/>
  <c r="D1005" i="5"/>
  <c r="D1001" i="5"/>
  <c r="D983" i="5"/>
  <c r="D965" i="5"/>
  <c r="D962" i="5"/>
  <c r="D949" i="5"/>
  <c r="D942" i="5"/>
  <c r="D992" i="5"/>
  <c r="D967" i="5"/>
  <c r="D952" i="5"/>
  <c r="D930" i="5"/>
  <c r="D925" i="5"/>
  <c r="D922" i="5"/>
  <c r="D912" i="5"/>
  <c r="D905" i="5"/>
  <c r="D1021" i="5"/>
  <c r="D969" i="5"/>
  <c r="D926" i="5"/>
  <c r="D898" i="5"/>
  <c r="D892" i="5"/>
  <c r="D886" i="5"/>
  <c r="D880" i="5"/>
  <c r="D1016" i="5"/>
  <c r="D958" i="5"/>
  <c r="D941" i="5"/>
  <c r="D939" i="5"/>
  <c r="D920" i="5"/>
  <c r="D917" i="5"/>
  <c r="D907" i="5"/>
  <c r="D903" i="5"/>
  <c r="D1025" i="5"/>
  <c r="D971" i="5"/>
  <c r="D968" i="5"/>
  <c r="D955" i="5"/>
  <c r="D974" i="5"/>
  <c r="D950" i="5"/>
  <c r="D945" i="5"/>
  <c r="D932" i="5"/>
  <c r="D918" i="5"/>
  <c r="D1028" i="5"/>
  <c r="D963" i="5"/>
  <c r="D928" i="5"/>
  <c r="D923" i="5"/>
  <c r="D900" i="5"/>
  <c r="D887" i="5"/>
  <c r="D869" i="5"/>
  <c r="D858" i="5"/>
  <c r="D854" i="5"/>
  <c r="D987" i="5"/>
  <c r="D976" i="5"/>
  <c r="D961" i="5"/>
  <c r="D910" i="5"/>
  <c r="D901" i="5"/>
  <c r="D896" i="5"/>
  <c r="D888" i="5"/>
  <c r="D867" i="5"/>
  <c r="D860" i="5"/>
  <c r="D847" i="5"/>
  <c r="D841" i="5"/>
  <c r="D835" i="5"/>
  <c r="D829" i="5"/>
  <c r="D994" i="5"/>
  <c r="D986" i="5"/>
  <c r="D970" i="5"/>
  <c r="D948" i="5"/>
  <c r="D933" i="5"/>
  <c r="D908" i="5"/>
  <c r="D899" i="5"/>
  <c r="D877" i="5"/>
  <c r="D864" i="5"/>
  <c r="D856" i="5"/>
  <c r="D985" i="5"/>
  <c r="D956" i="5"/>
  <c r="D943" i="5"/>
  <c r="D929" i="5"/>
  <c r="D916" i="5"/>
  <c r="D881" i="5"/>
  <c r="D878" i="5"/>
  <c r="D868" i="5"/>
  <c r="D1017" i="5"/>
  <c r="D1006" i="5"/>
  <c r="D902" i="5"/>
  <c r="D884" i="5"/>
  <c r="D872" i="5"/>
  <c r="D862" i="5"/>
  <c r="D844" i="5"/>
  <c r="D1018" i="5"/>
  <c r="D897" i="5"/>
  <c r="D873" i="5"/>
  <c r="D863" i="5"/>
  <c r="D832" i="5"/>
  <c r="D995" i="5"/>
  <c r="D937" i="5"/>
  <c r="D894" i="5"/>
  <c r="D883" i="5"/>
  <c r="D843" i="5"/>
  <c r="D1013" i="5"/>
  <c r="D891" i="5"/>
  <c r="D989" i="5"/>
  <c r="D911" i="5"/>
  <c r="D1007" i="5"/>
  <c r="D988" i="5"/>
  <c r="D953" i="5"/>
  <c r="D919" i="5"/>
  <c r="D893" i="5"/>
  <c r="D885" i="5"/>
  <c r="D882" i="5"/>
  <c r="D846" i="5"/>
  <c r="D838" i="5"/>
  <c r="D825" i="5"/>
  <c r="D819" i="5"/>
  <c r="D813" i="5"/>
  <c r="D807" i="5"/>
  <c r="D801" i="5"/>
  <c r="D795" i="5"/>
  <c r="D789" i="5"/>
  <c r="D783" i="5"/>
  <c r="D777" i="5"/>
  <c r="D771" i="5"/>
  <c r="D765" i="5"/>
  <c r="D759" i="5"/>
  <c r="D753" i="5"/>
  <c r="D1004" i="5"/>
  <c r="D890" i="5"/>
  <c r="D879" i="5"/>
  <c r="D834" i="5"/>
  <c r="D830" i="5"/>
  <c r="D1003" i="5"/>
  <c r="D951" i="5"/>
  <c r="D904" i="5"/>
  <c r="D874" i="5"/>
  <c r="D842" i="5"/>
  <c r="D914" i="5"/>
  <c r="D895" i="5"/>
  <c r="D913" i="5"/>
  <c r="D871" i="5"/>
  <c r="D859" i="5"/>
  <c r="D853" i="5"/>
  <c r="D851" i="5"/>
  <c r="D849" i="5"/>
  <c r="D827" i="5"/>
  <c r="D855" i="5"/>
  <c r="D820" i="5"/>
  <c r="D816" i="5"/>
  <c r="D812" i="5"/>
  <c r="D769" i="5"/>
  <c r="D751" i="5"/>
  <c r="D742" i="5"/>
  <c r="D732" i="5"/>
  <c r="D977" i="5"/>
  <c r="D935" i="5"/>
  <c r="D865" i="5"/>
  <c r="D845" i="5"/>
  <c r="D876" i="5"/>
  <c r="D828" i="5"/>
  <c r="D799" i="5"/>
  <c r="D797" i="5"/>
  <c r="D774" i="5"/>
  <c r="D772" i="5"/>
  <c r="D756" i="5"/>
  <c r="D754" i="5"/>
  <c r="D749" i="5"/>
  <c r="D746" i="5"/>
  <c r="D733" i="5"/>
  <c r="D723" i="5"/>
  <c r="D717" i="5"/>
  <c r="D889" i="5"/>
  <c r="D870" i="5"/>
  <c r="D805" i="5"/>
  <c r="D803" i="5"/>
  <c r="D781" i="5"/>
  <c r="D763" i="5"/>
  <c r="D743" i="5"/>
  <c r="D730" i="5"/>
  <c r="D875" i="5"/>
  <c r="D840" i="5"/>
  <c r="D837" i="5"/>
  <c r="D811" i="5"/>
  <c r="D809" i="5"/>
  <c r="D779" i="5"/>
  <c r="D761" i="5"/>
  <c r="D740" i="5"/>
  <c r="D727" i="5"/>
  <c r="D718" i="5"/>
  <c r="D848" i="5"/>
  <c r="D817" i="5"/>
  <c r="D815" i="5"/>
  <c r="D770" i="5"/>
  <c r="D752" i="5"/>
  <c r="D737" i="5"/>
  <c r="D924" i="5"/>
  <c r="D852" i="5"/>
  <c r="D839" i="5"/>
  <c r="D802" i="5"/>
  <c r="D798" i="5"/>
  <c r="D794" i="5"/>
  <c r="D773" i="5"/>
  <c r="D755" i="5"/>
  <c r="D741" i="5"/>
  <c r="D866" i="5"/>
  <c r="D831" i="5"/>
  <c r="D814" i="5"/>
  <c r="D810" i="5"/>
  <c r="D806" i="5"/>
  <c r="D780" i="5"/>
  <c r="D778" i="5"/>
  <c r="D762" i="5"/>
  <c r="D760" i="5"/>
  <c r="D745" i="5"/>
  <c r="D861" i="5"/>
  <c r="D792" i="5"/>
  <c r="D787" i="5"/>
  <c r="D731" i="5"/>
  <c r="D724" i="5"/>
  <c r="D826" i="5"/>
  <c r="D821" i="5"/>
  <c r="D748" i="5"/>
  <c r="D736" i="5"/>
  <c r="D719" i="5"/>
  <c r="D716" i="5"/>
  <c r="D713" i="5"/>
  <c r="D707" i="5"/>
  <c r="D701" i="5"/>
  <c r="D695" i="5"/>
  <c r="D689" i="5"/>
  <c r="D683" i="5"/>
  <c r="D677" i="5"/>
  <c r="D671" i="5"/>
  <c r="D665" i="5"/>
  <c r="D659" i="5"/>
  <c r="D857" i="5"/>
  <c r="D796" i="5"/>
  <c r="D786" i="5"/>
  <c r="D782" i="5"/>
  <c r="D791" i="5"/>
  <c r="D744" i="5"/>
  <c r="D738" i="5"/>
  <c r="D728" i="5"/>
  <c r="D726" i="5"/>
  <c r="D790" i="5"/>
  <c r="D768" i="5"/>
  <c r="D764" i="5"/>
  <c r="D747" i="5"/>
  <c r="D722" i="5"/>
  <c r="D800" i="5"/>
  <c r="D785" i="5"/>
  <c r="D709" i="5"/>
  <c r="D703" i="5"/>
  <c r="D697" i="5"/>
  <c r="D691" i="5"/>
  <c r="D685" i="5"/>
  <c r="D679" i="5"/>
  <c r="D673" i="5"/>
  <c r="D667" i="5"/>
  <c r="D661" i="5"/>
  <c r="D655" i="5"/>
  <c r="D649" i="5"/>
  <c r="D643" i="5"/>
  <c r="D637" i="5"/>
  <c r="D631" i="5"/>
  <c r="D625" i="5"/>
  <c r="D619" i="5"/>
  <c r="D613" i="5"/>
  <c r="D607" i="5"/>
  <c r="D601" i="5"/>
  <c r="D595" i="5"/>
  <c r="D589" i="5"/>
  <c r="D906" i="5"/>
  <c r="D836" i="5"/>
  <c r="D735" i="5"/>
  <c r="D720" i="5"/>
  <c r="D850" i="5"/>
  <c r="D824" i="5"/>
  <c r="D804" i="5"/>
  <c r="D784" i="5"/>
  <c r="D776" i="5"/>
  <c r="D767" i="5"/>
  <c r="D750" i="5"/>
  <c r="D710" i="5"/>
  <c r="D704" i="5"/>
  <c r="D698" i="5"/>
  <c r="D692" i="5"/>
  <c r="D686" i="5"/>
  <c r="D680" i="5"/>
  <c r="D674" i="5"/>
  <c r="D668" i="5"/>
  <c r="D823" i="5"/>
  <c r="D725" i="5"/>
  <c r="D715" i="5"/>
  <c r="D818" i="5"/>
  <c r="D808" i="5"/>
  <c r="D775" i="5"/>
  <c r="D766" i="5"/>
  <c r="D758" i="5"/>
  <c r="D734" i="5"/>
  <c r="D833" i="5"/>
  <c r="D793" i="5"/>
  <c r="D788" i="5"/>
  <c r="D739" i="5"/>
  <c r="D699" i="5"/>
  <c r="D690" i="5"/>
  <c r="D684" i="5"/>
  <c r="D681" i="5"/>
  <c r="D664" i="5"/>
  <c r="D632" i="5"/>
  <c r="D628" i="5"/>
  <c r="D624" i="5"/>
  <c r="D591" i="5"/>
  <c r="D586" i="5"/>
  <c r="D573" i="5"/>
  <c r="D560" i="5"/>
  <c r="D556" i="5"/>
  <c r="D694" i="5"/>
  <c r="D708" i="5"/>
  <c r="D672" i="5"/>
  <c r="D669" i="5"/>
  <c r="D644" i="5"/>
  <c r="D640" i="5"/>
  <c r="D693" i="5"/>
  <c r="D822" i="5"/>
  <c r="D702" i="5"/>
  <c r="D663" i="5"/>
  <c r="D654" i="5"/>
  <c r="D623" i="5"/>
  <c r="D621" i="5"/>
  <c r="D594" i="5"/>
  <c r="D581" i="5"/>
  <c r="D571" i="5"/>
  <c r="D558" i="5"/>
  <c r="D711" i="5"/>
  <c r="D658" i="5"/>
  <c r="D629" i="5"/>
  <c r="D627" i="5"/>
  <c r="D592" i="5"/>
  <c r="D590" i="5"/>
  <c r="D578" i="5"/>
  <c r="D568" i="5"/>
  <c r="D757" i="5"/>
  <c r="D706" i="5"/>
  <c r="D688" i="5"/>
  <c r="D696" i="5"/>
  <c r="D682" i="5"/>
  <c r="D660" i="5"/>
  <c r="D641" i="5"/>
  <c r="D639" i="5"/>
  <c r="D705" i="5"/>
  <c r="D714" i="5"/>
  <c r="D687" i="5"/>
  <c r="D657" i="5"/>
  <c r="D626" i="5"/>
  <c r="D622" i="5"/>
  <c r="D618" i="5"/>
  <c r="D593" i="5"/>
  <c r="D576" i="5"/>
  <c r="D563" i="5"/>
  <c r="D670" i="5"/>
  <c r="D651" i="5"/>
  <c r="D596" i="5"/>
  <c r="D562" i="5"/>
  <c r="D547" i="5"/>
  <c r="D650" i="5"/>
  <c r="D646" i="5"/>
  <c r="D642" i="5"/>
  <c r="D616" i="5"/>
  <c r="D604" i="5"/>
  <c r="D579" i="5"/>
  <c r="D566" i="5"/>
  <c r="D554" i="5"/>
  <c r="D539" i="5"/>
  <c r="D721" i="5"/>
  <c r="D662" i="5"/>
  <c r="D645" i="5"/>
  <c r="D609" i="5"/>
  <c r="D606" i="5"/>
  <c r="D559" i="5"/>
  <c r="D540" i="5"/>
  <c r="D536" i="5"/>
  <c r="D530" i="5"/>
  <c r="D653" i="5"/>
  <c r="D615" i="5"/>
  <c r="D612" i="5"/>
  <c r="D603" i="5"/>
  <c r="D587" i="5"/>
  <c r="D574" i="5"/>
  <c r="D561" i="5"/>
  <c r="D555" i="5"/>
  <c r="D712" i="5"/>
  <c r="D666" i="5"/>
  <c r="D636" i="5"/>
  <c r="D608" i="5"/>
  <c r="D597" i="5"/>
  <c r="D580" i="5"/>
  <c r="D567" i="5"/>
  <c r="D549" i="5"/>
  <c r="D676" i="5"/>
  <c r="D647" i="5"/>
  <c r="D635" i="5"/>
  <c r="D599" i="5"/>
  <c r="D575" i="5"/>
  <c r="D550" i="5"/>
  <c r="D610" i="5"/>
  <c r="D588" i="5"/>
  <c r="D546" i="5"/>
  <c r="D529" i="5"/>
  <c r="D521" i="5"/>
  <c r="D634" i="5"/>
  <c r="D583" i="5"/>
  <c r="D570" i="5"/>
  <c r="D551" i="5"/>
  <c r="D544" i="5"/>
  <c r="D729" i="5"/>
  <c r="D598" i="5"/>
  <c r="D557" i="5"/>
  <c r="D548" i="5"/>
  <c r="D526" i="5"/>
  <c r="D509" i="5"/>
  <c r="D505" i="5"/>
  <c r="D620" i="5"/>
  <c r="D602" i="5"/>
  <c r="D553" i="5"/>
  <c r="D527" i="5"/>
  <c r="D523" i="5"/>
  <c r="D510" i="5"/>
  <c r="D506" i="5"/>
  <c r="D501" i="5"/>
  <c r="D495" i="5"/>
  <c r="D489" i="5"/>
  <c r="D483" i="5"/>
  <c r="D477" i="5"/>
  <c r="D471" i="5"/>
  <c r="D465" i="5"/>
  <c r="D459" i="5"/>
  <c r="D700" i="5"/>
  <c r="D675" i="5"/>
  <c r="D638" i="5"/>
  <c r="D577" i="5"/>
  <c r="D564" i="5"/>
  <c r="D545" i="5"/>
  <c r="D537" i="5"/>
  <c r="D534" i="5"/>
  <c r="D531" i="5"/>
  <c r="D585" i="5"/>
  <c r="D572" i="5"/>
  <c r="D524" i="5"/>
  <c r="D507" i="5"/>
  <c r="D617" i="5"/>
  <c r="D584" i="5"/>
  <c r="D541" i="5"/>
  <c r="D538" i="5"/>
  <c r="D532" i="5"/>
  <c r="D525" i="5"/>
  <c r="D508" i="5"/>
  <c r="D498" i="5"/>
  <c r="D492" i="5"/>
  <c r="D486" i="5"/>
  <c r="D480" i="5"/>
  <c r="D474" i="5"/>
  <c r="D468" i="5"/>
  <c r="D633" i="5"/>
  <c r="D533" i="5"/>
  <c r="D522" i="5"/>
  <c r="D500" i="5"/>
  <c r="D491" i="5"/>
  <c r="D482" i="5"/>
  <c r="D473" i="5"/>
  <c r="D466" i="5"/>
  <c r="D656" i="5"/>
  <c r="D614" i="5"/>
  <c r="D582" i="5"/>
  <c r="D569" i="5"/>
  <c r="D542" i="5"/>
  <c r="D447" i="5"/>
  <c r="D630" i="5"/>
  <c r="D528" i="5"/>
  <c r="D519" i="5"/>
  <c r="D517" i="5"/>
  <c r="D457" i="5"/>
  <c r="D453" i="5"/>
  <c r="D652" i="5"/>
  <c r="D611" i="5"/>
  <c r="D515" i="5"/>
  <c r="D513" i="5"/>
  <c r="D511" i="5"/>
  <c r="D496" i="5"/>
  <c r="D487" i="5"/>
  <c r="D478" i="5"/>
  <c r="D678" i="5"/>
  <c r="D565" i="5"/>
  <c r="D503" i="5"/>
  <c r="D494" i="5"/>
  <c r="D485" i="5"/>
  <c r="D476" i="5"/>
  <c r="D648" i="5"/>
  <c r="D467" i="5"/>
  <c r="D454" i="5"/>
  <c r="D449" i="5"/>
  <c r="D443" i="5"/>
  <c r="D437" i="5"/>
  <c r="D431" i="5"/>
  <c r="D425" i="5"/>
  <c r="D419" i="5"/>
  <c r="D413" i="5"/>
  <c r="D407" i="5"/>
  <c r="D401" i="5"/>
  <c r="D395" i="5"/>
  <c r="D389" i="5"/>
  <c r="D383" i="5"/>
  <c r="D377" i="5"/>
  <c r="D371" i="5"/>
  <c r="D365" i="5"/>
  <c r="D359" i="5"/>
  <c r="D353" i="5"/>
  <c r="D347" i="5"/>
  <c r="D341" i="5"/>
  <c r="D335" i="5"/>
  <c r="D329" i="5"/>
  <c r="D323" i="5"/>
  <c r="D317" i="5"/>
  <c r="D552" i="5"/>
  <c r="D605" i="5"/>
  <c r="D535" i="5"/>
  <c r="D499" i="5"/>
  <c r="D490" i="5"/>
  <c r="D481" i="5"/>
  <c r="D472" i="5"/>
  <c r="D462" i="5"/>
  <c r="D518" i="5"/>
  <c r="D497" i="5"/>
  <c r="D488" i="5"/>
  <c r="D479" i="5"/>
  <c r="D470" i="5"/>
  <c r="D455" i="5"/>
  <c r="D520" i="5"/>
  <c r="D516" i="5"/>
  <c r="D514" i="5"/>
  <c r="D512" i="5"/>
  <c r="D600" i="5"/>
  <c r="D543" i="5"/>
  <c r="D504" i="5"/>
  <c r="D502" i="5"/>
  <c r="D493" i="5"/>
  <c r="D484" i="5"/>
  <c r="D475" i="5"/>
  <c r="D463" i="5"/>
  <c r="D460" i="5"/>
  <c r="D456" i="5"/>
  <c r="D452" i="5"/>
  <c r="D446" i="5"/>
  <c r="D440" i="5"/>
  <c r="D434" i="5"/>
  <c r="D428" i="5"/>
  <c r="D422" i="5"/>
  <c r="D416" i="5"/>
  <c r="D410" i="5"/>
  <c r="D404" i="5"/>
  <c r="D398" i="5"/>
  <c r="D392" i="5"/>
  <c r="D386" i="5"/>
  <c r="D380" i="5"/>
  <c r="D374" i="5"/>
  <c r="D368" i="5"/>
  <c r="D362" i="5"/>
  <c r="D356" i="5"/>
  <c r="D350" i="5"/>
  <c r="D344" i="5"/>
  <c r="D338" i="5"/>
  <c r="D332" i="5"/>
  <c r="D326" i="5"/>
  <c r="D320" i="5"/>
  <c r="D314" i="5"/>
  <c r="D451" i="5"/>
  <c r="D448" i="5"/>
  <c r="D442" i="5"/>
  <c r="D433" i="5"/>
  <c r="D424" i="5"/>
  <c r="D415" i="5"/>
  <c r="D406" i="5"/>
  <c r="D397" i="5"/>
  <c r="D388" i="5"/>
  <c r="D379" i="5"/>
  <c r="D370" i="5"/>
  <c r="D361" i="5"/>
  <c r="D352" i="5"/>
  <c r="D343" i="5"/>
  <c r="D334" i="5"/>
  <c r="D325" i="5"/>
  <c r="D316" i="5"/>
  <c r="D309" i="5"/>
  <c r="D303" i="5"/>
  <c r="D297" i="5"/>
  <c r="D291" i="5"/>
  <c r="D458" i="5"/>
  <c r="D310" i="5"/>
  <c r="D304" i="5"/>
  <c r="D298" i="5"/>
  <c r="D292" i="5"/>
  <c r="D286" i="5"/>
  <c r="D280" i="5"/>
  <c r="D274" i="5"/>
  <c r="D268" i="5"/>
  <c r="D438" i="5"/>
  <c r="D429" i="5"/>
  <c r="D420" i="5"/>
  <c r="D411" i="5"/>
  <c r="D450" i="5"/>
  <c r="D445" i="5"/>
  <c r="D436" i="5"/>
  <c r="D427" i="5"/>
  <c r="D418" i="5"/>
  <c r="D409" i="5"/>
  <c r="D400" i="5"/>
  <c r="D461" i="5"/>
  <c r="D312" i="5"/>
  <c r="D306" i="5"/>
  <c r="D300" i="5"/>
  <c r="D294" i="5"/>
  <c r="D441" i="5"/>
  <c r="D432" i="5"/>
  <c r="D423" i="5"/>
  <c r="D414" i="5"/>
  <c r="D405" i="5"/>
  <c r="D396" i="5"/>
  <c r="D387" i="5"/>
  <c r="D378" i="5"/>
  <c r="D369" i="5"/>
  <c r="D360" i="5"/>
  <c r="D351" i="5"/>
  <c r="D342" i="5"/>
  <c r="D333" i="5"/>
  <c r="D324" i="5"/>
  <c r="D315" i="5"/>
  <c r="D439" i="5"/>
  <c r="D430" i="5"/>
  <c r="D421" i="5"/>
  <c r="D412" i="5"/>
  <c r="D403" i="5"/>
  <c r="D394" i="5"/>
  <c r="D385" i="5"/>
  <c r="D376" i="5"/>
  <c r="D367" i="5"/>
  <c r="D358" i="5"/>
  <c r="D349" i="5"/>
  <c r="D340" i="5"/>
  <c r="D331" i="5"/>
  <c r="D322" i="5"/>
  <c r="D307" i="5"/>
  <c r="D301" i="5"/>
  <c r="D295" i="5"/>
  <c r="D289" i="5"/>
  <c r="D283" i="5"/>
  <c r="D277" i="5"/>
  <c r="D271" i="5"/>
  <c r="D469" i="5"/>
  <c r="D464" i="5"/>
  <c r="D444" i="5"/>
  <c r="D435" i="5"/>
  <c r="D426" i="5"/>
  <c r="D417" i="5"/>
  <c r="D408" i="5"/>
  <c r="D399" i="5"/>
  <c r="D390" i="5"/>
  <c r="D381" i="5"/>
  <c r="D372" i="5"/>
  <c r="D363" i="5"/>
  <c r="D354" i="5"/>
  <c r="D345" i="5"/>
  <c r="D336" i="5"/>
  <c r="D327" i="5"/>
  <c r="D318" i="5"/>
  <c r="D366" i="5"/>
  <c r="D339" i="5"/>
  <c r="D393" i="5"/>
  <c r="D382" i="5"/>
  <c r="D355" i="5"/>
  <c r="D328" i="5"/>
  <c r="D293" i="5"/>
  <c r="D261" i="5"/>
  <c r="D255" i="5"/>
  <c r="D249" i="5"/>
  <c r="D281" i="5"/>
  <c r="D272" i="5"/>
  <c r="D402" i="5"/>
  <c r="D308" i="5"/>
  <c r="D305" i="5"/>
  <c r="D288" i="5"/>
  <c r="D279" i="5"/>
  <c r="D270" i="5"/>
  <c r="D267" i="5"/>
  <c r="D262" i="5"/>
  <c r="D256" i="5"/>
  <c r="D250" i="5"/>
  <c r="D244" i="5"/>
  <c r="D238" i="5"/>
  <c r="D232" i="5"/>
  <c r="D226" i="5"/>
  <c r="D220" i="5"/>
  <c r="D214" i="5"/>
  <c r="D208" i="5"/>
  <c r="D202" i="5"/>
  <c r="D375" i="5"/>
  <c r="D348" i="5"/>
  <c r="D321" i="5"/>
  <c r="D302" i="5"/>
  <c r="D290" i="5"/>
  <c r="D391" i="5"/>
  <c r="D364" i="5"/>
  <c r="D337" i="5"/>
  <c r="D311" i="5"/>
  <c r="D263" i="5"/>
  <c r="D257" i="5"/>
  <c r="D251" i="5"/>
  <c r="D245" i="5"/>
  <c r="D239" i="5"/>
  <c r="D233" i="5"/>
  <c r="D227" i="5"/>
  <c r="D221" i="5"/>
  <c r="D215" i="5"/>
  <c r="D209" i="5"/>
  <c r="D203" i="5"/>
  <c r="D284" i="5"/>
  <c r="D275" i="5"/>
  <c r="D299" i="5"/>
  <c r="D282" i="5"/>
  <c r="D273" i="5"/>
  <c r="D264" i="5"/>
  <c r="D258" i="5"/>
  <c r="D384" i="5"/>
  <c r="D357" i="5"/>
  <c r="D330" i="5"/>
  <c r="D373" i="5"/>
  <c r="D346" i="5"/>
  <c r="D319" i="5"/>
  <c r="D265" i="5"/>
  <c r="D259" i="5"/>
  <c r="D253" i="5"/>
  <c r="D247" i="5"/>
  <c r="D241" i="5"/>
  <c r="D235" i="5"/>
  <c r="D229" i="5"/>
  <c r="D223" i="5"/>
  <c r="D217" i="5"/>
  <c r="D211" i="5"/>
  <c r="D313" i="5"/>
  <c r="D296" i="5"/>
  <c r="D287" i="5"/>
  <c r="D278" i="5"/>
  <c r="D269" i="5"/>
  <c r="D285" i="5"/>
  <c r="D276" i="5"/>
  <c r="D266" i="5"/>
  <c r="D260" i="5"/>
  <c r="D254" i="5"/>
  <c r="D248" i="5"/>
  <c r="D242" i="5"/>
  <c r="D236" i="5"/>
  <c r="D230" i="5"/>
  <c r="D224" i="5"/>
  <c r="D218" i="5"/>
  <c r="D212" i="5"/>
  <c r="D206" i="5"/>
  <c r="D200" i="5"/>
  <c r="D58" i="5"/>
  <c r="D196" i="5"/>
  <c r="D190" i="5"/>
  <c r="D184" i="5"/>
  <c r="D178" i="5"/>
  <c r="D172" i="5"/>
  <c r="D166" i="5"/>
  <c r="D160" i="5"/>
  <c r="D154" i="5"/>
  <c r="D148" i="5"/>
  <c r="D142" i="5"/>
  <c r="D136" i="5"/>
  <c r="D130" i="5"/>
  <c r="D124" i="5"/>
  <c r="D118" i="5"/>
  <c r="D112" i="5"/>
  <c r="D106" i="5"/>
  <c r="D100" i="5"/>
  <c r="D94" i="5"/>
  <c r="D88" i="5"/>
  <c r="D82" i="5"/>
  <c r="D76" i="5"/>
  <c r="D70" i="5"/>
  <c r="D64" i="5"/>
  <c r="D237" i="5"/>
  <c r="D225" i="5"/>
  <c r="D213" i="5"/>
  <c r="D204" i="5"/>
  <c r="D197" i="5"/>
  <c r="D191" i="5"/>
  <c r="D185" i="5"/>
  <c r="D179" i="5"/>
  <c r="D173" i="5"/>
  <c r="D167" i="5"/>
  <c r="D161" i="5"/>
  <c r="D155" i="5"/>
  <c r="D149" i="5"/>
  <c r="D143" i="5"/>
  <c r="D137" i="5"/>
  <c r="D131" i="5"/>
  <c r="D125" i="5"/>
  <c r="D119" i="5"/>
  <c r="D113" i="5"/>
  <c r="D107" i="5"/>
  <c r="D101" i="5"/>
  <c r="D95" i="5"/>
  <c r="D89" i="5"/>
  <c r="D83" i="5"/>
  <c r="D77" i="5"/>
  <c r="D71" i="5"/>
  <c r="D65" i="5"/>
  <c r="D59" i="5"/>
  <c r="D53" i="5"/>
  <c r="D47" i="5"/>
  <c r="D41" i="5"/>
  <c r="D35" i="5"/>
  <c r="D85" i="5"/>
  <c r="D252" i="5"/>
  <c r="D234" i="5"/>
  <c r="D222" i="5"/>
  <c r="D210" i="5"/>
  <c r="D198" i="5"/>
  <c r="D192" i="5"/>
  <c r="D186" i="5"/>
  <c r="D180" i="5"/>
  <c r="D174" i="5"/>
  <c r="D168" i="5"/>
  <c r="D162" i="5"/>
  <c r="D156" i="5"/>
  <c r="D150" i="5"/>
  <c r="D144" i="5"/>
  <c r="D138" i="5"/>
  <c r="D132" i="5"/>
  <c r="D126" i="5"/>
  <c r="D120" i="5"/>
  <c r="D114" i="5"/>
  <c r="D108" i="5"/>
  <c r="D102" i="5"/>
  <c r="D96" i="5"/>
  <c r="D90" i="5"/>
  <c r="D84" i="5"/>
  <c r="D78" i="5"/>
  <c r="D72" i="5"/>
  <c r="D66" i="5"/>
  <c r="D60" i="5"/>
  <c r="D54" i="5"/>
  <c r="D48" i="5"/>
  <c r="D42" i="5"/>
  <c r="D36" i="5"/>
  <c r="D30" i="5"/>
  <c r="D193" i="5"/>
  <c r="D187" i="5"/>
  <c r="D181" i="5"/>
  <c r="D175" i="5"/>
  <c r="D169" i="5"/>
  <c r="D163" i="5"/>
  <c r="D157" i="5"/>
  <c r="D151" i="5"/>
  <c r="D145" i="5"/>
  <c r="D139" i="5"/>
  <c r="D133" i="5"/>
  <c r="D127" i="5"/>
  <c r="D121" i="5"/>
  <c r="D115" i="5"/>
  <c r="D109" i="5"/>
  <c r="D103" i="5"/>
  <c r="D97" i="5"/>
  <c r="D91" i="5"/>
  <c r="D79" i="5"/>
  <c r="D243" i="5"/>
  <c r="D231" i="5"/>
  <c r="D219" i="5"/>
  <c r="D199" i="5"/>
  <c r="D205" i="5"/>
  <c r="D201" i="5"/>
  <c r="D194" i="5"/>
  <c r="D188" i="5"/>
  <c r="D182" i="5"/>
  <c r="D176" i="5"/>
  <c r="D170" i="5"/>
  <c r="D164" i="5"/>
  <c r="D158" i="5"/>
  <c r="D152" i="5"/>
  <c r="D146" i="5"/>
  <c r="D140" i="5"/>
  <c r="D134" i="5"/>
  <c r="D128" i="5"/>
  <c r="D122" i="5"/>
  <c r="D116" i="5"/>
  <c r="D110" i="5"/>
  <c r="D104" i="5"/>
  <c r="D98" i="5"/>
  <c r="D92" i="5"/>
  <c r="D86" i="5"/>
  <c r="D80" i="5"/>
  <c r="D74" i="5"/>
  <c r="D68" i="5"/>
  <c r="D62" i="5"/>
  <c r="D56" i="5"/>
  <c r="D50" i="5"/>
  <c r="D44" i="5"/>
  <c r="D38" i="5"/>
  <c r="D32" i="5"/>
  <c r="D246" i="5"/>
  <c r="D207" i="5"/>
  <c r="D240" i="5"/>
  <c r="D228" i="5"/>
  <c r="D216" i="5"/>
  <c r="D195" i="5"/>
  <c r="D189" i="5"/>
  <c r="D183" i="5"/>
  <c r="D177" i="5"/>
  <c r="D171" i="5"/>
  <c r="D165" i="5"/>
  <c r="D159" i="5"/>
  <c r="D153" i="5"/>
  <c r="D147" i="5"/>
  <c r="D141" i="5"/>
  <c r="D135" i="5"/>
  <c r="D129" i="5"/>
  <c r="D123" i="5"/>
  <c r="D117" i="5"/>
  <c r="D111" i="5"/>
  <c r="D105" i="5"/>
  <c r="D99" i="5"/>
  <c r="D93" i="5"/>
  <c r="D87" i="5"/>
  <c r="D81" i="5"/>
  <c r="D75" i="5"/>
  <c r="D69" i="5"/>
  <c r="D63" i="5"/>
  <c r="D57" i="5"/>
  <c r="D51" i="5"/>
  <c r="D45" i="5"/>
  <c r="D39" i="5"/>
  <c r="D33" i="5"/>
  <c r="D34" i="5"/>
  <c r="D31" i="5"/>
  <c r="D43" i="5"/>
  <c r="D73" i="5"/>
  <c r="D55" i="5"/>
  <c r="D28" i="5"/>
  <c r="D49" i="5"/>
  <c r="D67" i="5"/>
  <c r="D52" i="5"/>
  <c r="D46" i="5"/>
  <c r="D40" i="5"/>
  <c r="D61" i="5"/>
  <c r="D37" i="5"/>
  <c r="E545" i="4"/>
  <c r="G545" i="4"/>
  <c r="F545" i="4"/>
  <c r="E120" i="4"/>
  <c r="G120" i="4"/>
  <c r="F120" i="4"/>
  <c r="D109" i="4"/>
  <c r="D803" i="4"/>
  <c r="D882" i="4"/>
  <c r="D558" i="4"/>
  <c r="D409" i="4"/>
  <c r="D397" i="4"/>
  <c r="D711" i="4"/>
  <c r="D1021" i="4"/>
  <c r="D941" i="4"/>
  <c r="D874" i="4"/>
  <c r="D685" i="4"/>
  <c r="D682" i="4"/>
  <c r="D868" i="4"/>
  <c r="D658" i="4"/>
  <c r="D377" i="4"/>
  <c r="D490" i="4"/>
  <c r="D387" i="4"/>
  <c r="D170" i="4"/>
  <c r="D151" i="4"/>
  <c r="D760" i="4"/>
  <c r="D313" i="4"/>
  <c r="D383" i="4"/>
  <c r="D896" i="4"/>
  <c r="D103" i="4"/>
  <c r="D331" i="4"/>
  <c r="D862" i="4"/>
  <c r="D192" i="4"/>
  <c r="D162" i="4"/>
  <c r="D117" i="4"/>
  <c r="D224" i="4"/>
  <c r="D233" i="4"/>
  <c r="D209" i="4"/>
  <c r="D575" i="4"/>
  <c r="D136" i="4"/>
  <c r="D563" i="4"/>
  <c r="D321" i="4"/>
  <c r="D900" i="4"/>
  <c r="D285" i="4"/>
  <c r="D359" i="4"/>
  <c r="D596" i="4"/>
  <c r="D472" i="4"/>
  <c r="D811" i="4"/>
  <c r="D707" i="4"/>
  <c r="D365" i="4"/>
  <c r="D189" i="4"/>
  <c r="D448" i="4"/>
  <c r="D621" i="4"/>
  <c r="D495" i="4"/>
  <c r="D648" i="4"/>
  <c r="D863" i="4"/>
  <c r="D672" i="4"/>
  <c r="D935" i="4"/>
  <c r="D937" i="4"/>
  <c r="D601" i="4"/>
  <c r="D160" i="4"/>
  <c r="D277" i="4"/>
  <c r="D423" i="4"/>
  <c r="D971" i="4"/>
  <c r="D989" i="4"/>
  <c r="D589" i="4"/>
  <c r="D142" i="4"/>
  <c r="D643" i="4"/>
  <c r="D107" i="4"/>
  <c r="D1013" i="4"/>
  <c r="D852" i="4"/>
  <c r="D271" i="4"/>
  <c r="D551" i="4"/>
  <c r="D454" i="4"/>
  <c r="D860" i="4"/>
  <c r="D607" i="4"/>
  <c r="D303" i="4"/>
  <c r="D965" i="4"/>
  <c r="D735" i="4"/>
  <c r="D516" i="4"/>
  <c r="D97" i="4"/>
  <c r="D329" i="4"/>
  <c r="D553" i="4"/>
  <c r="D527" i="4"/>
  <c r="D634" i="4"/>
  <c r="D442" i="4"/>
  <c r="D221" i="4"/>
  <c r="D512" i="4"/>
  <c r="D187" i="4"/>
  <c r="D559" i="4"/>
  <c r="D248" i="4"/>
  <c r="D110" i="4"/>
  <c r="D810" i="4"/>
  <c r="D498" i="4"/>
  <c r="D291" i="4"/>
  <c r="D181" i="4"/>
  <c r="D483" i="4"/>
  <c r="D921" i="4"/>
  <c r="D67" i="4"/>
  <c r="D198" i="4"/>
  <c r="D579" i="4"/>
  <c r="D164" i="4"/>
  <c r="D757" i="4"/>
  <c r="D1023" i="4"/>
  <c r="D973" i="4"/>
  <c r="D661" i="4"/>
  <c r="D892" i="4"/>
  <c r="D649" i="4"/>
  <c r="D952" i="4"/>
  <c r="D124" i="4"/>
  <c r="D891" i="4"/>
  <c r="D509" i="4"/>
  <c r="D317" i="4"/>
  <c r="D434" i="4"/>
  <c r="D241" i="4"/>
  <c r="D541" i="4"/>
  <c r="D337" i="4"/>
  <c r="D372" i="4"/>
  <c r="D143" i="4"/>
  <c r="D503" i="4"/>
  <c r="D323" i="4"/>
  <c r="D1006" i="4"/>
  <c r="D802" i="4"/>
  <c r="D622" i="4"/>
  <c r="D430" i="4"/>
  <c r="D813" i="4"/>
  <c r="D525" i="4"/>
  <c r="D188" i="4"/>
  <c r="D788" i="4"/>
  <c r="D500" i="4"/>
  <c r="D139" i="4"/>
  <c r="D535" i="4"/>
  <c r="D234" i="4"/>
  <c r="D98" i="4"/>
  <c r="D750" i="4"/>
  <c r="D462" i="4"/>
  <c r="D231" i="4"/>
  <c r="D272" i="4"/>
  <c r="D912" i="4"/>
  <c r="D29" i="4"/>
  <c r="D286" i="4"/>
  <c r="D767" i="4"/>
  <c r="D1017" i="4"/>
  <c r="D478" i="4"/>
  <c r="D884" i="4"/>
  <c r="D306" i="4"/>
  <c r="D217" i="4"/>
  <c r="D851" i="4"/>
  <c r="D696" i="4"/>
  <c r="D531" i="4"/>
  <c r="D341" i="4"/>
  <c r="D144" i="4"/>
  <c r="D850" i="4"/>
  <c r="D250" i="4"/>
  <c r="D262" i="4"/>
  <c r="D193" i="4"/>
  <c r="D902" i="4"/>
  <c r="D917" i="4"/>
  <c r="D64" i="4"/>
  <c r="D361" i="4"/>
  <c r="D1018" i="4"/>
  <c r="D812" i="4"/>
  <c r="D41" i="4"/>
  <c r="D79" i="4"/>
  <c r="D91" i="4"/>
  <c r="D211" i="4"/>
  <c r="D325" i="4"/>
  <c r="D296" i="4"/>
  <c r="D394" i="4"/>
  <c r="D173" i="4"/>
  <c r="D1015" i="4"/>
  <c r="D738" i="4"/>
  <c r="D53" i="4"/>
  <c r="D116" i="4"/>
  <c r="D399" i="4"/>
  <c r="D796" i="4"/>
  <c r="D56" i="4"/>
  <c r="D84" i="4"/>
  <c r="D926" i="4"/>
  <c r="D581" i="4"/>
  <c r="D697" i="4"/>
  <c r="D1008" i="4"/>
  <c r="D888" i="4"/>
  <c r="D228" i="4"/>
  <c r="D473" i="4"/>
  <c r="D274" i="4"/>
  <c r="D410" i="4"/>
  <c r="D196" i="4"/>
  <c r="D505" i="4"/>
  <c r="D312" i="4"/>
  <c r="D336" i="4"/>
  <c r="D671" i="4"/>
  <c r="D479" i="4"/>
  <c r="D282" i="4"/>
  <c r="D970" i="4"/>
  <c r="D778" i="4"/>
  <c r="D586" i="4"/>
  <c r="D370" i="4"/>
  <c r="D777" i="4"/>
  <c r="D477" i="4"/>
  <c r="D40" i="4"/>
  <c r="D740" i="4"/>
  <c r="D440" i="4"/>
  <c r="D955" i="4"/>
  <c r="D499" i="4"/>
  <c r="D138" i="4"/>
  <c r="D1026" i="4"/>
  <c r="D726" i="4"/>
  <c r="D414" i="4"/>
  <c r="D171" i="4"/>
  <c r="D408" i="4"/>
  <c r="D119" i="4"/>
  <c r="D112" i="4"/>
  <c r="D600" i="4"/>
  <c r="D806" i="4"/>
  <c r="D227" i="4"/>
  <c r="D294" i="4"/>
  <c r="D249" i="4"/>
  <c r="D787" i="4"/>
  <c r="D185" i="4"/>
  <c r="D865" i="4"/>
  <c r="D864" i="4"/>
  <c r="D916" i="4"/>
  <c r="D482" i="4"/>
  <c r="D176" i="4"/>
  <c r="D646" i="4"/>
  <c r="D524" i="4"/>
  <c r="D834" i="4"/>
  <c r="D90" i="4"/>
  <c r="D1007" i="4"/>
  <c r="D936" i="4"/>
  <c r="D257" i="4"/>
  <c r="D335" i="4"/>
  <c r="D861" i="4"/>
  <c r="D339" i="4"/>
  <c r="D44" i="4"/>
  <c r="D988" i="4"/>
  <c r="D304" i="4"/>
  <c r="D348" i="4"/>
  <c r="D994" i="4"/>
  <c r="D789" i="4"/>
  <c r="D452" i="4"/>
  <c r="D186" i="4"/>
  <c r="D183" i="4"/>
  <c r="D363" i="4"/>
  <c r="D447" i="4"/>
  <c r="D818" i="4"/>
  <c r="D82" i="4"/>
  <c r="D111" i="4"/>
  <c r="D28" i="4"/>
  <c r="D893" i="4"/>
  <c r="D719" i="4"/>
  <c r="D1024" i="4"/>
  <c r="D75" i="4"/>
  <c r="D316" i="4"/>
  <c r="D461" i="4"/>
  <c r="D246" i="4"/>
  <c r="D398" i="4"/>
  <c r="D178" i="4"/>
  <c r="D481" i="4"/>
  <c r="D298" i="4"/>
  <c r="D324" i="4"/>
  <c r="D647" i="4"/>
  <c r="D467" i="4"/>
  <c r="D268" i="4"/>
  <c r="D946" i="4"/>
  <c r="D766" i="4"/>
  <c r="D574" i="4"/>
  <c r="D346" i="4"/>
  <c r="D765" i="4"/>
  <c r="D441" i="4"/>
  <c r="D1016" i="4"/>
  <c r="D728" i="4"/>
  <c r="D428" i="4"/>
  <c r="D799" i="4"/>
  <c r="D463" i="4"/>
  <c r="D1027" i="4"/>
  <c r="D990" i="4"/>
  <c r="D702" i="4"/>
  <c r="D402" i="4"/>
  <c r="D159" i="4"/>
  <c r="D650" i="4"/>
  <c r="D180" i="4"/>
  <c r="D125" i="4"/>
  <c r="D761" i="4"/>
  <c r="D925" i="4"/>
  <c r="D755" i="4"/>
  <c r="D174" i="4"/>
  <c r="D548" i="4"/>
  <c r="D846" i="4"/>
  <c r="D484" i="4"/>
  <c r="D987" i="4"/>
  <c r="D71" i="4"/>
  <c r="D565" i="4"/>
  <c r="D347" i="4"/>
  <c r="D156" i="4"/>
  <c r="D202" i="4"/>
  <c r="D522" i="4"/>
  <c r="D432" i="4"/>
  <c r="D749" i="4"/>
  <c r="D521" i="4"/>
  <c r="D129" i="4"/>
  <c r="D826" i="4"/>
  <c r="D549" i="4"/>
  <c r="D779" i="4"/>
  <c r="D808" i="4"/>
  <c r="D673" i="4"/>
  <c r="D485" i="4"/>
  <c r="D529" i="4"/>
  <c r="D491" i="4"/>
  <c r="D598" i="4"/>
  <c r="D752" i="4"/>
  <c r="D74" i="4"/>
  <c r="D351" i="4"/>
  <c r="D784" i="4"/>
  <c r="D494" i="4"/>
  <c r="D840" i="4"/>
  <c r="D95" i="4"/>
  <c r="D46" i="4"/>
  <c r="D480" i="4"/>
  <c r="D80" i="4"/>
  <c r="D758" i="4"/>
  <c r="D43" i="4"/>
  <c r="D768" i="4"/>
  <c r="D710" i="4"/>
  <c r="D449" i="4"/>
  <c r="D232" i="4"/>
  <c r="D374" i="4"/>
  <c r="D163" i="4"/>
  <c r="D469" i="4"/>
  <c r="D270" i="4"/>
  <c r="D311" i="4"/>
  <c r="D635" i="4"/>
  <c r="D443" i="4"/>
  <c r="D252" i="4"/>
  <c r="D934" i="4"/>
  <c r="D742" i="4"/>
  <c r="D562" i="4"/>
  <c r="D309" i="4"/>
  <c r="D717" i="4"/>
  <c r="D429" i="4"/>
  <c r="D1004" i="4"/>
  <c r="D692" i="4"/>
  <c r="D404" i="4"/>
  <c r="D775" i="4"/>
  <c r="D439" i="4"/>
  <c r="D1003" i="4"/>
  <c r="D978" i="4"/>
  <c r="D666" i="4"/>
  <c r="D330" i="4"/>
  <c r="D302" i="4"/>
  <c r="D720" i="4"/>
  <c r="D411" i="4"/>
  <c r="D939" i="4"/>
  <c r="D844" i="4"/>
  <c r="D748" i="4"/>
  <c r="D641" i="4"/>
  <c r="D585" i="4"/>
  <c r="D619" i="4"/>
  <c r="D534" i="4"/>
  <c r="D131" i="4"/>
  <c r="D663" i="4"/>
  <c r="D533" i="4"/>
  <c r="D385" i="4"/>
  <c r="D30" i="4"/>
  <c r="D573" i="4"/>
  <c r="D122" i="4"/>
  <c r="D831" i="4"/>
  <c r="D591" i="4"/>
  <c r="D458" i="4"/>
  <c r="D161" i="4"/>
  <c r="D73" i="4"/>
  <c r="D422" i="4"/>
  <c r="D695" i="4"/>
  <c r="D790" i="4"/>
  <c r="D489" i="4"/>
  <c r="D523" i="4"/>
  <c r="D438" i="4"/>
  <c r="D72" i="4"/>
  <c r="D530" i="4"/>
  <c r="D879" i="4"/>
  <c r="D108" i="4"/>
  <c r="D904" i="4"/>
  <c r="D731" i="4"/>
  <c r="D165" i="4"/>
  <c r="D780" i="4"/>
  <c r="D96" i="4"/>
  <c r="D889" i="4"/>
  <c r="D832" i="4"/>
  <c r="D425" i="4"/>
  <c r="D214" i="4"/>
  <c r="D362" i="4"/>
  <c r="D130" i="4"/>
  <c r="D457" i="4"/>
  <c r="D256" i="4"/>
  <c r="D283" i="4"/>
  <c r="D623" i="4"/>
  <c r="D431" i="4"/>
  <c r="D223" i="4"/>
  <c r="D922" i="4"/>
  <c r="D730" i="4"/>
  <c r="D538" i="4"/>
  <c r="D295" i="4"/>
  <c r="D705" i="4"/>
  <c r="D405" i="4"/>
  <c r="D980" i="4"/>
  <c r="D656" i="4"/>
  <c r="D356" i="4"/>
  <c r="D751" i="4"/>
  <c r="D415" i="4"/>
  <c r="D943" i="4"/>
  <c r="D954" i="4"/>
  <c r="D642" i="4"/>
  <c r="D305" i="4"/>
  <c r="D278" i="4"/>
  <c r="D759" i="4"/>
  <c r="D540" i="4"/>
  <c r="D867" i="4"/>
  <c r="D887" i="4"/>
  <c r="D104" i="4"/>
  <c r="D712" i="4"/>
  <c r="D89" i="4"/>
  <c r="D557" i="4"/>
  <c r="D899" i="4"/>
  <c r="D121" i="4"/>
  <c r="D1012" i="4"/>
  <c r="D853" i="4"/>
  <c r="D259" i="4"/>
  <c r="D797" i="4"/>
  <c r="D820" i="4"/>
  <c r="D977" i="4"/>
  <c r="D948" i="4"/>
  <c r="D401" i="4"/>
  <c r="D199" i="4"/>
  <c r="D350" i="4"/>
  <c r="D625" i="4"/>
  <c r="D445" i="4"/>
  <c r="D240" i="4"/>
  <c r="D253" i="4"/>
  <c r="D611" i="4"/>
  <c r="D419" i="4"/>
  <c r="D190" i="4"/>
  <c r="D910" i="4"/>
  <c r="D718" i="4"/>
  <c r="D514" i="4"/>
  <c r="D281" i="4"/>
  <c r="D693" i="4"/>
  <c r="D345" i="4"/>
  <c r="D944" i="4"/>
  <c r="D644" i="4"/>
  <c r="D320" i="4"/>
  <c r="D715" i="4"/>
  <c r="D403" i="4"/>
  <c r="D871" i="4"/>
  <c r="D930" i="4"/>
  <c r="D618" i="4"/>
  <c r="D261" i="4"/>
  <c r="D254" i="4"/>
  <c r="D842" i="4"/>
  <c r="D699" i="4"/>
  <c r="D88" i="4"/>
  <c r="D32" i="4"/>
  <c r="D929" i="4"/>
  <c r="D55" i="4"/>
  <c r="D616" i="4"/>
  <c r="D915" i="4"/>
  <c r="D83" i="4"/>
  <c r="D101" i="4"/>
  <c r="D999" i="4"/>
  <c r="D400" i="4"/>
  <c r="D819" i="4"/>
  <c r="D901" i="4"/>
  <c r="D128" i="4"/>
  <c r="D66" i="4"/>
  <c r="D389" i="4"/>
  <c r="D166" i="4"/>
  <c r="D338" i="4"/>
  <c r="D613" i="4"/>
  <c r="D421" i="4"/>
  <c r="D225" i="4"/>
  <c r="D239" i="4"/>
  <c r="D587" i="4"/>
  <c r="D407" i="4"/>
  <c r="D175" i="4"/>
  <c r="D886" i="4"/>
  <c r="D706" i="4"/>
  <c r="D502" i="4"/>
  <c r="D237" i="4"/>
  <c r="D669" i="4"/>
  <c r="D333" i="4"/>
  <c r="D920" i="4"/>
  <c r="D632" i="4"/>
  <c r="D307" i="4"/>
  <c r="D679" i="4"/>
  <c r="D379" i="4"/>
  <c r="D823" i="4"/>
  <c r="D894" i="4"/>
  <c r="D606" i="4"/>
  <c r="D247" i="4"/>
  <c r="D218" i="4"/>
  <c r="D126" i="4"/>
  <c r="D721" i="4"/>
  <c r="D708" i="4"/>
  <c r="D114" i="4"/>
  <c r="D54" i="4"/>
  <c r="D68" i="4"/>
  <c r="D378" i="4"/>
  <c r="D267" i="4"/>
  <c r="D206" i="4"/>
  <c r="D496" i="4"/>
  <c r="D578" i="4"/>
  <c r="D459" i="4"/>
  <c r="D938" i="4"/>
  <c r="D785" i="4"/>
  <c r="D412" i="4"/>
  <c r="D911" i="4"/>
  <c r="D845" i="4"/>
  <c r="D576" i="4"/>
  <c r="D552" i="4"/>
  <c r="D258" i="4"/>
  <c r="D713" i="4"/>
  <c r="D951" i="4"/>
  <c r="D57" i="4"/>
  <c r="D100" i="4"/>
  <c r="D49" i="4"/>
  <c r="D984" i="4"/>
  <c r="D564" i="4"/>
  <c r="D841" i="4"/>
  <c r="D70" i="4"/>
  <c r="D113" i="4"/>
  <c r="D962" i="4"/>
  <c r="D436" i="4"/>
  <c r="D437" i="4"/>
  <c r="D288" i="4"/>
  <c r="D470" i="4"/>
  <c r="D326" i="4"/>
  <c r="D148" i="4"/>
  <c r="D517" i="4"/>
  <c r="D373" i="4"/>
  <c r="D210" i="4"/>
  <c r="D297" i="4"/>
  <c r="D683" i="4"/>
  <c r="D539" i="4"/>
  <c r="D395" i="4"/>
  <c r="D238" i="4"/>
  <c r="D982" i="4"/>
  <c r="D838" i="4"/>
  <c r="D694" i="4"/>
  <c r="D550" i="4"/>
  <c r="D382" i="4"/>
  <c r="D873" i="4"/>
  <c r="D633" i="4"/>
  <c r="D417" i="4"/>
  <c r="D155" i="4"/>
  <c r="D836" i="4"/>
  <c r="D608" i="4"/>
  <c r="D368" i="4"/>
  <c r="D979" i="4"/>
  <c r="D595" i="4"/>
  <c r="D355" i="4"/>
  <c r="D967" i="4"/>
  <c r="D38" i="4"/>
  <c r="D822" i="4"/>
  <c r="D594" i="4"/>
  <c r="D354" i="4"/>
  <c r="D255" i="4"/>
  <c r="D194" i="4"/>
  <c r="D624" i="4"/>
  <c r="D890" i="4"/>
  <c r="D504" i="4"/>
  <c r="D1010" i="4"/>
  <c r="D905" i="4"/>
  <c r="D568" i="4"/>
  <c r="D118" i="4"/>
  <c r="D960" i="4"/>
  <c r="D746" i="4"/>
  <c r="D809" i="4"/>
  <c r="D617" i="4"/>
  <c r="D880" i="4"/>
  <c r="D123" i="4"/>
  <c r="D996" i="4"/>
  <c r="D638" i="4"/>
  <c r="D877" i="4"/>
  <c r="D413" i="4"/>
  <c r="D260" i="4"/>
  <c r="D446" i="4"/>
  <c r="D299" i="4"/>
  <c r="D637" i="4"/>
  <c r="D493" i="4"/>
  <c r="D349" i="4"/>
  <c r="D177" i="4"/>
  <c r="D269" i="4"/>
  <c r="D659" i="4"/>
  <c r="D515" i="4"/>
  <c r="D371" i="4"/>
  <c r="D208" i="4"/>
  <c r="D958" i="4"/>
  <c r="D814" i="4"/>
  <c r="D670" i="4"/>
  <c r="D526" i="4"/>
  <c r="D358" i="4"/>
  <c r="D837" i="4"/>
  <c r="D609" i="4"/>
  <c r="D381" i="4"/>
  <c r="D1028" i="4"/>
  <c r="D800" i="4"/>
  <c r="D572" i="4"/>
  <c r="D344" i="4"/>
  <c r="D895" i="4"/>
  <c r="D547" i="4"/>
  <c r="D319" i="4"/>
  <c r="D907" i="4"/>
  <c r="D1014" i="4"/>
  <c r="D786" i="4"/>
  <c r="D546" i="4"/>
  <c r="D318" i="4"/>
  <c r="D207" i="4"/>
  <c r="D158" i="4"/>
  <c r="D698" i="4"/>
  <c r="D1019" i="4"/>
  <c r="D593" i="4"/>
  <c r="D45" i="4"/>
  <c r="D945" i="4"/>
  <c r="D627" i="4"/>
  <c r="D688" i="4"/>
  <c r="D424" i="4"/>
  <c r="D636" i="4"/>
  <c r="D150" i="4"/>
  <c r="D364" i="4"/>
  <c r="D687" i="4"/>
  <c r="D792" i="4"/>
  <c r="D856" i="4"/>
  <c r="D169" i="4"/>
  <c r="D953" i="4"/>
  <c r="D733" i="4"/>
  <c r="D782" i="4"/>
  <c r="D805" i="4"/>
  <c r="D854" i="4"/>
  <c r="D31" i="4"/>
  <c r="D468" i="4"/>
  <c r="D327" i="4"/>
  <c r="D639" i="4"/>
  <c r="D897" i="4"/>
  <c r="D590" i="4"/>
  <c r="D857" i="4"/>
  <c r="D69" i="4"/>
  <c r="D1009" i="4"/>
  <c r="D115" i="4"/>
  <c r="D132" i="4"/>
  <c r="D340" i="4"/>
  <c r="D736" i="4"/>
  <c r="D972" i="4"/>
  <c r="D1025" i="4"/>
  <c r="D63" i="4"/>
  <c r="D554" i="4"/>
  <c r="D497" i="4"/>
  <c r="D353" i="4"/>
  <c r="D184" i="4"/>
  <c r="D386" i="4"/>
  <c r="D226" i="4"/>
  <c r="D577" i="4"/>
  <c r="D433" i="4"/>
  <c r="D284" i="4"/>
  <c r="D360" i="4"/>
  <c r="D191" i="4"/>
  <c r="D599" i="4"/>
  <c r="D455" i="4"/>
  <c r="D310" i="4"/>
  <c r="D42" i="4"/>
  <c r="D898" i="4"/>
  <c r="D754" i="4"/>
  <c r="D610" i="4"/>
  <c r="D466" i="4"/>
  <c r="D265" i="4"/>
  <c r="D729" i="4"/>
  <c r="D501" i="4"/>
  <c r="D280" i="4"/>
  <c r="D932" i="4"/>
  <c r="D716" i="4"/>
  <c r="D464" i="4"/>
  <c r="D220" i="4"/>
  <c r="D703" i="4"/>
  <c r="D451" i="4"/>
  <c r="D216" i="4"/>
  <c r="D655" i="4"/>
  <c r="D906" i="4"/>
  <c r="D690" i="4"/>
  <c r="D450" i="4"/>
  <c r="D215" i="4"/>
  <c r="D290" i="4"/>
  <c r="D133" i="4"/>
  <c r="D58" i="4"/>
  <c r="D1001" i="4"/>
  <c r="D821" i="4"/>
  <c r="D903" i="4"/>
  <c r="D772" i="4"/>
  <c r="D924" i="4"/>
  <c r="D653" i="4"/>
  <c r="D664" i="4"/>
  <c r="D301" i="4"/>
  <c r="D950" i="4"/>
  <c r="D76" i="4"/>
  <c r="D420" i="4"/>
  <c r="D102" i="4"/>
  <c r="D300" i="4"/>
  <c r="D78" i="4"/>
  <c r="D913" i="4"/>
  <c r="D81" i="4"/>
  <c r="D983" i="4"/>
  <c r="D676" i="4"/>
  <c r="D791" i="4"/>
  <c r="D602" i="4"/>
  <c r="D725" i="4"/>
  <c r="D508" i="4"/>
  <c r="D833" i="4"/>
  <c r="D556" i="4"/>
  <c r="D65" i="4"/>
  <c r="D744" i="4"/>
  <c r="D998" i="4"/>
  <c r="D628" i="4"/>
  <c r="D518" i="4"/>
  <c r="D544" i="4"/>
  <c r="D106" i="4"/>
  <c r="D615" i="4"/>
  <c r="D1020" i="4"/>
  <c r="D783" i="4"/>
  <c r="D1000" i="4"/>
  <c r="D701" i="4"/>
  <c r="D927" i="4"/>
  <c r="D684" i="4"/>
  <c r="D604" i="4"/>
  <c r="D689" i="4"/>
  <c r="M21" i="4"/>
  <c r="M22" i="4" s="1"/>
  <c r="M23" i="4" s="1"/>
  <c r="L914" i="4" s="1"/>
  <c r="D418" i="4"/>
  <c r="D204" i="4"/>
  <c r="D753" i="4"/>
  <c r="D561" i="4"/>
  <c r="D357" i="4"/>
  <c r="D140" i="4"/>
  <c r="D872" i="4"/>
  <c r="D668" i="4"/>
  <c r="D488" i="4"/>
  <c r="D293" i="4"/>
  <c r="D835" i="4"/>
  <c r="D583" i="4"/>
  <c r="D391" i="4"/>
  <c r="D153" i="4"/>
  <c r="D763" i="4"/>
  <c r="D966" i="4"/>
  <c r="D762" i="4"/>
  <c r="D582" i="4"/>
  <c r="D390" i="4"/>
  <c r="D152" i="4"/>
  <c r="D147" i="4"/>
  <c r="D146" i="4"/>
  <c r="D566" i="4"/>
  <c r="D940" i="4"/>
  <c r="D149" i="4"/>
  <c r="D651" i="4"/>
  <c r="D957" i="4"/>
  <c r="D975" i="4"/>
  <c r="D770" i="4"/>
  <c r="D460" i="4"/>
  <c r="D923" i="4"/>
  <c r="D612" i="4"/>
  <c r="D507" i="4"/>
  <c r="D47" i="4"/>
  <c r="D928" i="4"/>
  <c r="D603" i="4"/>
  <c r="D876" i="4"/>
  <c r="D35" i="4"/>
  <c r="D734" i="4"/>
  <c r="D137" i="4"/>
  <c r="D314" i="4"/>
  <c r="D134" i="4"/>
  <c r="D592" i="4"/>
  <c r="D724" i="4"/>
  <c r="D388" i="4"/>
  <c r="D675" i="4"/>
  <c r="D993" i="4"/>
  <c r="D1011" i="4"/>
  <c r="D875" i="4"/>
  <c r="D542" i="4"/>
  <c r="D959" i="4"/>
  <c r="D815" i="4"/>
  <c r="D569" i="4"/>
  <c r="D127" i="4"/>
  <c r="D92" i="4"/>
  <c r="D660" i="4"/>
  <c r="D36" i="4"/>
  <c r="D105" i="4"/>
  <c r="D756" i="4"/>
  <c r="L843" i="4"/>
  <c r="D37" i="4"/>
  <c r="D933" i="4"/>
  <c r="D334" i="4"/>
  <c r="D849" i="4"/>
  <c r="D645" i="4"/>
  <c r="D465" i="4"/>
  <c r="D264" i="4"/>
  <c r="D956" i="4"/>
  <c r="D776" i="4"/>
  <c r="D584" i="4"/>
  <c r="D380" i="4"/>
  <c r="D172" i="4"/>
  <c r="D691" i="4"/>
  <c r="D475" i="4"/>
  <c r="D292" i="4"/>
  <c r="D931" i="4"/>
  <c r="D50" i="4"/>
  <c r="D870" i="4"/>
  <c r="D678" i="4"/>
  <c r="D474" i="4"/>
  <c r="D289" i="4"/>
  <c r="D243" i="4"/>
  <c r="D230" i="4"/>
  <c r="D157" i="4"/>
  <c r="D737" i="4"/>
  <c r="D605" i="4"/>
  <c r="D273" i="4"/>
  <c r="D804" i="4"/>
  <c r="D99" i="4"/>
  <c r="D48" i="4"/>
  <c r="D555" i="4"/>
  <c r="D722" i="4"/>
  <c r="D807" i="4"/>
  <c r="D816" i="4"/>
  <c r="D745" i="4"/>
  <c r="D909" i="4"/>
  <c r="D212" i="4"/>
  <c r="D981" i="4"/>
  <c r="D869" i="4"/>
  <c r="D328" i="4"/>
  <c r="D986" i="4"/>
  <c r="D406" i="4"/>
  <c r="D251" i="4"/>
  <c r="D825" i="4"/>
  <c r="D681" i="4"/>
  <c r="D537" i="4"/>
  <c r="D393" i="4"/>
  <c r="D236" i="4"/>
  <c r="D992" i="4"/>
  <c r="D848" i="4"/>
  <c r="D704" i="4"/>
  <c r="D560" i="4"/>
  <c r="D416" i="4"/>
  <c r="D263" i="4"/>
  <c r="D919" i="4"/>
  <c r="D667" i="4"/>
  <c r="D511" i="4"/>
  <c r="D367" i="4"/>
  <c r="D201" i="4"/>
  <c r="D883" i="4"/>
  <c r="D86" i="4"/>
  <c r="D942" i="4"/>
  <c r="D798" i="4"/>
  <c r="D654" i="4"/>
  <c r="D510" i="4"/>
  <c r="D366" i="4"/>
  <c r="D200" i="4"/>
  <c r="D219" i="4"/>
  <c r="D266" i="4"/>
  <c r="D229" i="4"/>
  <c r="D456" i="4"/>
  <c r="D781" i="4"/>
  <c r="D769" i="4"/>
  <c r="D614" i="4"/>
  <c r="D567" i="4"/>
  <c r="D843" i="4"/>
  <c r="D59" i="4"/>
  <c r="D60" i="4"/>
  <c r="D315" i="4"/>
  <c r="D949" i="4"/>
  <c r="D652" i="4"/>
  <c r="D995" i="4"/>
  <c r="D686" i="4"/>
  <c r="D93" i="4"/>
  <c r="D677" i="4"/>
  <c r="D829" i="4"/>
  <c r="D435" i="4"/>
  <c r="D375" i="4"/>
  <c r="D997" i="4"/>
  <c r="D640" i="4"/>
  <c r="D384" i="4"/>
  <c r="D245" i="4"/>
  <c r="D839" i="4"/>
  <c r="D94" i="4"/>
  <c r="D222" i="4"/>
  <c r="D801" i="4"/>
  <c r="D657" i="4"/>
  <c r="D513" i="4"/>
  <c r="D369" i="4"/>
  <c r="D203" i="4"/>
  <c r="D968" i="4"/>
  <c r="D824" i="4"/>
  <c r="D680" i="4"/>
  <c r="D536" i="4"/>
  <c r="D392" i="4"/>
  <c r="D235" i="4"/>
  <c r="D859" i="4"/>
  <c r="D631" i="4"/>
  <c r="D487" i="4"/>
  <c r="D343" i="4"/>
  <c r="D168" i="4"/>
  <c r="D847" i="4"/>
  <c r="D62" i="4"/>
  <c r="D918" i="4"/>
  <c r="D774" i="4"/>
  <c r="D630" i="4"/>
  <c r="D486" i="4"/>
  <c r="D342" i="4"/>
  <c r="D167" i="4"/>
  <c r="D195" i="4"/>
  <c r="D242" i="4"/>
  <c r="D205" i="4"/>
  <c r="D532" i="4"/>
  <c r="D881" i="4"/>
  <c r="D34" i="4"/>
  <c r="D855" i="4"/>
  <c r="D626" i="4"/>
  <c r="D885" i="4"/>
  <c r="D85" i="4"/>
  <c r="D976" i="4"/>
  <c r="D662" i="4"/>
  <c r="D197" i="4"/>
  <c r="D700" i="4"/>
  <c r="D87" i="4"/>
  <c r="D51" i="4"/>
  <c r="D287" i="4"/>
  <c r="D723" i="4"/>
  <c r="D33" i="4"/>
  <c r="D793" i="4"/>
  <c r="D471" i="4"/>
  <c r="D830" i="4"/>
  <c r="D985" i="4"/>
  <c r="D709" i="4"/>
  <c r="D396" i="4"/>
  <c r="D878" i="4"/>
  <c r="D213" i="4"/>
  <c r="D947" i="4"/>
  <c r="D588" i="4"/>
  <c r="D914" i="4"/>
  <c r="D179" i="4"/>
  <c r="D322" i="4"/>
  <c r="D141" i="4"/>
  <c r="D741" i="4"/>
  <c r="D597" i="4"/>
  <c r="D453" i="4"/>
  <c r="D308" i="4"/>
  <c r="D52" i="4"/>
  <c r="D908" i="4"/>
  <c r="D764" i="4"/>
  <c r="D620" i="4"/>
  <c r="D476" i="4"/>
  <c r="D332" i="4"/>
  <c r="D154" i="4"/>
  <c r="D727" i="4"/>
  <c r="D571" i="4"/>
  <c r="D427" i="4"/>
  <c r="D276" i="4"/>
  <c r="D991" i="4"/>
  <c r="D739" i="4"/>
  <c r="D1002" i="4"/>
  <c r="D858" i="4"/>
  <c r="D714" i="4"/>
  <c r="D570" i="4"/>
  <c r="D426" i="4"/>
  <c r="D275" i="4"/>
  <c r="D279" i="4"/>
  <c r="D135" i="4"/>
  <c r="D182" i="4"/>
  <c r="D145" i="4"/>
  <c r="D674" i="4"/>
  <c r="D61" i="4"/>
  <c r="D732" i="4"/>
  <c r="D352" i="4"/>
  <c r="D743" i="4"/>
  <c r="D974" i="4"/>
  <c r="D866" i="4"/>
  <c r="D376" i="4"/>
  <c r="D580" i="4"/>
  <c r="D506" i="4"/>
  <c r="D827" i="4"/>
  <c r="D961" i="4"/>
  <c r="D244" i="4"/>
  <c r="D543" i="4"/>
  <c r="D828" i="4"/>
  <c r="D77" i="4"/>
  <c r="D794" i="4"/>
  <c r="D629" i="4"/>
  <c r="D963" i="4"/>
  <c r="D747" i="4"/>
  <c r="D520" i="4"/>
  <c r="D665" i="4"/>
  <c r="D969" i="4"/>
  <c r="D519" i="4"/>
  <c r="D444" i="4"/>
  <c r="D773" i="4"/>
  <c r="D1005" i="4"/>
  <c r="D771" i="4"/>
  <c r="D492" i="4"/>
  <c r="D795" i="4"/>
  <c r="D1022" i="4"/>
  <c r="D964" i="4"/>
  <c r="D528" i="4"/>
  <c r="D817" i="4"/>
  <c r="D39" i="4"/>
  <c r="L438" i="4"/>
  <c r="L453" i="4"/>
  <c r="L743" i="4"/>
  <c r="L992" i="4"/>
  <c r="L488" i="4"/>
  <c r="L885" i="4"/>
  <c r="M885" i="4" s="1"/>
  <c r="L212" i="4"/>
  <c r="M212" i="4" s="1"/>
  <c r="L716" i="4"/>
  <c r="L676" i="4"/>
  <c r="L276" i="4"/>
  <c r="L415" i="4"/>
  <c r="L905" i="4"/>
  <c r="L976" i="4"/>
  <c r="L602" i="4"/>
  <c r="L58" i="4"/>
  <c r="L283" i="4"/>
  <c r="L39" i="4"/>
  <c r="L771" i="4"/>
  <c r="L128" i="4"/>
  <c r="L560" i="4"/>
  <c r="L362" i="4"/>
  <c r="L62" i="4"/>
  <c r="L350" i="4"/>
  <c r="L38" i="4"/>
  <c r="L161" i="4"/>
  <c r="L1017" i="4"/>
  <c r="L532" i="4"/>
  <c r="L911" i="4"/>
  <c r="L105" i="4"/>
  <c r="L266" i="4"/>
  <c r="L331" i="4"/>
  <c r="L43" i="4"/>
  <c r="L617" i="4"/>
  <c r="L85" i="4"/>
  <c r="L110" i="4"/>
  <c r="L319" i="4"/>
  <c r="L86" i="4"/>
  <c r="L295" i="4"/>
  <c r="L593" i="4"/>
  <c r="L473" i="4"/>
  <c r="L107" i="4"/>
  <c r="L154" i="4"/>
  <c r="L71" i="4"/>
  <c r="L689" i="4"/>
  <c r="L389" i="4"/>
  <c r="L41" i="4"/>
  <c r="L1023" i="4"/>
  <c r="L735" i="4"/>
  <c r="L882" i="4"/>
  <c r="L927" i="4"/>
  <c r="L469" i="4"/>
  <c r="L614" i="4"/>
  <c r="L356" i="4"/>
  <c r="L316" i="4"/>
  <c r="L408" i="4"/>
  <c r="L176" i="4"/>
  <c r="L30" i="4"/>
  <c r="L333" i="4"/>
  <c r="L899" i="4"/>
  <c r="L576" i="4"/>
  <c r="L310" i="4"/>
  <c r="L386" i="4"/>
  <c r="L242" i="4"/>
  <c r="L98" i="4"/>
  <c r="L667" i="4"/>
  <c r="L475" i="4"/>
  <c r="L826" i="4"/>
  <c r="L1022" i="4"/>
  <c r="L165" i="4"/>
  <c r="L361" i="4"/>
  <c r="L56" i="4"/>
  <c r="L630" i="4"/>
  <c r="L93" i="4"/>
  <c r="L966" i="4"/>
  <c r="L649" i="4"/>
  <c r="L255" i="4"/>
  <c r="L847" i="4"/>
  <c r="L68" i="4"/>
  <c r="L338" i="4"/>
  <c r="L194" i="4"/>
  <c r="L50" i="4"/>
  <c r="L191" i="4"/>
  <c r="L595" i="4"/>
  <c r="L713" i="4"/>
  <c r="L205" i="4"/>
  <c r="L752" i="4"/>
  <c r="L907" i="4"/>
  <c r="L246" i="4"/>
  <c r="L303" i="4"/>
  <c r="L309" i="4"/>
  <c r="L279" i="4"/>
  <c r="L32" i="4"/>
  <c r="L423" i="4"/>
  <c r="L193" i="4"/>
  <c r="L253" i="4"/>
  <c r="L1016" i="4"/>
  <c r="L446" i="4"/>
  <c r="L302" i="4"/>
  <c r="L158" i="4"/>
  <c r="L82" i="4"/>
  <c r="L223" i="4"/>
  <c r="L857" i="4"/>
  <c r="L512" i="4"/>
  <c r="L409" i="4"/>
  <c r="L622" i="4"/>
  <c r="L696" i="4"/>
  <c r="L956" i="4"/>
  <c r="L1012" i="4"/>
  <c r="L492" i="4"/>
  <c r="L711" i="4"/>
  <c r="L789" i="4"/>
  <c r="L627" i="4"/>
  <c r="L651" i="4"/>
  <c r="L478" i="4"/>
  <c r="L232" i="4"/>
  <c r="L846" i="4"/>
  <c r="L517" i="4"/>
  <c r="L312" i="4"/>
  <c r="L382" i="4"/>
  <c r="L147" i="4"/>
  <c r="L1025" i="4"/>
  <c r="L845" i="4"/>
  <c r="L449" i="4"/>
  <c r="L77" i="4"/>
  <c r="L809" i="4"/>
  <c r="L233" i="4"/>
  <c r="L641" i="4"/>
  <c r="L497" i="4"/>
  <c r="L353" i="4"/>
  <c r="L65" i="4"/>
  <c r="L631" i="4"/>
  <c r="L487" i="4"/>
  <c r="L211" i="4" l="1"/>
  <c r="L187" i="4"/>
  <c r="L634" i="4"/>
  <c r="L916" i="4"/>
  <c r="L225" i="4"/>
  <c r="L400" i="4"/>
  <c r="L493" i="4"/>
  <c r="L289" i="4"/>
  <c r="L632" i="4"/>
  <c r="L336" i="4"/>
  <c r="L586" i="4"/>
  <c r="L687" i="4"/>
  <c r="O687" i="4" s="1"/>
  <c r="L758" i="4"/>
  <c r="L584" i="4"/>
  <c r="L311" i="4"/>
  <c r="L314" i="4"/>
  <c r="L122" i="4"/>
  <c r="L797" i="4"/>
  <c r="L728" i="4"/>
  <c r="M728" i="4" s="1"/>
  <c r="L332" i="4"/>
  <c r="L991" i="4"/>
  <c r="L355" i="4"/>
  <c r="L131" i="4"/>
  <c r="L405" i="4"/>
  <c r="M405" i="4" s="1"/>
  <c r="L494" i="4"/>
  <c r="M494" i="4" s="1"/>
  <c r="L685" i="4"/>
  <c r="L753" i="4"/>
  <c r="L824" i="4"/>
  <c r="L998" i="4"/>
  <c r="L792" i="4"/>
  <c r="L60" i="4"/>
  <c r="L501" i="4"/>
  <c r="L844" i="4"/>
  <c r="L378" i="4"/>
  <c r="L681" i="4"/>
  <c r="L413" i="4"/>
  <c r="M413" i="4" s="1"/>
  <c r="L44" i="4"/>
  <c r="L29" i="4"/>
  <c r="L455" i="4"/>
  <c r="L834" i="4"/>
  <c r="L979" i="4"/>
  <c r="L903" i="4"/>
  <c r="L341" i="4"/>
  <c r="L142" i="4"/>
  <c r="L287" i="4"/>
  <c r="L591" i="4"/>
  <c r="L699" i="4"/>
  <c r="L228" i="4"/>
  <c r="O228" i="4" s="1"/>
  <c r="L910" i="4"/>
  <c r="L244" i="4"/>
  <c r="L722" i="4"/>
  <c r="L949" i="4"/>
  <c r="L306" i="4"/>
  <c r="L401" i="4"/>
  <c r="L793" i="4"/>
  <c r="L570" i="4"/>
  <c r="L959" i="4"/>
  <c r="L125" i="4"/>
  <c r="L674" i="4"/>
  <c r="L749" i="4"/>
  <c r="M749" i="4" s="1"/>
  <c r="L293" i="4"/>
  <c r="L111" i="4"/>
  <c r="L365" i="4"/>
  <c r="L734" i="4"/>
  <c r="L384" i="4"/>
  <c r="L459" i="4"/>
  <c r="L773" i="4"/>
  <c r="L155" i="4"/>
  <c r="L146" i="4"/>
  <c r="L756" i="4"/>
  <c r="L958" i="4"/>
  <c r="L461" i="4"/>
  <c r="N461" i="4" s="1"/>
  <c r="L87" i="4"/>
  <c r="L467" i="4"/>
  <c r="L317" i="4"/>
  <c r="L513" i="4"/>
  <c r="L761" i="4"/>
  <c r="L950" i="4"/>
  <c r="L411" i="4"/>
  <c r="L506" i="4"/>
  <c r="L425" i="4"/>
  <c r="L605" i="4"/>
  <c r="L571" i="4"/>
  <c r="L821" i="4"/>
  <c r="N821" i="4" s="1"/>
  <c r="L270" i="4"/>
  <c r="L511" i="4"/>
  <c r="L917" i="4"/>
  <c r="L89" i="4"/>
  <c r="L434" i="4"/>
  <c r="L112" i="4"/>
  <c r="L357" i="4"/>
  <c r="L677" i="4"/>
  <c r="L859" i="4"/>
  <c r="L642" i="4"/>
  <c r="L533" i="4"/>
  <c r="L741" i="4"/>
  <c r="O741" i="4" s="1"/>
  <c r="L849" i="4"/>
  <c r="L139" i="4"/>
  <c r="L150" i="4"/>
  <c r="L1009" i="4"/>
  <c r="L376" i="4"/>
  <c r="L725" i="4"/>
  <c r="L1013" i="4"/>
  <c r="L419" i="4"/>
  <c r="L34" i="4"/>
  <c r="L952" i="4"/>
  <c r="L767" i="4"/>
  <c r="L935" i="4"/>
  <c r="O935" i="4" s="1"/>
  <c r="L130" i="4"/>
  <c r="L953" i="4"/>
  <c r="L66" i="4"/>
  <c r="L811" i="4"/>
  <c r="L322" i="4"/>
  <c r="L559" i="4"/>
  <c r="L648" i="4"/>
  <c r="L524" i="4"/>
  <c r="L118" i="4"/>
  <c r="L1004" i="4"/>
  <c r="L922" i="4"/>
  <c r="L190" i="4"/>
  <c r="N190" i="4" s="1"/>
  <c r="L90" i="4"/>
  <c r="L1011" i="4"/>
  <c r="L985" i="4"/>
  <c r="L347" i="4"/>
  <c r="L326" i="4"/>
  <c r="L402" i="4"/>
  <c r="L179" i="4"/>
  <c r="L869" i="4"/>
  <c r="L359" i="4"/>
  <c r="L971" i="4"/>
  <c r="G63" i="5"/>
  <c r="F63" i="5"/>
  <c r="E63" i="5"/>
  <c r="G43" i="5"/>
  <c r="F43" i="5"/>
  <c r="E43" i="5"/>
  <c r="G87" i="5"/>
  <c r="F87" i="5"/>
  <c r="E87" i="5"/>
  <c r="G159" i="5"/>
  <c r="F159" i="5"/>
  <c r="E159" i="5"/>
  <c r="G32" i="5"/>
  <c r="F32" i="5"/>
  <c r="E32" i="5"/>
  <c r="G104" i="5"/>
  <c r="F104" i="5"/>
  <c r="E104" i="5"/>
  <c r="G176" i="5"/>
  <c r="F176" i="5"/>
  <c r="E176" i="5"/>
  <c r="G97" i="5"/>
  <c r="F97" i="5"/>
  <c r="E97" i="5"/>
  <c r="G169" i="5"/>
  <c r="F169" i="5"/>
  <c r="E169" i="5"/>
  <c r="G72" i="5"/>
  <c r="F72" i="5"/>
  <c r="E72" i="5"/>
  <c r="G144" i="5"/>
  <c r="F144" i="5"/>
  <c r="E144" i="5"/>
  <c r="F234" i="5"/>
  <c r="G234" i="5"/>
  <c r="E234" i="5"/>
  <c r="G83" i="5"/>
  <c r="F83" i="5"/>
  <c r="E83" i="5"/>
  <c r="G155" i="5"/>
  <c r="F155" i="5"/>
  <c r="E155" i="5"/>
  <c r="G64" i="5"/>
  <c r="F64" i="5"/>
  <c r="E64" i="5"/>
  <c r="G136" i="5"/>
  <c r="F136" i="5"/>
  <c r="E136" i="5"/>
  <c r="G200" i="5"/>
  <c r="F200" i="5"/>
  <c r="E200" i="5"/>
  <c r="G276" i="5"/>
  <c r="F276" i="5"/>
  <c r="E276" i="5"/>
  <c r="G241" i="5"/>
  <c r="F241" i="5"/>
  <c r="E241" i="5"/>
  <c r="G264" i="5"/>
  <c r="F264" i="5"/>
  <c r="E264" i="5"/>
  <c r="G239" i="5"/>
  <c r="F239" i="5"/>
  <c r="E239" i="5"/>
  <c r="F348" i="5"/>
  <c r="G348" i="5"/>
  <c r="E348" i="5"/>
  <c r="G262" i="5"/>
  <c r="F262" i="5"/>
  <c r="E262" i="5"/>
  <c r="G261" i="5"/>
  <c r="F261" i="5"/>
  <c r="E261" i="5"/>
  <c r="F354" i="5"/>
  <c r="G354" i="5"/>
  <c r="E354" i="5"/>
  <c r="F469" i="5"/>
  <c r="G469" i="5"/>
  <c r="E469" i="5"/>
  <c r="G358" i="5"/>
  <c r="F358" i="5"/>
  <c r="E358" i="5"/>
  <c r="F333" i="5"/>
  <c r="G333" i="5"/>
  <c r="E333" i="5"/>
  <c r="F441" i="5"/>
  <c r="G441" i="5"/>
  <c r="E441" i="5"/>
  <c r="F450" i="5"/>
  <c r="G450" i="5"/>
  <c r="E450" i="5"/>
  <c r="F310" i="5"/>
  <c r="G310" i="5"/>
  <c r="E310" i="5"/>
  <c r="F370" i="5"/>
  <c r="G370" i="5"/>
  <c r="E370" i="5"/>
  <c r="G320" i="5"/>
  <c r="F320" i="5"/>
  <c r="E320" i="5"/>
  <c r="G392" i="5"/>
  <c r="F392" i="5"/>
  <c r="E392" i="5"/>
  <c r="F460" i="5"/>
  <c r="G460" i="5"/>
  <c r="E460" i="5"/>
  <c r="G520" i="5"/>
  <c r="F520" i="5"/>
  <c r="E520" i="5"/>
  <c r="G535" i="5"/>
  <c r="F535" i="5"/>
  <c r="E535" i="5"/>
  <c r="G371" i="5"/>
  <c r="F371" i="5"/>
  <c r="E371" i="5"/>
  <c r="G443" i="5"/>
  <c r="F443" i="5"/>
  <c r="E443" i="5"/>
  <c r="F487" i="5"/>
  <c r="G487" i="5"/>
  <c r="E487" i="5"/>
  <c r="G630" i="5"/>
  <c r="F630" i="5"/>
  <c r="E630" i="5"/>
  <c r="G522" i="5"/>
  <c r="F522" i="5"/>
  <c r="E522" i="5"/>
  <c r="G538" i="5"/>
  <c r="F538" i="5"/>
  <c r="E538" i="5"/>
  <c r="G564" i="5"/>
  <c r="F564" i="5"/>
  <c r="E564" i="5"/>
  <c r="G501" i="5"/>
  <c r="F501" i="5"/>
  <c r="E501" i="5"/>
  <c r="F557" i="5"/>
  <c r="G557" i="5"/>
  <c r="E557" i="5"/>
  <c r="F610" i="5"/>
  <c r="G610" i="5"/>
  <c r="E610" i="5"/>
  <c r="G636" i="5"/>
  <c r="F636" i="5"/>
  <c r="E636" i="5"/>
  <c r="G536" i="5"/>
  <c r="F536" i="5"/>
  <c r="E536" i="5"/>
  <c r="F604" i="5"/>
  <c r="G604" i="5"/>
  <c r="E604" i="5"/>
  <c r="F593" i="5"/>
  <c r="G593" i="5"/>
  <c r="E593" i="5"/>
  <c r="G696" i="5"/>
  <c r="F696" i="5"/>
  <c r="E696" i="5"/>
  <c r="G558" i="5"/>
  <c r="F558" i="5"/>
  <c r="E558" i="5"/>
  <c r="G644" i="5"/>
  <c r="F644" i="5"/>
  <c r="E644" i="5"/>
  <c r="G632" i="5"/>
  <c r="F632" i="5"/>
  <c r="E632" i="5"/>
  <c r="G766" i="5"/>
  <c r="F766" i="5"/>
  <c r="E766" i="5"/>
  <c r="G698" i="5"/>
  <c r="F698" i="5"/>
  <c r="E698" i="5"/>
  <c r="F836" i="5"/>
  <c r="G836" i="5"/>
  <c r="E836" i="5"/>
  <c r="G649" i="5"/>
  <c r="F649" i="5"/>
  <c r="E649" i="5"/>
  <c r="G800" i="5"/>
  <c r="F800" i="5"/>
  <c r="E800" i="5"/>
  <c r="G786" i="5"/>
  <c r="F786" i="5"/>
  <c r="E786" i="5"/>
  <c r="G713" i="5"/>
  <c r="F713" i="5"/>
  <c r="E713" i="5"/>
  <c r="G745" i="5"/>
  <c r="F745" i="5"/>
  <c r="E745" i="5"/>
  <c r="G773" i="5"/>
  <c r="F773" i="5"/>
  <c r="E773" i="5"/>
  <c r="G848" i="5"/>
  <c r="F848" i="5"/>
  <c r="E848" i="5"/>
  <c r="G743" i="5"/>
  <c r="F743" i="5"/>
  <c r="E743" i="5"/>
  <c r="G754" i="5"/>
  <c r="F754" i="5"/>
  <c r="E754" i="5"/>
  <c r="G732" i="5"/>
  <c r="F732" i="5"/>
  <c r="E732" i="5"/>
  <c r="G859" i="5"/>
  <c r="F859" i="5"/>
  <c r="E859" i="5"/>
  <c r="G879" i="5"/>
  <c r="F879" i="5"/>
  <c r="E879" i="5"/>
  <c r="G807" i="5"/>
  <c r="F807" i="5"/>
  <c r="E807" i="5"/>
  <c r="G1007" i="5"/>
  <c r="F1007" i="5"/>
  <c r="E1007" i="5"/>
  <c r="G873" i="5"/>
  <c r="F873" i="5"/>
  <c r="E873" i="5"/>
  <c r="F881" i="5"/>
  <c r="G881" i="5"/>
  <c r="E881" i="5"/>
  <c r="G948" i="5"/>
  <c r="F948" i="5"/>
  <c r="E948" i="5"/>
  <c r="G901" i="5"/>
  <c r="F901" i="5"/>
  <c r="E901" i="5"/>
  <c r="G963" i="5"/>
  <c r="F963" i="5"/>
  <c r="E963" i="5"/>
  <c r="F907" i="5"/>
  <c r="G907" i="5"/>
  <c r="E907" i="5"/>
  <c r="G969" i="5"/>
  <c r="F969" i="5"/>
  <c r="E969" i="5"/>
  <c r="G962" i="5"/>
  <c r="F962" i="5"/>
  <c r="E962" i="5"/>
  <c r="G998" i="5"/>
  <c r="F998" i="5"/>
  <c r="E998" i="5"/>
  <c r="G1009" i="5"/>
  <c r="F1009" i="5"/>
  <c r="E1009" i="5"/>
  <c r="F946" i="5"/>
  <c r="G946" i="5"/>
  <c r="E946" i="5"/>
  <c r="F990" i="5"/>
  <c r="G990" i="5"/>
  <c r="E990" i="5"/>
  <c r="N49" i="5"/>
  <c r="O49" i="5"/>
  <c r="M49" i="5"/>
  <c r="O71" i="5"/>
  <c r="N71" i="5"/>
  <c r="M71" i="5"/>
  <c r="O143" i="5"/>
  <c r="N143" i="5"/>
  <c r="M143" i="5"/>
  <c r="O242" i="5"/>
  <c r="N242" i="5"/>
  <c r="M242" i="5"/>
  <c r="O100" i="5"/>
  <c r="N100" i="5"/>
  <c r="M100" i="5"/>
  <c r="O172" i="5"/>
  <c r="N172" i="5"/>
  <c r="M172" i="5"/>
  <c r="O57" i="5"/>
  <c r="N57" i="5"/>
  <c r="M57" i="5"/>
  <c r="O129" i="5"/>
  <c r="N129" i="5"/>
  <c r="M129" i="5"/>
  <c r="O203" i="5"/>
  <c r="N203" i="5"/>
  <c r="M203" i="5"/>
  <c r="N56" i="5"/>
  <c r="O56" i="5"/>
  <c r="M56" i="5"/>
  <c r="O128" i="5"/>
  <c r="N128" i="5"/>
  <c r="M128" i="5"/>
  <c r="O212" i="5"/>
  <c r="N212" i="5"/>
  <c r="M212" i="5"/>
  <c r="N85" i="5"/>
  <c r="O85" i="5"/>
  <c r="M85" i="5"/>
  <c r="N157" i="5"/>
  <c r="O157" i="5"/>
  <c r="M157" i="5"/>
  <c r="O259" i="5"/>
  <c r="N259" i="5"/>
  <c r="M259" i="5"/>
  <c r="O96" i="5"/>
  <c r="N96" i="5"/>
  <c r="M96" i="5"/>
  <c r="O168" i="5"/>
  <c r="N168" i="5"/>
  <c r="M168" i="5"/>
  <c r="O323" i="5"/>
  <c r="N323" i="5"/>
  <c r="M323" i="5"/>
  <c r="O207" i="5"/>
  <c r="N207" i="5"/>
  <c r="M207" i="5"/>
  <c r="N291" i="5"/>
  <c r="O291" i="5"/>
  <c r="M291" i="5"/>
  <c r="N325" i="5"/>
  <c r="O325" i="5"/>
  <c r="M325" i="5"/>
  <c r="O332" i="5"/>
  <c r="N332" i="5"/>
  <c r="M332" i="5"/>
  <c r="N258" i="5"/>
  <c r="O258" i="5"/>
  <c r="M258" i="5"/>
  <c r="O263" i="5"/>
  <c r="N263" i="5"/>
  <c r="M263" i="5"/>
  <c r="O311" i="5"/>
  <c r="N311" i="5"/>
  <c r="M311" i="5"/>
  <c r="N424" i="5"/>
  <c r="O424" i="5"/>
  <c r="M424" i="5"/>
  <c r="N374" i="5"/>
  <c r="O374" i="5"/>
  <c r="M374" i="5"/>
  <c r="O284" i="5"/>
  <c r="N284" i="5"/>
  <c r="M284" i="5"/>
  <c r="N376" i="5"/>
  <c r="O376" i="5"/>
  <c r="M376" i="5"/>
  <c r="O326" i="5"/>
  <c r="N326" i="5"/>
  <c r="M326" i="5"/>
  <c r="O434" i="5"/>
  <c r="N434" i="5"/>
  <c r="M434" i="5"/>
  <c r="N391" i="5"/>
  <c r="O391" i="5"/>
  <c r="M391" i="5"/>
  <c r="O498" i="5"/>
  <c r="N498" i="5"/>
  <c r="M498" i="5"/>
  <c r="O339" i="5"/>
  <c r="N339" i="5"/>
  <c r="M339" i="5"/>
  <c r="O411" i="5"/>
  <c r="N411" i="5"/>
  <c r="M411" i="5"/>
  <c r="N520" i="5"/>
  <c r="O520" i="5"/>
  <c r="M520" i="5"/>
  <c r="N470" i="5"/>
  <c r="O470" i="5"/>
  <c r="M470" i="5"/>
  <c r="O342" i="5"/>
  <c r="N342" i="5"/>
  <c r="M342" i="5"/>
  <c r="O414" i="5"/>
  <c r="N414" i="5"/>
  <c r="M414" i="5"/>
  <c r="N521" i="5"/>
  <c r="O521" i="5"/>
  <c r="M521" i="5"/>
  <c r="O464" i="5"/>
  <c r="N464" i="5"/>
  <c r="M464" i="5"/>
  <c r="O475" i="5"/>
  <c r="N475" i="5"/>
  <c r="M475" i="5"/>
  <c r="N576" i="5"/>
  <c r="O576" i="5"/>
  <c r="M576" i="5"/>
  <c r="O496" i="5"/>
  <c r="N496" i="5"/>
  <c r="M496" i="5"/>
  <c r="O551" i="5"/>
  <c r="N551" i="5"/>
  <c r="M551" i="5"/>
  <c r="O546" i="5"/>
  <c r="N546" i="5"/>
  <c r="M546" i="5"/>
  <c r="N548" i="5"/>
  <c r="O548" i="5"/>
  <c r="M548" i="5"/>
  <c r="O647" i="5"/>
  <c r="N647" i="5"/>
  <c r="M647" i="5"/>
  <c r="O677" i="5"/>
  <c r="N677" i="5"/>
  <c r="M677" i="5"/>
  <c r="O787" i="5"/>
  <c r="N787" i="5"/>
  <c r="M787" i="5"/>
  <c r="O672" i="5"/>
  <c r="N672" i="5"/>
  <c r="M672" i="5"/>
  <c r="O695" i="5"/>
  <c r="N695" i="5"/>
  <c r="M695" i="5"/>
  <c r="O580" i="5"/>
  <c r="N580" i="5"/>
  <c r="M580" i="5"/>
  <c r="N652" i="5"/>
  <c r="O652" i="5"/>
  <c r="M652" i="5"/>
  <c r="O721" i="5"/>
  <c r="N721" i="5"/>
  <c r="M721" i="5"/>
  <c r="N615" i="5"/>
  <c r="O615" i="5"/>
  <c r="M615" i="5"/>
  <c r="O687" i="5"/>
  <c r="N687" i="5"/>
  <c r="M687" i="5"/>
  <c r="N698" i="5"/>
  <c r="O698" i="5"/>
  <c r="M698" i="5"/>
  <c r="O583" i="5"/>
  <c r="N583" i="5"/>
  <c r="M583" i="5"/>
  <c r="N655" i="5"/>
  <c r="O655" i="5"/>
  <c r="M655" i="5"/>
  <c r="N746" i="5"/>
  <c r="O746" i="5"/>
  <c r="M746" i="5"/>
  <c r="N728" i="5"/>
  <c r="O728" i="5"/>
  <c r="M728" i="5"/>
  <c r="O734" i="5"/>
  <c r="N734" i="5"/>
  <c r="M734" i="5"/>
  <c r="O800" i="5"/>
  <c r="N800" i="5"/>
  <c r="M800" i="5"/>
  <c r="N949" i="5"/>
  <c r="O949" i="5"/>
  <c r="M949" i="5"/>
  <c r="N762" i="5"/>
  <c r="O762" i="5"/>
  <c r="M762" i="5"/>
  <c r="O884" i="5"/>
  <c r="N884" i="5"/>
  <c r="M884" i="5"/>
  <c r="O773" i="5"/>
  <c r="N773" i="5"/>
  <c r="M773" i="5"/>
  <c r="O901" i="5"/>
  <c r="N901" i="5"/>
  <c r="M901" i="5"/>
  <c r="N741" i="5"/>
  <c r="O741" i="5"/>
  <c r="M741" i="5"/>
  <c r="N813" i="5"/>
  <c r="O813" i="5"/>
  <c r="M813" i="5"/>
  <c r="N873" i="5"/>
  <c r="O873" i="5"/>
  <c r="M873" i="5"/>
  <c r="O844" i="5"/>
  <c r="N844" i="5"/>
  <c r="M844" i="5"/>
  <c r="N841" i="5"/>
  <c r="O841" i="5"/>
  <c r="M841" i="5"/>
  <c r="N1009" i="5"/>
  <c r="O1009" i="5"/>
  <c r="M1009" i="5"/>
  <c r="N900" i="5"/>
  <c r="O900" i="5"/>
  <c r="M900" i="5"/>
  <c r="O850" i="5"/>
  <c r="N850" i="5"/>
  <c r="M850" i="5"/>
  <c r="O1018" i="5"/>
  <c r="N1018" i="5"/>
  <c r="M1018" i="5"/>
  <c r="O933" i="5"/>
  <c r="N933" i="5"/>
  <c r="M933" i="5"/>
  <c r="N958" i="5"/>
  <c r="O958" i="5"/>
  <c r="M958" i="5"/>
  <c r="N981" i="5"/>
  <c r="O981" i="5"/>
  <c r="M981" i="5"/>
  <c r="O992" i="5"/>
  <c r="N992" i="5"/>
  <c r="M992" i="5"/>
  <c r="O960" i="5"/>
  <c r="N960" i="5"/>
  <c r="M960" i="5"/>
  <c r="G31" i="5"/>
  <c r="F31" i="5"/>
  <c r="E31" i="5"/>
  <c r="G93" i="5"/>
  <c r="F93" i="5"/>
  <c r="E93" i="5"/>
  <c r="G165" i="5"/>
  <c r="F165" i="5"/>
  <c r="E165" i="5"/>
  <c r="G38" i="5"/>
  <c r="F38" i="5"/>
  <c r="E38" i="5"/>
  <c r="G110" i="5"/>
  <c r="F110" i="5"/>
  <c r="E110" i="5"/>
  <c r="G182" i="5"/>
  <c r="F182" i="5"/>
  <c r="E182" i="5"/>
  <c r="G103" i="5"/>
  <c r="F103" i="5"/>
  <c r="E103" i="5"/>
  <c r="G175" i="5"/>
  <c r="F175" i="5"/>
  <c r="E175" i="5"/>
  <c r="G78" i="5"/>
  <c r="F78" i="5"/>
  <c r="E78" i="5"/>
  <c r="G150" i="5"/>
  <c r="F150" i="5"/>
  <c r="E150" i="5"/>
  <c r="F252" i="5"/>
  <c r="G252" i="5"/>
  <c r="E252" i="5"/>
  <c r="G89" i="5"/>
  <c r="F89" i="5"/>
  <c r="E89" i="5"/>
  <c r="G161" i="5"/>
  <c r="F161" i="5"/>
  <c r="E161" i="5"/>
  <c r="G70" i="5"/>
  <c r="F70" i="5"/>
  <c r="E70" i="5"/>
  <c r="G142" i="5"/>
  <c r="F142" i="5"/>
  <c r="E142" i="5"/>
  <c r="G206" i="5"/>
  <c r="F206" i="5"/>
  <c r="E206" i="5"/>
  <c r="G285" i="5"/>
  <c r="F285" i="5"/>
  <c r="E285" i="5"/>
  <c r="G247" i="5"/>
  <c r="F247" i="5"/>
  <c r="E247" i="5"/>
  <c r="G273" i="5"/>
  <c r="F273" i="5"/>
  <c r="E273" i="5"/>
  <c r="G245" i="5"/>
  <c r="F245" i="5"/>
  <c r="E245" i="5"/>
  <c r="F375" i="5"/>
  <c r="G375" i="5"/>
  <c r="E375" i="5"/>
  <c r="G267" i="5"/>
  <c r="F267" i="5"/>
  <c r="E267" i="5"/>
  <c r="F293" i="5"/>
  <c r="G293" i="5"/>
  <c r="E293" i="5"/>
  <c r="F363" i="5"/>
  <c r="G363" i="5"/>
  <c r="E363" i="5"/>
  <c r="G271" i="5"/>
  <c r="F271" i="5"/>
  <c r="E271" i="5"/>
  <c r="G367" i="5"/>
  <c r="F367" i="5"/>
  <c r="E367" i="5"/>
  <c r="F342" i="5"/>
  <c r="G342" i="5"/>
  <c r="E342" i="5"/>
  <c r="G294" i="5"/>
  <c r="F294" i="5"/>
  <c r="E294" i="5"/>
  <c r="F411" i="5"/>
  <c r="G411" i="5"/>
  <c r="E411" i="5"/>
  <c r="G458" i="5"/>
  <c r="F458" i="5"/>
  <c r="E458" i="5"/>
  <c r="F379" i="5"/>
  <c r="G379" i="5"/>
  <c r="E379" i="5"/>
  <c r="G326" i="5"/>
  <c r="F326" i="5"/>
  <c r="E326" i="5"/>
  <c r="G398" i="5"/>
  <c r="F398" i="5"/>
  <c r="E398" i="5"/>
  <c r="F463" i="5"/>
  <c r="G463" i="5"/>
  <c r="E463" i="5"/>
  <c r="G455" i="5"/>
  <c r="F455" i="5"/>
  <c r="E455" i="5"/>
  <c r="F605" i="5"/>
  <c r="G605" i="5"/>
  <c r="E605" i="5"/>
  <c r="G377" i="5"/>
  <c r="F377" i="5"/>
  <c r="E377" i="5"/>
  <c r="G449" i="5"/>
  <c r="F449" i="5"/>
  <c r="E449" i="5"/>
  <c r="F496" i="5"/>
  <c r="G496" i="5"/>
  <c r="E496" i="5"/>
  <c r="F447" i="5"/>
  <c r="G447" i="5"/>
  <c r="E447" i="5"/>
  <c r="G533" i="5"/>
  <c r="F533" i="5"/>
  <c r="E533" i="5"/>
  <c r="G541" i="5"/>
  <c r="F541" i="5"/>
  <c r="E541" i="5"/>
  <c r="G577" i="5"/>
  <c r="F577" i="5"/>
  <c r="E577" i="5"/>
  <c r="G506" i="5"/>
  <c r="F506" i="5"/>
  <c r="E506" i="5"/>
  <c r="F598" i="5"/>
  <c r="G598" i="5"/>
  <c r="E598" i="5"/>
  <c r="F550" i="5"/>
  <c r="G550" i="5"/>
  <c r="E550" i="5"/>
  <c r="G666" i="5"/>
  <c r="F666" i="5"/>
  <c r="E666" i="5"/>
  <c r="G540" i="5"/>
  <c r="F540" i="5"/>
  <c r="E540" i="5"/>
  <c r="G616" i="5"/>
  <c r="F616" i="5"/>
  <c r="E616" i="5"/>
  <c r="G618" i="5"/>
  <c r="F618" i="5"/>
  <c r="E618" i="5"/>
  <c r="G688" i="5"/>
  <c r="F688" i="5"/>
  <c r="E688" i="5"/>
  <c r="G571" i="5"/>
  <c r="F571" i="5"/>
  <c r="E571" i="5"/>
  <c r="G669" i="5"/>
  <c r="F669" i="5"/>
  <c r="E669" i="5"/>
  <c r="F664" i="5"/>
  <c r="G664" i="5"/>
  <c r="E664" i="5"/>
  <c r="G775" i="5"/>
  <c r="F775" i="5"/>
  <c r="E775" i="5"/>
  <c r="G704" i="5"/>
  <c r="F704" i="5"/>
  <c r="E704" i="5"/>
  <c r="G906" i="5"/>
  <c r="F906" i="5"/>
  <c r="E906" i="5"/>
  <c r="F655" i="5"/>
  <c r="G655" i="5"/>
  <c r="E655" i="5"/>
  <c r="G722" i="5"/>
  <c r="F722" i="5"/>
  <c r="E722" i="5"/>
  <c r="G796" i="5"/>
  <c r="F796" i="5"/>
  <c r="E796" i="5"/>
  <c r="G716" i="5"/>
  <c r="F716" i="5"/>
  <c r="E716" i="5"/>
  <c r="G760" i="5"/>
  <c r="F760" i="5"/>
  <c r="E760" i="5"/>
  <c r="G794" i="5"/>
  <c r="F794" i="5"/>
  <c r="E794" i="5"/>
  <c r="F718" i="5"/>
  <c r="G718" i="5"/>
  <c r="E718" i="5"/>
  <c r="F763" i="5"/>
  <c r="G763" i="5"/>
  <c r="E763" i="5"/>
  <c r="G756" i="5"/>
  <c r="F756" i="5"/>
  <c r="E756" i="5"/>
  <c r="F742" i="5"/>
  <c r="G742" i="5"/>
  <c r="E742" i="5"/>
  <c r="G871" i="5"/>
  <c r="F871" i="5"/>
  <c r="E871" i="5"/>
  <c r="G890" i="5"/>
  <c r="F890" i="5"/>
  <c r="E890" i="5"/>
  <c r="G813" i="5"/>
  <c r="F813" i="5"/>
  <c r="E813" i="5"/>
  <c r="G911" i="5"/>
  <c r="F911" i="5"/>
  <c r="E911" i="5"/>
  <c r="G897" i="5"/>
  <c r="F897" i="5"/>
  <c r="E897" i="5"/>
  <c r="G916" i="5"/>
  <c r="F916" i="5"/>
  <c r="E916" i="5"/>
  <c r="F970" i="5"/>
  <c r="G970" i="5"/>
  <c r="E970" i="5"/>
  <c r="G910" i="5"/>
  <c r="F910" i="5"/>
  <c r="E910" i="5"/>
  <c r="G1028" i="5"/>
  <c r="F1028" i="5"/>
  <c r="E1028" i="5"/>
  <c r="G917" i="5"/>
  <c r="F917" i="5"/>
  <c r="E917" i="5"/>
  <c r="G1021" i="5"/>
  <c r="F1021" i="5"/>
  <c r="E1021" i="5"/>
  <c r="G965" i="5"/>
  <c r="F965" i="5"/>
  <c r="E965" i="5"/>
  <c r="G1011" i="5"/>
  <c r="F1011" i="5"/>
  <c r="E1011" i="5"/>
  <c r="G931" i="5"/>
  <c r="F931" i="5"/>
  <c r="E931" i="5"/>
  <c r="G959" i="5"/>
  <c r="F959" i="5"/>
  <c r="E959" i="5"/>
  <c r="G996" i="5"/>
  <c r="F996" i="5"/>
  <c r="E996" i="5"/>
  <c r="N31" i="5"/>
  <c r="O31" i="5"/>
  <c r="M31" i="5"/>
  <c r="O77" i="5"/>
  <c r="N77" i="5"/>
  <c r="M77" i="5"/>
  <c r="O149" i="5"/>
  <c r="N149" i="5"/>
  <c r="M149" i="5"/>
  <c r="N211" i="5"/>
  <c r="O211" i="5"/>
  <c r="M211" i="5"/>
  <c r="O106" i="5"/>
  <c r="N106" i="5"/>
  <c r="M106" i="5"/>
  <c r="O178" i="5"/>
  <c r="N178" i="5"/>
  <c r="M178" i="5"/>
  <c r="O63" i="5"/>
  <c r="N63" i="5"/>
  <c r="M63" i="5"/>
  <c r="O135" i="5"/>
  <c r="N135" i="5"/>
  <c r="M135" i="5"/>
  <c r="N205" i="5"/>
  <c r="O205" i="5"/>
  <c r="M205" i="5"/>
  <c r="O62" i="5"/>
  <c r="N62" i="5"/>
  <c r="M62" i="5"/>
  <c r="O134" i="5"/>
  <c r="N134" i="5"/>
  <c r="M134" i="5"/>
  <c r="O224" i="5"/>
  <c r="N224" i="5"/>
  <c r="M224" i="5"/>
  <c r="N91" i="5"/>
  <c r="O91" i="5"/>
  <c r="M91" i="5"/>
  <c r="N163" i="5"/>
  <c r="O163" i="5"/>
  <c r="M163" i="5"/>
  <c r="O30" i="5"/>
  <c r="N30" i="5"/>
  <c r="M30" i="5"/>
  <c r="O102" i="5"/>
  <c r="N102" i="5"/>
  <c r="M102" i="5"/>
  <c r="O174" i="5"/>
  <c r="N174" i="5"/>
  <c r="M174" i="5"/>
  <c r="O350" i="5"/>
  <c r="N350" i="5"/>
  <c r="M350" i="5"/>
  <c r="O213" i="5"/>
  <c r="N213" i="5"/>
  <c r="M213" i="5"/>
  <c r="N397" i="5"/>
  <c r="O397" i="5"/>
  <c r="M397" i="5"/>
  <c r="N352" i="5"/>
  <c r="O352" i="5"/>
  <c r="M352" i="5"/>
  <c r="O359" i="5"/>
  <c r="N359" i="5"/>
  <c r="M359" i="5"/>
  <c r="N264" i="5"/>
  <c r="O264" i="5"/>
  <c r="M264" i="5"/>
  <c r="N270" i="5"/>
  <c r="O270" i="5"/>
  <c r="M270" i="5"/>
  <c r="N448" i="5"/>
  <c r="O448" i="5"/>
  <c r="M448" i="5"/>
  <c r="N433" i="5"/>
  <c r="O433" i="5"/>
  <c r="M433" i="5"/>
  <c r="N383" i="5"/>
  <c r="O383" i="5"/>
  <c r="M383" i="5"/>
  <c r="O290" i="5"/>
  <c r="N290" i="5"/>
  <c r="M290" i="5"/>
  <c r="N385" i="5"/>
  <c r="O385" i="5"/>
  <c r="M385" i="5"/>
  <c r="O335" i="5"/>
  <c r="N335" i="5"/>
  <c r="M335" i="5"/>
  <c r="O443" i="5"/>
  <c r="N443" i="5"/>
  <c r="M443" i="5"/>
  <c r="N400" i="5"/>
  <c r="O400" i="5"/>
  <c r="M400" i="5"/>
  <c r="N522" i="5"/>
  <c r="O522" i="5"/>
  <c r="M522" i="5"/>
  <c r="O345" i="5"/>
  <c r="N345" i="5"/>
  <c r="M345" i="5"/>
  <c r="O417" i="5"/>
  <c r="N417" i="5"/>
  <c r="M417" i="5"/>
  <c r="N575" i="5"/>
  <c r="O575" i="5"/>
  <c r="M575" i="5"/>
  <c r="N479" i="5"/>
  <c r="O479" i="5"/>
  <c r="M479" i="5"/>
  <c r="O348" i="5"/>
  <c r="N348" i="5"/>
  <c r="M348" i="5"/>
  <c r="O420" i="5"/>
  <c r="N420" i="5"/>
  <c r="M420" i="5"/>
  <c r="N594" i="5"/>
  <c r="O594" i="5"/>
  <c r="M594" i="5"/>
  <c r="O509" i="5"/>
  <c r="N509" i="5"/>
  <c r="M509" i="5"/>
  <c r="O481" i="5"/>
  <c r="N481" i="5"/>
  <c r="M481" i="5"/>
  <c r="O535" i="5"/>
  <c r="N535" i="5"/>
  <c r="M535" i="5"/>
  <c r="O502" i="5"/>
  <c r="N502" i="5"/>
  <c r="M502" i="5"/>
  <c r="N581" i="5"/>
  <c r="O581" i="5"/>
  <c r="M581" i="5"/>
  <c r="O600" i="5"/>
  <c r="N600" i="5"/>
  <c r="M600" i="5"/>
  <c r="O659" i="5"/>
  <c r="N659" i="5"/>
  <c r="M659" i="5"/>
  <c r="N724" i="5"/>
  <c r="O724" i="5"/>
  <c r="M724" i="5"/>
  <c r="N680" i="5"/>
  <c r="O680" i="5"/>
  <c r="M680" i="5"/>
  <c r="N606" i="5"/>
  <c r="O606" i="5"/>
  <c r="M606" i="5"/>
  <c r="O678" i="5"/>
  <c r="N678" i="5"/>
  <c r="M678" i="5"/>
  <c r="O701" i="5"/>
  <c r="N701" i="5"/>
  <c r="M701" i="5"/>
  <c r="N586" i="5"/>
  <c r="O586" i="5"/>
  <c r="M586" i="5"/>
  <c r="N658" i="5"/>
  <c r="O658" i="5"/>
  <c r="M658" i="5"/>
  <c r="N727" i="5"/>
  <c r="O727" i="5"/>
  <c r="M727" i="5"/>
  <c r="O621" i="5"/>
  <c r="N621" i="5"/>
  <c r="M621" i="5"/>
  <c r="O693" i="5"/>
  <c r="N693" i="5"/>
  <c r="M693" i="5"/>
  <c r="N704" i="5"/>
  <c r="O704" i="5"/>
  <c r="M704" i="5"/>
  <c r="N589" i="5"/>
  <c r="O589" i="5"/>
  <c r="M589" i="5"/>
  <c r="N661" i="5"/>
  <c r="O661" i="5"/>
  <c r="M661" i="5"/>
  <c r="O793" i="5"/>
  <c r="N793" i="5"/>
  <c r="M793" i="5"/>
  <c r="N766" i="5"/>
  <c r="O766" i="5"/>
  <c r="M766" i="5"/>
  <c r="O817" i="5"/>
  <c r="N817" i="5"/>
  <c r="M817" i="5"/>
  <c r="O806" i="5"/>
  <c r="N806" i="5"/>
  <c r="M806" i="5"/>
  <c r="O840" i="5"/>
  <c r="N840" i="5"/>
  <c r="M840" i="5"/>
  <c r="N768" i="5"/>
  <c r="O768" i="5"/>
  <c r="M768" i="5"/>
  <c r="O910" i="5"/>
  <c r="N910" i="5"/>
  <c r="M910" i="5"/>
  <c r="O779" i="5"/>
  <c r="N779" i="5"/>
  <c r="M779" i="5"/>
  <c r="N924" i="5"/>
  <c r="O924" i="5"/>
  <c r="M924" i="5"/>
  <c r="O747" i="5"/>
  <c r="N747" i="5"/>
  <c r="M747" i="5"/>
  <c r="N819" i="5"/>
  <c r="O819" i="5"/>
  <c r="M819" i="5"/>
  <c r="N882" i="5"/>
  <c r="O882" i="5"/>
  <c r="M882" i="5"/>
  <c r="O849" i="5"/>
  <c r="N849" i="5"/>
  <c r="M849" i="5"/>
  <c r="O847" i="5"/>
  <c r="N847" i="5"/>
  <c r="M847" i="5"/>
  <c r="O919" i="5"/>
  <c r="N919" i="5"/>
  <c r="M919" i="5"/>
  <c r="O904" i="5"/>
  <c r="N904" i="5"/>
  <c r="M904" i="5"/>
  <c r="N856" i="5"/>
  <c r="O856" i="5"/>
  <c r="M856" i="5"/>
  <c r="N931" i="5"/>
  <c r="O931" i="5"/>
  <c r="M931" i="5"/>
  <c r="N955" i="5"/>
  <c r="O955" i="5"/>
  <c r="M955" i="5"/>
  <c r="N1015" i="5"/>
  <c r="O1015" i="5"/>
  <c r="M1015" i="5"/>
  <c r="N987" i="5"/>
  <c r="O987" i="5"/>
  <c r="M987" i="5"/>
  <c r="O998" i="5"/>
  <c r="N998" i="5"/>
  <c r="M998" i="5"/>
  <c r="N966" i="5"/>
  <c r="O966" i="5"/>
  <c r="M966" i="5"/>
  <c r="G37" i="5"/>
  <c r="F37" i="5"/>
  <c r="E37" i="5"/>
  <c r="G171" i="5"/>
  <c r="F171" i="5"/>
  <c r="E171" i="5"/>
  <c r="G188" i="5"/>
  <c r="F188" i="5"/>
  <c r="E188" i="5"/>
  <c r="G109" i="5"/>
  <c r="F109" i="5"/>
  <c r="E109" i="5"/>
  <c r="G181" i="5"/>
  <c r="F181" i="5"/>
  <c r="E181" i="5"/>
  <c r="G84" i="5"/>
  <c r="F84" i="5"/>
  <c r="E84" i="5"/>
  <c r="G156" i="5"/>
  <c r="F156" i="5"/>
  <c r="E156" i="5"/>
  <c r="G85" i="5"/>
  <c r="F85" i="5"/>
  <c r="E85" i="5"/>
  <c r="G95" i="5"/>
  <c r="F95" i="5"/>
  <c r="E95" i="5"/>
  <c r="G167" i="5"/>
  <c r="F167" i="5"/>
  <c r="E167" i="5"/>
  <c r="G76" i="5"/>
  <c r="F76" i="5"/>
  <c r="E76" i="5"/>
  <c r="G148" i="5"/>
  <c r="F148" i="5"/>
  <c r="E148" i="5"/>
  <c r="G212" i="5"/>
  <c r="F212" i="5"/>
  <c r="E212" i="5"/>
  <c r="F269" i="5"/>
  <c r="G269" i="5"/>
  <c r="E269" i="5"/>
  <c r="G253" i="5"/>
  <c r="F253" i="5"/>
  <c r="E253" i="5"/>
  <c r="G282" i="5"/>
  <c r="F282" i="5"/>
  <c r="E282" i="5"/>
  <c r="G251" i="5"/>
  <c r="F251" i="5"/>
  <c r="E251" i="5"/>
  <c r="G202" i="5"/>
  <c r="F202" i="5"/>
  <c r="E202" i="5"/>
  <c r="G270" i="5"/>
  <c r="F270" i="5"/>
  <c r="E270" i="5"/>
  <c r="G328" i="5"/>
  <c r="F328" i="5"/>
  <c r="E328" i="5"/>
  <c r="F372" i="5"/>
  <c r="G372" i="5"/>
  <c r="E372" i="5"/>
  <c r="G277" i="5"/>
  <c r="F277" i="5"/>
  <c r="E277" i="5"/>
  <c r="G376" i="5"/>
  <c r="F376" i="5"/>
  <c r="E376" i="5"/>
  <c r="F351" i="5"/>
  <c r="G351" i="5"/>
  <c r="E351" i="5"/>
  <c r="G300" i="5"/>
  <c r="F300" i="5"/>
  <c r="E300" i="5"/>
  <c r="F420" i="5"/>
  <c r="G420" i="5"/>
  <c r="E420" i="5"/>
  <c r="G291" i="5"/>
  <c r="F291" i="5"/>
  <c r="E291" i="5"/>
  <c r="F388" i="5"/>
  <c r="G388" i="5"/>
  <c r="E388" i="5"/>
  <c r="G332" i="5"/>
  <c r="F332" i="5"/>
  <c r="E332" i="5"/>
  <c r="G404" i="5"/>
  <c r="F404" i="5"/>
  <c r="E404" i="5"/>
  <c r="F475" i="5"/>
  <c r="G475" i="5"/>
  <c r="E475" i="5"/>
  <c r="G470" i="5"/>
  <c r="F470" i="5"/>
  <c r="E470" i="5"/>
  <c r="F552" i="5"/>
  <c r="G552" i="5"/>
  <c r="E552" i="5"/>
  <c r="G383" i="5"/>
  <c r="F383" i="5"/>
  <c r="E383" i="5"/>
  <c r="G454" i="5"/>
  <c r="F454" i="5"/>
  <c r="E454" i="5"/>
  <c r="G511" i="5"/>
  <c r="F511" i="5"/>
  <c r="E511" i="5"/>
  <c r="G542" i="5"/>
  <c r="F542" i="5"/>
  <c r="E542" i="5"/>
  <c r="G633" i="5"/>
  <c r="F633" i="5"/>
  <c r="E633" i="5"/>
  <c r="G584" i="5"/>
  <c r="F584" i="5"/>
  <c r="E584" i="5"/>
  <c r="G638" i="5"/>
  <c r="F638" i="5"/>
  <c r="E638" i="5"/>
  <c r="G510" i="5"/>
  <c r="F510" i="5"/>
  <c r="E510" i="5"/>
  <c r="G729" i="5"/>
  <c r="F729" i="5"/>
  <c r="E729" i="5"/>
  <c r="G575" i="5"/>
  <c r="F575" i="5"/>
  <c r="E575" i="5"/>
  <c r="G712" i="5"/>
  <c r="F712" i="5"/>
  <c r="E712" i="5"/>
  <c r="G559" i="5"/>
  <c r="F559" i="5"/>
  <c r="E559" i="5"/>
  <c r="G642" i="5"/>
  <c r="F642" i="5"/>
  <c r="E642" i="5"/>
  <c r="F622" i="5"/>
  <c r="G622" i="5"/>
  <c r="E622" i="5"/>
  <c r="G706" i="5"/>
  <c r="F706" i="5"/>
  <c r="E706" i="5"/>
  <c r="F581" i="5"/>
  <c r="G581" i="5"/>
  <c r="E581" i="5"/>
  <c r="G672" i="5"/>
  <c r="F672" i="5"/>
  <c r="E672" i="5"/>
  <c r="G681" i="5"/>
  <c r="F681" i="5"/>
  <c r="E681" i="5"/>
  <c r="G808" i="5"/>
  <c r="F808" i="5"/>
  <c r="E808" i="5"/>
  <c r="G710" i="5"/>
  <c r="F710" i="5"/>
  <c r="E710" i="5"/>
  <c r="G589" i="5"/>
  <c r="F589" i="5"/>
  <c r="E589" i="5"/>
  <c r="F661" i="5"/>
  <c r="G661" i="5"/>
  <c r="E661" i="5"/>
  <c r="G747" i="5"/>
  <c r="F747" i="5"/>
  <c r="E747" i="5"/>
  <c r="G857" i="5"/>
  <c r="F857" i="5"/>
  <c r="E857" i="5"/>
  <c r="G719" i="5"/>
  <c r="F719" i="5"/>
  <c r="E719" i="5"/>
  <c r="F762" i="5"/>
  <c r="G762" i="5"/>
  <c r="E762" i="5"/>
  <c r="G798" i="5"/>
  <c r="F798" i="5"/>
  <c r="E798" i="5"/>
  <c r="G727" i="5"/>
  <c r="F727" i="5"/>
  <c r="E727" i="5"/>
  <c r="F781" i="5"/>
  <c r="G781" i="5"/>
  <c r="E781" i="5"/>
  <c r="G772" i="5"/>
  <c r="F772" i="5"/>
  <c r="E772" i="5"/>
  <c r="F751" i="5"/>
  <c r="G751" i="5"/>
  <c r="E751" i="5"/>
  <c r="F913" i="5"/>
  <c r="G913" i="5"/>
  <c r="E913" i="5"/>
  <c r="G1004" i="5"/>
  <c r="F1004" i="5"/>
  <c r="E1004" i="5"/>
  <c r="G819" i="5"/>
  <c r="F819" i="5"/>
  <c r="E819" i="5"/>
  <c r="G989" i="5"/>
  <c r="F989" i="5"/>
  <c r="E989" i="5"/>
  <c r="G1018" i="5"/>
  <c r="F1018" i="5"/>
  <c r="E1018" i="5"/>
  <c r="G929" i="5"/>
  <c r="F929" i="5"/>
  <c r="E929" i="5"/>
  <c r="G986" i="5"/>
  <c r="F986" i="5"/>
  <c r="E986" i="5"/>
  <c r="G961" i="5"/>
  <c r="F961" i="5"/>
  <c r="E961" i="5"/>
  <c r="F918" i="5"/>
  <c r="G918" i="5"/>
  <c r="E918" i="5"/>
  <c r="G920" i="5"/>
  <c r="F920" i="5"/>
  <c r="E920" i="5"/>
  <c r="F905" i="5"/>
  <c r="G905" i="5"/>
  <c r="E905" i="5"/>
  <c r="G983" i="5"/>
  <c r="F983" i="5"/>
  <c r="E983" i="5"/>
  <c r="G1015" i="5"/>
  <c r="F1015" i="5"/>
  <c r="E1015" i="5"/>
  <c r="G947" i="5"/>
  <c r="F947" i="5"/>
  <c r="E947" i="5"/>
  <c r="G979" i="5"/>
  <c r="F979" i="5"/>
  <c r="E979" i="5"/>
  <c r="G1002" i="5"/>
  <c r="F1002" i="5"/>
  <c r="E1002" i="5"/>
  <c r="N37" i="5"/>
  <c r="O37" i="5"/>
  <c r="M37" i="5"/>
  <c r="O83" i="5"/>
  <c r="N83" i="5"/>
  <c r="M83" i="5"/>
  <c r="O155" i="5"/>
  <c r="N155" i="5"/>
  <c r="M155" i="5"/>
  <c r="N223" i="5"/>
  <c r="O223" i="5"/>
  <c r="M223" i="5"/>
  <c r="O112" i="5"/>
  <c r="N112" i="5"/>
  <c r="M112" i="5"/>
  <c r="O184" i="5"/>
  <c r="N184" i="5"/>
  <c r="M184" i="5"/>
  <c r="O69" i="5"/>
  <c r="N69" i="5"/>
  <c r="M69" i="5"/>
  <c r="O141" i="5"/>
  <c r="N141" i="5"/>
  <c r="M141" i="5"/>
  <c r="N214" i="5"/>
  <c r="O214" i="5"/>
  <c r="M214" i="5"/>
  <c r="O68" i="5"/>
  <c r="N68" i="5"/>
  <c r="M68" i="5"/>
  <c r="O140" i="5"/>
  <c r="N140" i="5"/>
  <c r="M140" i="5"/>
  <c r="O236" i="5"/>
  <c r="N236" i="5"/>
  <c r="M236" i="5"/>
  <c r="N97" i="5"/>
  <c r="O97" i="5"/>
  <c r="M97" i="5"/>
  <c r="N169" i="5"/>
  <c r="O169" i="5"/>
  <c r="M169" i="5"/>
  <c r="O36" i="5"/>
  <c r="N36" i="5"/>
  <c r="M36" i="5"/>
  <c r="O108" i="5"/>
  <c r="N108" i="5"/>
  <c r="M108" i="5"/>
  <c r="O180" i="5"/>
  <c r="N180" i="5"/>
  <c r="M180" i="5"/>
  <c r="O377" i="5"/>
  <c r="N377" i="5"/>
  <c r="M377" i="5"/>
  <c r="O219" i="5"/>
  <c r="N219" i="5"/>
  <c r="M219" i="5"/>
  <c r="O266" i="5"/>
  <c r="N266" i="5"/>
  <c r="M266" i="5"/>
  <c r="N379" i="5"/>
  <c r="O379" i="5"/>
  <c r="M379" i="5"/>
  <c r="O386" i="5"/>
  <c r="N386" i="5"/>
  <c r="M386" i="5"/>
  <c r="O268" i="5"/>
  <c r="N268" i="5"/>
  <c r="M268" i="5"/>
  <c r="N279" i="5"/>
  <c r="O279" i="5"/>
  <c r="M279" i="5"/>
  <c r="O395" i="5"/>
  <c r="N395" i="5"/>
  <c r="M395" i="5"/>
  <c r="N442" i="5"/>
  <c r="O442" i="5"/>
  <c r="M442" i="5"/>
  <c r="O392" i="5"/>
  <c r="N392" i="5"/>
  <c r="M392" i="5"/>
  <c r="O296" i="5"/>
  <c r="N296" i="5"/>
  <c r="M296" i="5"/>
  <c r="N394" i="5"/>
  <c r="O394" i="5"/>
  <c r="M394" i="5"/>
  <c r="O344" i="5"/>
  <c r="N344" i="5"/>
  <c r="M344" i="5"/>
  <c r="N306" i="5"/>
  <c r="O306" i="5"/>
  <c r="M306" i="5"/>
  <c r="N409" i="5"/>
  <c r="O409" i="5"/>
  <c r="M409" i="5"/>
  <c r="N558" i="5"/>
  <c r="O558" i="5"/>
  <c r="M558" i="5"/>
  <c r="O351" i="5"/>
  <c r="N351" i="5"/>
  <c r="M351" i="5"/>
  <c r="O423" i="5"/>
  <c r="N423" i="5"/>
  <c r="M423" i="5"/>
  <c r="O456" i="5"/>
  <c r="N456" i="5"/>
  <c r="M456" i="5"/>
  <c r="N488" i="5"/>
  <c r="O488" i="5"/>
  <c r="M488" i="5"/>
  <c r="O354" i="5"/>
  <c r="N354" i="5"/>
  <c r="M354" i="5"/>
  <c r="O426" i="5"/>
  <c r="N426" i="5"/>
  <c r="M426" i="5"/>
  <c r="N467" i="5"/>
  <c r="O467" i="5"/>
  <c r="M467" i="5"/>
  <c r="O511" i="5"/>
  <c r="N511" i="5"/>
  <c r="M511" i="5"/>
  <c r="O487" i="5"/>
  <c r="N487" i="5"/>
  <c r="M487" i="5"/>
  <c r="N538" i="5"/>
  <c r="O538" i="5"/>
  <c r="M538" i="5"/>
  <c r="O515" i="5"/>
  <c r="N515" i="5"/>
  <c r="M515" i="5"/>
  <c r="O593" i="5"/>
  <c r="N593" i="5"/>
  <c r="M593" i="5"/>
  <c r="N507" i="5"/>
  <c r="O507" i="5"/>
  <c r="M507" i="5"/>
  <c r="O552" i="5"/>
  <c r="N552" i="5"/>
  <c r="M552" i="5"/>
  <c r="N537" i="5"/>
  <c r="O537" i="5"/>
  <c r="M537" i="5"/>
  <c r="O683" i="5"/>
  <c r="N683" i="5"/>
  <c r="M683" i="5"/>
  <c r="N612" i="5"/>
  <c r="O612" i="5"/>
  <c r="M612" i="5"/>
  <c r="O684" i="5"/>
  <c r="N684" i="5"/>
  <c r="M684" i="5"/>
  <c r="O707" i="5"/>
  <c r="N707" i="5"/>
  <c r="M707" i="5"/>
  <c r="N592" i="5"/>
  <c r="O592" i="5"/>
  <c r="M592" i="5"/>
  <c r="N664" i="5"/>
  <c r="O664" i="5"/>
  <c r="M664" i="5"/>
  <c r="N737" i="5"/>
  <c r="O737" i="5"/>
  <c r="M737" i="5"/>
  <c r="O627" i="5"/>
  <c r="N627" i="5"/>
  <c r="M627" i="5"/>
  <c r="O699" i="5"/>
  <c r="N699" i="5"/>
  <c r="M699" i="5"/>
  <c r="N710" i="5"/>
  <c r="O710" i="5"/>
  <c r="M710" i="5"/>
  <c r="N595" i="5"/>
  <c r="O595" i="5"/>
  <c r="M595" i="5"/>
  <c r="N667" i="5"/>
  <c r="O667" i="5"/>
  <c r="M667" i="5"/>
  <c r="O826" i="5"/>
  <c r="N826" i="5"/>
  <c r="M826" i="5"/>
  <c r="N784" i="5"/>
  <c r="O784" i="5"/>
  <c r="M784" i="5"/>
  <c r="O971" i="5"/>
  <c r="N971" i="5"/>
  <c r="M971" i="5"/>
  <c r="O812" i="5"/>
  <c r="N812" i="5"/>
  <c r="M812" i="5"/>
  <c r="O859" i="5"/>
  <c r="N859" i="5"/>
  <c r="M859" i="5"/>
  <c r="N774" i="5"/>
  <c r="O774" i="5"/>
  <c r="M774" i="5"/>
  <c r="O827" i="5"/>
  <c r="N827" i="5"/>
  <c r="M827" i="5"/>
  <c r="N785" i="5"/>
  <c r="O785" i="5"/>
  <c r="M785" i="5"/>
  <c r="O834" i="5"/>
  <c r="N834" i="5"/>
  <c r="M834" i="5"/>
  <c r="O753" i="5"/>
  <c r="N753" i="5"/>
  <c r="M753" i="5"/>
  <c r="N825" i="5"/>
  <c r="O825" i="5"/>
  <c r="M825" i="5"/>
  <c r="O920" i="5"/>
  <c r="N920" i="5"/>
  <c r="M920" i="5"/>
  <c r="N875" i="5"/>
  <c r="O875" i="5"/>
  <c r="M875" i="5"/>
  <c r="O870" i="5"/>
  <c r="N870" i="5"/>
  <c r="M870" i="5"/>
  <c r="O922" i="5"/>
  <c r="N922" i="5"/>
  <c r="M922" i="5"/>
  <c r="O908" i="5"/>
  <c r="N908" i="5"/>
  <c r="M908" i="5"/>
  <c r="N862" i="5"/>
  <c r="O862" i="5"/>
  <c r="M862" i="5"/>
  <c r="O935" i="5"/>
  <c r="N935" i="5"/>
  <c r="M935" i="5"/>
  <c r="O976" i="5"/>
  <c r="N976" i="5"/>
  <c r="M976" i="5"/>
  <c r="N947" i="5"/>
  <c r="O947" i="5"/>
  <c r="M947" i="5"/>
  <c r="N993" i="5"/>
  <c r="O993" i="5"/>
  <c r="M993" i="5"/>
  <c r="O1004" i="5"/>
  <c r="N1004" i="5"/>
  <c r="M1004" i="5"/>
  <c r="O972" i="5"/>
  <c r="N972" i="5"/>
  <c r="M972" i="5"/>
  <c r="G116" i="5"/>
  <c r="F116" i="5"/>
  <c r="E116" i="5"/>
  <c r="G61" i="5"/>
  <c r="F61" i="5"/>
  <c r="E61" i="5"/>
  <c r="F33" i="5"/>
  <c r="G33" i="5"/>
  <c r="E33" i="5"/>
  <c r="G105" i="5"/>
  <c r="F105" i="5"/>
  <c r="E105" i="5"/>
  <c r="G177" i="5"/>
  <c r="F177" i="5"/>
  <c r="E177" i="5"/>
  <c r="G50" i="5"/>
  <c r="F50" i="5"/>
  <c r="E50" i="5"/>
  <c r="G122" i="5"/>
  <c r="F122" i="5"/>
  <c r="E122" i="5"/>
  <c r="G194" i="5"/>
  <c r="F194" i="5"/>
  <c r="E194" i="5"/>
  <c r="G115" i="5"/>
  <c r="F115" i="5"/>
  <c r="E115" i="5"/>
  <c r="G187" i="5"/>
  <c r="F187" i="5"/>
  <c r="E187" i="5"/>
  <c r="G90" i="5"/>
  <c r="F90" i="5"/>
  <c r="E90" i="5"/>
  <c r="G162" i="5"/>
  <c r="F162" i="5"/>
  <c r="E162" i="5"/>
  <c r="G29" i="5"/>
  <c r="F29" i="5"/>
  <c r="G101" i="5"/>
  <c r="F101" i="5"/>
  <c r="E101" i="5"/>
  <c r="G173" i="5"/>
  <c r="F173" i="5"/>
  <c r="E173" i="5"/>
  <c r="G82" i="5"/>
  <c r="F82" i="5"/>
  <c r="E82" i="5"/>
  <c r="G154" i="5"/>
  <c r="F154" i="5"/>
  <c r="E154" i="5"/>
  <c r="G218" i="5"/>
  <c r="F218" i="5"/>
  <c r="E218" i="5"/>
  <c r="F278" i="5"/>
  <c r="G278" i="5"/>
  <c r="E278" i="5"/>
  <c r="G259" i="5"/>
  <c r="F259" i="5"/>
  <c r="E259" i="5"/>
  <c r="F299" i="5"/>
  <c r="G299" i="5"/>
  <c r="E299" i="5"/>
  <c r="G257" i="5"/>
  <c r="F257" i="5"/>
  <c r="E257" i="5"/>
  <c r="G208" i="5"/>
  <c r="F208" i="5"/>
  <c r="E208" i="5"/>
  <c r="G279" i="5"/>
  <c r="F279" i="5"/>
  <c r="E279" i="5"/>
  <c r="G355" i="5"/>
  <c r="F355" i="5"/>
  <c r="E355" i="5"/>
  <c r="F381" i="5"/>
  <c r="G381" i="5"/>
  <c r="E381" i="5"/>
  <c r="G283" i="5"/>
  <c r="F283" i="5"/>
  <c r="E283" i="5"/>
  <c r="G385" i="5"/>
  <c r="F385" i="5"/>
  <c r="E385" i="5"/>
  <c r="F360" i="5"/>
  <c r="G360" i="5"/>
  <c r="E360" i="5"/>
  <c r="G306" i="5"/>
  <c r="F306" i="5"/>
  <c r="E306" i="5"/>
  <c r="F429" i="5"/>
  <c r="G429" i="5"/>
  <c r="E429" i="5"/>
  <c r="G297" i="5"/>
  <c r="F297" i="5"/>
  <c r="E297" i="5"/>
  <c r="G397" i="5"/>
  <c r="F397" i="5"/>
  <c r="E397" i="5"/>
  <c r="G338" i="5"/>
  <c r="F338" i="5"/>
  <c r="E338" i="5"/>
  <c r="G410" i="5"/>
  <c r="F410" i="5"/>
  <c r="E410" i="5"/>
  <c r="F484" i="5"/>
  <c r="G484" i="5"/>
  <c r="E484" i="5"/>
  <c r="G479" i="5"/>
  <c r="F479" i="5"/>
  <c r="E479" i="5"/>
  <c r="G317" i="5"/>
  <c r="F317" i="5"/>
  <c r="E317" i="5"/>
  <c r="G389" i="5"/>
  <c r="F389" i="5"/>
  <c r="E389" i="5"/>
  <c r="G467" i="5"/>
  <c r="F467" i="5"/>
  <c r="E467" i="5"/>
  <c r="F513" i="5"/>
  <c r="G513" i="5"/>
  <c r="E513" i="5"/>
  <c r="F569" i="5"/>
  <c r="G569" i="5"/>
  <c r="E569" i="5"/>
  <c r="G468" i="5"/>
  <c r="F468" i="5"/>
  <c r="E468" i="5"/>
  <c r="G617" i="5"/>
  <c r="F617" i="5"/>
  <c r="E617" i="5"/>
  <c r="G675" i="5"/>
  <c r="F675" i="5"/>
  <c r="E675" i="5"/>
  <c r="G523" i="5"/>
  <c r="F523" i="5"/>
  <c r="E523" i="5"/>
  <c r="F544" i="5"/>
  <c r="G544" i="5"/>
  <c r="E544" i="5"/>
  <c r="G599" i="5"/>
  <c r="F599" i="5"/>
  <c r="E599" i="5"/>
  <c r="G555" i="5"/>
  <c r="F555" i="5"/>
  <c r="E555" i="5"/>
  <c r="G606" i="5"/>
  <c r="F606" i="5"/>
  <c r="E606" i="5"/>
  <c r="F646" i="5"/>
  <c r="G646" i="5"/>
  <c r="E646" i="5"/>
  <c r="G626" i="5"/>
  <c r="F626" i="5"/>
  <c r="E626" i="5"/>
  <c r="G757" i="5"/>
  <c r="F757" i="5"/>
  <c r="E757" i="5"/>
  <c r="G594" i="5"/>
  <c r="F594" i="5"/>
  <c r="E594" i="5"/>
  <c r="G708" i="5"/>
  <c r="F708" i="5"/>
  <c r="E708" i="5"/>
  <c r="G684" i="5"/>
  <c r="F684" i="5"/>
  <c r="E684" i="5"/>
  <c r="G818" i="5"/>
  <c r="F818" i="5"/>
  <c r="E818" i="5"/>
  <c r="G750" i="5"/>
  <c r="F750" i="5"/>
  <c r="E750" i="5"/>
  <c r="F595" i="5"/>
  <c r="G595" i="5"/>
  <c r="E595" i="5"/>
  <c r="G667" i="5"/>
  <c r="F667" i="5"/>
  <c r="E667" i="5"/>
  <c r="G764" i="5"/>
  <c r="F764" i="5"/>
  <c r="E764" i="5"/>
  <c r="G659" i="5"/>
  <c r="F659" i="5"/>
  <c r="E659" i="5"/>
  <c r="G736" i="5"/>
  <c r="F736" i="5"/>
  <c r="E736" i="5"/>
  <c r="G778" i="5"/>
  <c r="F778" i="5"/>
  <c r="E778" i="5"/>
  <c r="G802" i="5"/>
  <c r="F802" i="5"/>
  <c r="E802" i="5"/>
  <c r="G740" i="5"/>
  <c r="F740" i="5"/>
  <c r="E740" i="5"/>
  <c r="G803" i="5"/>
  <c r="F803" i="5"/>
  <c r="E803" i="5"/>
  <c r="G774" i="5"/>
  <c r="F774" i="5"/>
  <c r="E774" i="5"/>
  <c r="F769" i="5"/>
  <c r="G769" i="5"/>
  <c r="E769" i="5"/>
  <c r="F895" i="5"/>
  <c r="G895" i="5"/>
  <c r="E895" i="5"/>
  <c r="G753" i="5"/>
  <c r="F753" i="5"/>
  <c r="E753" i="5"/>
  <c r="G825" i="5"/>
  <c r="F825" i="5"/>
  <c r="E825" i="5"/>
  <c r="G891" i="5"/>
  <c r="F891" i="5"/>
  <c r="E891" i="5"/>
  <c r="G844" i="5"/>
  <c r="F844" i="5"/>
  <c r="E844" i="5"/>
  <c r="F943" i="5"/>
  <c r="G943" i="5"/>
  <c r="E943" i="5"/>
  <c r="G994" i="5"/>
  <c r="F994" i="5"/>
  <c r="E994" i="5"/>
  <c r="G976" i="5"/>
  <c r="F976" i="5"/>
  <c r="E976" i="5"/>
  <c r="G932" i="5"/>
  <c r="F932" i="5"/>
  <c r="E932" i="5"/>
  <c r="G939" i="5"/>
  <c r="F939" i="5"/>
  <c r="E939" i="5"/>
  <c r="G912" i="5"/>
  <c r="F912" i="5"/>
  <c r="E912" i="5"/>
  <c r="G1001" i="5"/>
  <c r="F1001" i="5"/>
  <c r="E1001" i="5"/>
  <c r="F909" i="5"/>
  <c r="G909" i="5"/>
  <c r="E909" i="5"/>
  <c r="F960" i="5"/>
  <c r="G960" i="5"/>
  <c r="E960" i="5"/>
  <c r="G981" i="5"/>
  <c r="F981" i="5"/>
  <c r="E981" i="5"/>
  <c r="F1008" i="5"/>
  <c r="G1008" i="5"/>
  <c r="E1008" i="5"/>
  <c r="O35" i="5"/>
  <c r="N35" i="5"/>
  <c r="M35" i="5"/>
  <c r="O89" i="5"/>
  <c r="N89" i="5"/>
  <c r="M89" i="5"/>
  <c r="O161" i="5"/>
  <c r="N161" i="5"/>
  <c r="M161" i="5"/>
  <c r="N235" i="5"/>
  <c r="O235" i="5"/>
  <c r="M235" i="5"/>
  <c r="O118" i="5"/>
  <c r="N118" i="5"/>
  <c r="M118" i="5"/>
  <c r="O190" i="5"/>
  <c r="N190" i="5"/>
  <c r="M190" i="5"/>
  <c r="O75" i="5"/>
  <c r="N75" i="5"/>
  <c r="M75" i="5"/>
  <c r="O147" i="5"/>
  <c r="N147" i="5"/>
  <c r="M147" i="5"/>
  <c r="N226" i="5"/>
  <c r="O226" i="5"/>
  <c r="M226" i="5"/>
  <c r="O74" i="5"/>
  <c r="N74" i="5"/>
  <c r="M74" i="5"/>
  <c r="O146" i="5"/>
  <c r="N146" i="5"/>
  <c r="M146" i="5"/>
  <c r="N217" i="5"/>
  <c r="O217" i="5"/>
  <c r="M217" i="5"/>
  <c r="N103" i="5"/>
  <c r="O103" i="5"/>
  <c r="M103" i="5"/>
  <c r="N175" i="5"/>
  <c r="O175" i="5"/>
  <c r="M175" i="5"/>
  <c r="O42" i="5"/>
  <c r="N42" i="5"/>
  <c r="M42" i="5"/>
  <c r="O114" i="5"/>
  <c r="N114" i="5"/>
  <c r="M114" i="5"/>
  <c r="O186" i="5"/>
  <c r="N186" i="5"/>
  <c r="M186" i="5"/>
  <c r="O262" i="5"/>
  <c r="N262" i="5"/>
  <c r="M262" i="5"/>
  <c r="O225" i="5"/>
  <c r="N225" i="5"/>
  <c r="M225" i="5"/>
  <c r="O314" i="5"/>
  <c r="N314" i="5"/>
  <c r="M314" i="5"/>
  <c r="O271" i="5"/>
  <c r="N271" i="5"/>
  <c r="M271" i="5"/>
  <c r="O204" i="5"/>
  <c r="N204" i="5"/>
  <c r="M204" i="5"/>
  <c r="N297" i="5"/>
  <c r="O297" i="5"/>
  <c r="M297" i="5"/>
  <c r="N288" i="5"/>
  <c r="O288" i="5"/>
  <c r="M288" i="5"/>
  <c r="O404" i="5"/>
  <c r="N404" i="5"/>
  <c r="M404" i="5"/>
  <c r="N455" i="5"/>
  <c r="O455" i="5"/>
  <c r="M455" i="5"/>
  <c r="O401" i="5"/>
  <c r="N401" i="5"/>
  <c r="M401" i="5"/>
  <c r="O302" i="5"/>
  <c r="N302" i="5"/>
  <c r="M302" i="5"/>
  <c r="N403" i="5"/>
  <c r="O403" i="5"/>
  <c r="M403" i="5"/>
  <c r="O353" i="5"/>
  <c r="N353" i="5"/>
  <c r="M353" i="5"/>
  <c r="O312" i="5"/>
  <c r="N312" i="5"/>
  <c r="M312" i="5"/>
  <c r="N418" i="5"/>
  <c r="O418" i="5"/>
  <c r="M418" i="5"/>
  <c r="O617" i="5"/>
  <c r="N617" i="5"/>
  <c r="M617" i="5"/>
  <c r="O357" i="5"/>
  <c r="N357" i="5"/>
  <c r="M357" i="5"/>
  <c r="O429" i="5"/>
  <c r="N429" i="5"/>
  <c r="M429" i="5"/>
  <c r="N468" i="5"/>
  <c r="O468" i="5"/>
  <c r="M468" i="5"/>
  <c r="N497" i="5"/>
  <c r="O497" i="5"/>
  <c r="M497" i="5"/>
  <c r="O360" i="5"/>
  <c r="N360" i="5"/>
  <c r="M360" i="5"/>
  <c r="O432" i="5"/>
  <c r="N432" i="5"/>
  <c r="M432" i="5"/>
  <c r="N476" i="5"/>
  <c r="O476" i="5"/>
  <c r="M476" i="5"/>
  <c r="N556" i="5"/>
  <c r="O556" i="5"/>
  <c r="M556" i="5"/>
  <c r="O493" i="5"/>
  <c r="N493" i="5"/>
  <c r="M493" i="5"/>
  <c r="O516" i="5"/>
  <c r="N516" i="5"/>
  <c r="M516" i="5"/>
  <c r="O534" i="5"/>
  <c r="N534" i="5"/>
  <c r="M534" i="5"/>
  <c r="N547" i="5"/>
  <c r="O547" i="5"/>
  <c r="M547" i="5"/>
  <c r="O513" i="5"/>
  <c r="N513" i="5"/>
  <c r="M513" i="5"/>
  <c r="O564" i="5"/>
  <c r="N564" i="5"/>
  <c r="M564" i="5"/>
  <c r="O543" i="5"/>
  <c r="N543" i="5"/>
  <c r="M543" i="5"/>
  <c r="N686" i="5"/>
  <c r="O686" i="5"/>
  <c r="M686" i="5"/>
  <c r="O618" i="5"/>
  <c r="N618" i="5"/>
  <c r="M618" i="5"/>
  <c r="O690" i="5"/>
  <c r="N690" i="5"/>
  <c r="M690" i="5"/>
  <c r="O713" i="5"/>
  <c r="N713" i="5"/>
  <c r="M713" i="5"/>
  <c r="N598" i="5"/>
  <c r="O598" i="5"/>
  <c r="M598" i="5"/>
  <c r="N670" i="5"/>
  <c r="O670" i="5"/>
  <c r="M670" i="5"/>
  <c r="N754" i="5"/>
  <c r="O754" i="5"/>
  <c r="M754" i="5"/>
  <c r="N633" i="5"/>
  <c r="O633" i="5"/>
  <c r="M633" i="5"/>
  <c r="O705" i="5"/>
  <c r="N705" i="5"/>
  <c r="M705" i="5"/>
  <c r="O751" i="5"/>
  <c r="N751" i="5"/>
  <c r="M751" i="5"/>
  <c r="O601" i="5"/>
  <c r="N601" i="5"/>
  <c r="M601" i="5"/>
  <c r="N673" i="5"/>
  <c r="O673" i="5"/>
  <c r="M673" i="5"/>
  <c r="N760" i="5"/>
  <c r="O760" i="5"/>
  <c r="M760" i="5"/>
  <c r="N790" i="5"/>
  <c r="O790" i="5"/>
  <c r="M790" i="5"/>
  <c r="N730" i="5"/>
  <c r="O730" i="5"/>
  <c r="M730" i="5"/>
  <c r="O818" i="5"/>
  <c r="N818" i="5"/>
  <c r="M818" i="5"/>
  <c r="O876" i="5"/>
  <c r="N876" i="5"/>
  <c r="M876" i="5"/>
  <c r="N780" i="5"/>
  <c r="O780" i="5"/>
  <c r="M780" i="5"/>
  <c r="O831" i="5"/>
  <c r="N831" i="5"/>
  <c r="M831" i="5"/>
  <c r="O791" i="5"/>
  <c r="N791" i="5"/>
  <c r="M791" i="5"/>
  <c r="O848" i="5"/>
  <c r="N848" i="5"/>
  <c r="M848" i="5"/>
  <c r="O759" i="5"/>
  <c r="N759" i="5"/>
  <c r="M759" i="5"/>
  <c r="O838" i="5"/>
  <c r="N838" i="5"/>
  <c r="M838" i="5"/>
  <c r="N928" i="5"/>
  <c r="O928" i="5"/>
  <c r="M928" i="5"/>
  <c r="N881" i="5"/>
  <c r="O881" i="5"/>
  <c r="M881" i="5"/>
  <c r="O885" i="5"/>
  <c r="N885" i="5"/>
  <c r="M885" i="5"/>
  <c r="N940" i="5"/>
  <c r="O940" i="5"/>
  <c r="M940" i="5"/>
  <c r="N918" i="5"/>
  <c r="O918" i="5"/>
  <c r="M918" i="5"/>
  <c r="O868" i="5"/>
  <c r="N868" i="5"/>
  <c r="M868" i="5"/>
  <c r="O950" i="5"/>
  <c r="N950" i="5"/>
  <c r="M950" i="5"/>
  <c r="O994" i="5"/>
  <c r="N994" i="5"/>
  <c r="M994" i="5"/>
  <c r="N1013" i="5"/>
  <c r="O1013" i="5"/>
  <c r="M1013" i="5"/>
  <c r="N999" i="5"/>
  <c r="O999" i="5"/>
  <c r="M999" i="5"/>
  <c r="N1010" i="5"/>
  <c r="O1010" i="5"/>
  <c r="M1010" i="5"/>
  <c r="N978" i="5"/>
  <c r="O978" i="5"/>
  <c r="M978" i="5"/>
  <c r="G44" i="5"/>
  <c r="F44" i="5"/>
  <c r="E44" i="5"/>
  <c r="F40" i="5"/>
  <c r="G40" i="5"/>
  <c r="E40" i="5"/>
  <c r="F39" i="5"/>
  <c r="G39" i="5"/>
  <c r="E39" i="5"/>
  <c r="G111" i="5"/>
  <c r="F111" i="5"/>
  <c r="E111" i="5"/>
  <c r="G183" i="5"/>
  <c r="F183" i="5"/>
  <c r="E183" i="5"/>
  <c r="G56" i="5"/>
  <c r="F56" i="5"/>
  <c r="E56" i="5"/>
  <c r="G128" i="5"/>
  <c r="F128" i="5"/>
  <c r="E128" i="5"/>
  <c r="F201" i="5"/>
  <c r="G201" i="5"/>
  <c r="E201" i="5"/>
  <c r="G121" i="5"/>
  <c r="F121" i="5"/>
  <c r="E121" i="5"/>
  <c r="G193" i="5"/>
  <c r="F193" i="5"/>
  <c r="E193" i="5"/>
  <c r="G96" i="5"/>
  <c r="F96" i="5"/>
  <c r="E96" i="5"/>
  <c r="G168" i="5"/>
  <c r="F168" i="5"/>
  <c r="E168" i="5"/>
  <c r="G35" i="5"/>
  <c r="F35" i="5"/>
  <c r="E35" i="5"/>
  <c r="G107" i="5"/>
  <c r="F107" i="5"/>
  <c r="E107" i="5"/>
  <c r="G179" i="5"/>
  <c r="F179" i="5"/>
  <c r="E179" i="5"/>
  <c r="G88" i="5"/>
  <c r="F88" i="5"/>
  <c r="E88" i="5"/>
  <c r="G160" i="5"/>
  <c r="F160" i="5"/>
  <c r="E160" i="5"/>
  <c r="G224" i="5"/>
  <c r="F224" i="5"/>
  <c r="E224" i="5"/>
  <c r="F287" i="5"/>
  <c r="G287" i="5"/>
  <c r="E287" i="5"/>
  <c r="G265" i="5"/>
  <c r="F265" i="5"/>
  <c r="E265" i="5"/>
  <c r="F275" i="5"/>
  <c r="G275" i="5"/>
  <c r="E275" i="5"/>
  <c r="G263" i="5"/>
  <c r="F263" i="5"/>
  <c r="E263" i="5"/>
  <c r="G214" i="5"/>
  <c r="F214" i="5"/>
  <c r="E214" i="5"/>
  <c r="G288" i="5"/>
  <c r="F288" i="5"/>
  <c r="E288" i="5"/>
  <c r="G382" i="5"/>
  <c r="F382" i="5"/>
  <c r="E382" i="5"/>
  <c r="F390" i="5"/>
  <c r="G390" i="5"/>
  <c r="E390" i="5"/>
  <c r="G289" i="5"/>
  <c r="F289" i="5"/>
  <c r="E289" i="5"/>
  <c r="G394" i="5"/>
  <c r="F394" i="5"/>
  <c r="E394" i="5"/>
  <c r="F369" i="5"/>
  <c r="G369" i="5"/>
  <c r="E369" i="5"/>
  <c r="G312" i="5"/>
  <c r="F312" i="5"/>
  <c r="E312" i="5"/>
  <c r="F438" i="5"/>
  <c r="G438" i="5"/>
  <c r="E438" i="5"/>
  <c r="G303" i="5"/>
  <c r="F303" i="5"/>
  <c r="E303" i="5"/>
  <c r="G406" i="5"/>
  <c r="F406" i="5"/>
  <c r="E406" i="5"/>
  <c r="G344" i="5"/>
  <c r="F344" i="5"/>
  <c r="E344" i="5"/>
  <c r="G416" i="5"/>
  <c r="F416" i="5"/>
  <c r="E416" i="5"/>
  <c r="F493" i="5"/>
  <c r="G493" i="5"/>
  <c r="E493" i="5"/>
  <c r="G488" i="5"/>
  <c r="F488" i="5"/>
  <c r="E488" i="5"/>
  <c r="G323" i="5"/>
  <c r="F323" i="5"/>
  <c r="E323" i="5"/>
  <c r="G395" i="5"/>
  <c r="F395" i="5"/>
  <c r="E395" i="5"/>
  <c r="G648" i="5"/>
  <c r="F648" i="5"/>
  <c r="E648" i="5"/>
  <c r="F515" i="5"/>
  <c r="G515" i="5"/>
  <c r="E515" i="5"/>
  <c r="G582" i="5"/>
  <c r="F582" i="5"/>
  <c r="E582" i="5"/>
  <c r="G474" i="5"/>
  <c r="F474" i="5"/>
  <c r="E474" i="5"/>
  <c r="G507" i="5"/>
  <c r="F507" i="5"/>
  <c r="E507" i="5"/>
  <c r="G700" i="5"/>
  <c r="F700" i="5"/>
  <c r="E700" i="5"/>
  <c r="G527" i="5"/>
  <c r="F527" i="5"/>
  <c r="E527" i="5"/>
  <c r="G551" i="5"/>
  <c r="F551" i="5"/>
  <c r="E551" i="5"/>
  <c r="G635" i="5"/>
  <c r="F635" i="5"/>
  <c r="E635" i="5"/>
  <c r="G561" i="5"/>
  <c r="F561" i="5"/>
  <c r="E561" i="5"/>
  <c r="G609" i="5"/>
  <c r="F609" i="5"/>
  <c r="E609" i="5"/>
  <c r="G650" i="5"/>
  <c r="F650" i="5"/>
  <c r="E650" i="5"/>
  <c r="G657" i="5"/>
  <c r="F657" i="5"/>
  <c r="E657" i="5"/>
  <c r="F568" i="5"/>
  <c r="G568" i="5"/>
  <c r="E568" i="5"/>
  <c r="G621" i="5"/>
  <c r="F621" i="5"/>
  <c r="E621" i="5"/>
  <c r="G694" i="5"/>
  <c r="F694" i="5"/>
  <c r="E694" i="5"/>
  <c r="G690" i="5"/>
  <c r="F690" i="5"/>
  <c r="E690" i="5"/>
  <c r="G715" i="5"/>
  <c r="F715" i="5"/>
  <c r="E715" i="5"/>
  <c r="G767" i="5"/>
  <c r="F767" i="5"/>
  <c r="E767" i="5"/>
  <c r="F601" i="5"/>
  <c r="G601" i="5"/>
  <c r="E601" i="5"/>
  <c r="G673" i="5"/>
  <c r="F673" i="5"/>
  <c r="E673" i="5"/>
  <c r="G768" i="5"/>
  <c r="F768" i="5"/>
  <c r="E768" i="5"/>
  <c r="G665" i="5"/>
  <c r="F665" i="5"/>
  <c r="E665" i="5"/>
  <c r="G748" i="5"/>
  <c r="F748" i="5"/>
  <c r="E748" i="5"/>
  <c r="F780" i="5"/>
  <c r="G780" i="5"/>
  <c r="E780" i="5"/>
  <c r="G839" i="5"/>
  <c r="F839" i="5"/>
  <c r="E839" i="5"/>
  <c r="G761" i="5"/>
  <c r="F761" i="5"/>
  <c r="E761" i="5"/>
  <c r="G805" i="5"/>
  <c r="F805" i="5"/>
  <c r="E805" i="5"/>
  <c r="G797" i="5"/>
  <c r="F797" i="5"/>
  <c r="E797" i="5"/>
  <c r="G812" i="5"/>
  <c r="F812" i="5"/>
  <c r="E812" i="5"/>
  <c r="G914" i="5"/>
  <c r="F914" i="5"/>
  <c r="E914" i="5"/>
  <c r="G759" i="5"/>
  <c r="F759" i="5"/>
  <c r="E759" i="5"/>
  <c r="F838" i="5"/>
  <c r="G838" i="5"/>
  <c r="E838" i="5"/>
  <c r="G1013" i="5"/>
  <c r="F1013" i="5"/>
  <c r="E1013" i="5"/>
  <c r="F862" i="5"/>
  <c r="G862" i="5"/>
  <c r="E862" i="5"/>
  <c r="G956" i="5"/>
  <c r="F956" i="5"/>
  <c r="E956" i="5"/>
  <c r="F829" i="5"/>
  <c r="G829" i="5"/>
  <c r="E829" i="5"/>
  <c r="G987" i="5"/>
  <c r="F987" i="5"/>
  <c r="E987" i="5"/>
  <c r="G945" i="5"/>
  <c r="F945" i="5"/>
  <c r="E945" i="5"/>
  <c r="G941" i="5"/>
  <c r="F941" i="5"/>
  <c r="E941" i="5"/>
  <c r="G922" i="5"/>
  <c r="F922" i="5"/>
  <c r="E922" i="5"/>
  <c r="G1005" i="5"/>
  <c r="F1005" i="5"/>
  <c r="E1005" i="5"/>
  <c r="G915" i="5"/>
  <c r="F915" i="5"/>
  <c r="E915" i="5"/>
  <c r="G973" i="5"/>
  <c r="F973" i="5"/>
  <c r="E973" i="5"/>
  <c r="G997" i="5"/>
  <c r="F997" i="5"/>
  <c r="E997" i="5"/>
  <c r="F1014" i="5"/>
  <c r="G1014" i="5"/>
  <c r="E1014" i="5"/>
  <c r="O41" i="5"/>
  <c r="N41" i="5"/>
  <c r="M41" i="5"/>
  <c r="O95" i="5"/>
  <c r="N95" i="5"/>
  <c r="M95" i="5"/>
  <c r="O167" i="5"/>
  <c r="N167" i="5"/>
  <c r="M167" i="5"/>
  <c r="N250" i="5"/>
  <c r="O250" i="5"/>
  <c r="M250" i="5"/>
  <c r="O124" i="5"/>
  <c r="N124" i="5"/>
  <c r="M124" i="5"/>
  <c r="O196" i="5"/>
  <c r="N196" i="5"/>
  <c r="M196" i="5"/>
  <c r="O81" i="5"/>
  <c r="N81" i="5"/>
  <c r="M81" i="5"/>
  <c r="O153" i="5"/>
  <c r="N153" i="5"/>
  <c r="M153" i="5"/>
  <c r="N238" i="5"/>
  <c r="O238" i="5"/>
  <c r="M238" i="5"/>
  <c r="O80" i="5"/>
  <c r="N80" i="5"/>
  <c r="M80" i="5"/>
  <c r="O152" i="5"/>
  <c r="N152" i="5"/>
  <c r="M152" i="5"/>
  <c r="N229" i="5"/>
  <c r="O229" i="5"/>
  <c r="M229" i="5"/>
  <c r="N109" i="5"/>
  <c r="O109" i="5"/>
  <c r="M109" i="5"/>
  <c r="N181" i="5"/>
  <c r="O181" i="5"/>
  <c r="M181" i="5"/>
  <c r="O48" i="5"/>
  <c r="N48" i="5"/>
  <c r="M48" i="5"/>
  <c r="O120" i="5"/>
  <c r="N120" i="5"/>
  <c r="M120" i="5"/>
  <c r="O192" i="5"/>
  <c r="N192" i="5"/>
  <c r="M192" i="5"/>
  <c r="N334" i="5"/>
  <c r="O334" i="5"/>
  <c r="M334" i="5"/>
  <c r="O231" i="5"/>
  <c r="N231" i="5"/>
  <c r="M231" i="5"/>
  <c r="O341" i="5"/>
  <c r="N341" i="5"/>
  <c r="M341" i="5"/>
  <c r="O280" i="5"/>
  <c r="N280" i="5"/>
  <c r="M280" i="5"/>
  <c r="O210" i="5"/>
  <c r="N210" i="5"/>
  <c r="M210" i="5"/>
  <c r="N316" i="5"/>
  <c r="O316" i="5"/>
  <c r="M316" i="5"/>
  <c r="O295" i="5"/>
  <c r="N295" i="5"/>
  <c r="M295" i="5"/>
  <c r="O413" i="5"/>
  <c r="N413" i="5"/>
  <c r="M413" i="5"/>
  <c r="N309" i="5"/>
  <c r="O309" i="5"/>
  <c r="M309" i="5"/>
  <c r="O410" i="5"/>
  <c r="N410" i="5"/>
  <c r="M410" i="5"/>
  <c r="O308" i="5"/>
  <c r="N308" i="5"/>
  <c r="M308" i="5"/>
  <c r="N412" i="5"/>
  <c r="O412" i="5"/>
  <c r="M412" i="5"/>
  <c r="O362" i="5"/>
  <c r="N362" i="5"/>
  <c r="M362" i="5"/>
  <c r="N319" i="5"/>
  <c r="O319" i="5"/>
  <c r="M319" i="5"/>
  <c r="N427" i="5"/>
  <c r="O427" i="5"/>
  <c r="M427" i="5"/>
  <c r="N482" i="5"/>
  <c r="O482" i="5"/>
  <c r="M482" i="5"/>
  <c r="O363" i="5"/>
  <c r="N363" i="5"/>
  <c r="M363" i="5"/>
  <c r="O435" i="5"/>
  <c r="N435" i="5"/>
  <c r="M435" i="5"/>
  <c r="O477" i="5"/>
  <c r="N477" i="5"/>
  <c r="M477" i="5"/>
  <c r="N523" i="5"/>
  <c r="O523" i="5"/>
  <c r="M523" i="5"/>
  <c r="O366" i="5"/>
  <c r="N366" i="5"/>
  <c r="M366" i="5"/>
  <c r="O438" i="5"/>
  <c r="N438" i="5"/>
  <c r="M438" i="5"/>
  <c r="N485" i="5"/>
  <c r="O485" i="5"/>
  <c r="M485" i="5"/>
  <c r="N614" i="5"/>
  <c r="O614" i="5"/>
  <c r="M614" i="5"/>
  <c r="O499" i="5"/>
  <c r="N499" i="5"/>
  <c r="M499" i="5"/>
  <c r="N632" i="5"/>
  <c r="O632" i="5"/>
  <c r="M632" i="5"/>
  <c r="N578" i="5"/>
  <c r="O578" i="5"/>
  <c r="M578" i="5"/>
  <c r="N560" i="5"/>
  <c r="O560" i="5"/>
  <c r="M560" i="5"/>
  <c r="N519" i="5"/>
  <c r="O519" i="5"/>
  <c r="M519" i="5"/>
  <c r="O605" i="5"/>
  <c r="N605" i="5"/>
  <c r="M605" i="5"/>
  <c r="N549" i="5"/>
  <c r="O549" i="5"/>
  <c r="M549" i="5"/>
  <c r="O689" i="5"/>
  <c r="N689" i="5"/>
  <c r="M689" i="5"/>
  <c r="O624" i="5"/>
  <c r="N624" i="5"/>
  <c r="M624" i="5"/>
  <c r="O696" i="5"/>
  <c r="N696" i="5"/>
  <c r="M696" i="5"/>
  <c r="O716" i="5"/>
  <c r="N716" i="5"/>
  <c r="M716" i="5"/>
  <c r="N604" i="5"/>
  <c r="O604" i="5"/>
  <c r="M604" i="5"/>
  <c r="N676" i="5"/>
  <c r="O676" i="5"/>
  <c r="M676" i="5"/>
  <c r="N872" i="5"/>
  <c r="O872" i="5"/>
  <c r="M872" i="5"/>
  <c r="O639" i="5"/>
  <c r="N639" i="5"/>
  <c r="M639" i="5"/>
  <c r="O711" i="5"/>
  <c r="N711" i="5"/>
  <c r="M711" i="5"/>
  <c r="O839" i="5"/>
  <c r="N839" i="5"/>
  <c r="M839" i="5"/>
  <c r="N607" i="5"/>
  <c r="O607" i="5"/>
  <c r="M607" i="5"/>
  <c r="N679" i="5"/>
  <c r="O679" i="5"/>
  <c r="M679" i="5"/>
  <c r="N778" i="5"/>
  <c r="O778" i="5"/>
  <c r="M778" i="5"/>
  <c r="O964" i="5"/>
  <c r="N964" i="5"/>
  <c r="M964" i="5"/>
  <c r="O743" i="5"/>
  <c r="N743" i="5"/>
  <c r="M743" i="5"/>
  <c r="N824" i="5"/>
  <c r="O824" i="5"/>
  <c r="M824" i="5"/>
  <c r="O932" i="5"/>
  <c r="N932" i="5"/>
  <c r="M932" i="5"/>
  <c r="N786" i="5"/>
  <c r="O786" i="5"/>
  <c r="M786" i="5"/>
  <c r="N864" i="5"/>
  <c r="O864" i="5"/>
  <c r="M864" i="5"/>
  <c r="N797" i="5"/>
  <c r="O797" i="5"/>
  <c r="M797" i="5"/>
  <c r="N860" i="5"/>
  <c r="O860" i="5"/>
  <c r="M860" i="5"/>
  <c r="O765" i="5"/>
  <c r="N765" i="5"/>
  <c r="M765" i="5"/>
  <c r="N852" i="5"/>
  <c r="O852" i="5"/>
  <c r="M852" i="5"/>
  <c r="N866" i="5"/>
  <c r="O866" i="5"/>
  <c r="M866" i="5"/>
  <c r="O897" i="5"/>
  <c r="N897" i="5"/>
  <c r="M897" i="5"/>
  <c r="N893" i="5"/>
  <c r="O893" i="5"/>
  <c r="M893" i="5"/>
  <c r="N865" i="5"/>
  <c r="O865" i="5"/>
  <c r="M865" i="5"/>
  <c r="O921" i="5"/>
  <c r="N921" i="5"/>
  <c r="M921" i="5"/>
  <c r="O874" i="5"/>
  <c r="N874" i="5"/>
  <c r="M874" i="5"/>
  <c r="O977" i="5"/>
  <c r="N977" i="5"/>
  <c r="M977" i="5"/>
  <c r="N1021" i="5"/>
  <c r="O1021" i="5"/>
  <c r="M1021" i="5"/>
  <c r="O1019" i="5"/>
  <c r="N1019" i="5"/>
  <c r="M1019" i="5"/>
  <c r="N1005" i="5"/>
  <c r="O1005" i="5"/>
  <c r="M1005" i="5"/>
  <c r="O1016" i="5"/>
  <c r="N1016" i="5"/>
  <c r="M1016" i="5"/>
  <c r="N984" i="5"/>
  <c r="O984" i="5"/>
  <c r="M984" i="5"/>
  <c r="F34" i="5"/>
  <c r="G34" i="5"/>
  <c r="E34" i="5"/>
  <c r="F46" i="5"/>
  <c r="G46" i="5"/>
  <c r="E46" i="5"/>
  <c r="F45" i="5"/>
  <c r="G45" i="5"/>
  <c r="E45" i="5"/>
  <c r="G117" i="5"/>
  <c r="F117" i="5"/>
  <c r="E117" i="5"/>
  <c r="G189" i="5"/>
  <c r="F189" i="5"/>
  <c r="E189" i="5"/>
  <c r="G62" i="5"/>
  <c r="F62" i="5"/>
  <c r="E62" i="5"/>
  <c r="G134" i="5"/>
  <c r="F134" i="5"/>
  <c r="E134" i="5"/>
  <c r="G205" i="5"/>
  <c r="F205" i="5"/>
  <c r="E205" i="5"/>
  <c r="G127" i="5"/>
  <c r="F127" i="5"/>
  <c r="E127" i="5"/>
  <c r="F30" i="5"/>
  <c r="G30" i="5"/>
  <c r="E30" i="5"/>
  <c r="G102" i="5"/>
  <c r="F102" i="5"/>
  <c r="E102" i="5"/>
  <c r="G174" i="5"/>
  <c r="F174" i="5"/>
  <c r="E174" i="5"/>
  <c r="G41" i="5"/>
  <c r="F41" i="5"/>
  <c r="E41" i="5"/>
  <c r="G113" i="5"/>
  <c r="F113" i="5"/>
  <c r="E113" i="5"/>
  <c r="G185" i="5"/>
  <c r="F185" i="5"/>
  <c r="E185" i="5"/>
  <c r="G94" i="5"/>
  <c r="F94" i="5"/>
  <c r="E94" i="5"/>
  <c r="G166" i="5"/>
  <c r="F166" i="5"/>
  <c r="E166" i="5"/>
  <c r="G230" i="5"/>
  <c r="F230" i="5"/>
  <c r="E230" i="5"/>
  <c r="F296" i="5"/>
  <c r="G296" i="5"/>
  <c r="E296" i="5"/>
  <c r="G319" i="5"/>
  <c r="F319" i="5"/>
  <c r="E319" i="5"/>
  <c r="F284" i="5"/>
  <c r="G284" i="5"/>
  <c r="E284" i="5"/>
  <c r="G311" i="5"/>
  <c r="F311" i="5"/>
  <c r="E311" i="5"/>
  <c r="G220" i="5"/>
  <c r="F220" i="5"/>
  <c r="E220" i="5"/>
  <c r="G305" i="5"/>
  <c r="F305" i="5"/>
  <c r="E305" i="5"/>
  <c r="F393" i="5"/>
  <c r="G393" i="5"/>
  <c r="E393" i="5"/>
  <c r="F399" i="5"/>
  <c r="G399" i="5"/>
  <c r="E399" i="5"/>
  <c r="G295" i="5"/>
  <c r="F295" i="5"/>
  <c r="E295" i="5"/>
  <c r="G403" i="5"/>
  <c r="F403" i="5"/>
  <c r="E403" i="5"/>
  <c r="F378" i="5"/>
  <c r="G378" i="5"/>
  <c r="E378" i="5"/>
  <c r="G461" i="5"/>
  <c r="F461" i="5"/>
  <c r="E461" i="5"/>
  <c r="G268" i="5"/>
  <c r="F268" i="5"/>
  <c r="E268" i="5"/>
  <c r="G309" i="5"/>
  <c r="F309" i="5"/>
  <c r="E309" i="5"/>
  <c r="G415" i="5"/>
  <c r="F415" i="5"/>
  <c r="E415" i="5"/>
  <c r="G350" i="5"/>
  <c r="F350" i="5"/>
  <c r="E350" i="5"/>
  <c r="G422" i="5"/>
  <c r="F422" i="5"/>
  <c r="E422" i="5"/>
  <c r="F502" i="5"/>
  <c r="G502" i="5"/>
  <c r="E502" i="5"/>
  <c r="G497" i="5"/>
  <c r="F497" i="5"/>
  <c r="E497" i="5"/>
  <c r="G329" i="5"/>
  <c r="F329" i="5"/>
  <c r="E329" i="5"/>
  <c r="G401" i="5"/>
  <c r="F401" i="5"/>
  <c r="E401" i="5"/>
  <c r="G476" i="5"/>
  <c r="F476" i="5"/>
  <c r="E476" i="5"/>
  <c r="G611" i="5"/>
  <c r="F611" i="5"/>
  <c r="E611" i="5"/>
  <c r="G614" i="5"/>
  <c r="F614" i="5"/>
  <c r="E614" i="5"/>
  <c r="G480" i="5"/>
  <c r="F480" i="5"/>
  <c r="E480" i="5"/>
  <c r="G524" i="5"/>
  <c r="F524" i="5"/>
  <c r="E524" i="5"/>
  <c r="G459" i="5"/>
  <c r="F459" i="5"/>
  <c r="E459" i="5"/>
  <c r="G553" i="5"/>
  <c r="F553" i="5"/>
  <c r="E553" i="5"/>
  <c r="G570" i="5"/>
  <c r="F570" i="5"/>
  <c r="E570" i="5"/>
  <c r="G647" i="5"/>
  <c r="F647" i="5"/>
  <c r="E647" i="5"/>
  <c r="G574" i="5"/>
  <c r="F574" i="5"/>
  <c r="E574" i="5"/>
  <c r="G645" i="5"/>
  <c r="F645" i="5"/>
  <c r="E645" i="5"/>
  <c r="F547" i="5"/>
  <c r="G547" i="5"/>
  <c r="E547" i="5"/>
  <c r="G687" i="5"/>
  <c r="F687" i="5"/>
  <c r="E687" i="5"/>
  <c r="F578" i="5"/>
  <c r="G578" i="5"/>
  <c r="E578" i="5"/>
  <c r="G623" i="5"/>
  <c r="F623" i="5"/>
  <c r="E623" i="5"/>
  <c r="F556" i="5"/>
  <c r="G556" i="5"/>
  <c r="E556" i="5"/>
  <c r="G699" i="5"/>
  <c r="F699" i="5"/>
  <c r="E699" i="5"/>
  <c r="G725" i="5"/>
  <c r="F725" i="5"/>
  <c r="E725" i="5"/>
  <c r="G776" i="5"/>
  <c r="F776" i="5"/>
  <c r="E776" i="5"/>
  <c r="F607" i="5"/>
  <c r="G607" i="5"/>
  <c r="E607" i="5"/>
  <c r="F679" i="5"/>
  <c r="G679" i="5"/>
  <c r="E679" i="5"/>
  <c r="G790" i="5"/>
  <c r="F790" i="5"/>
  <c r="E790" i="5"/>
  <c r="G671" i="5"/>
  <c r="F671" i="5"/>
  <c r="E671" i="5"/>
  <c r="G821" i="5"/>
  <c r="F821" i="5"/>
  <c r="E821" i="5"/>
  <c r="G806" i="5"/>
  <c r="F806" i="5"/>
  <c r="E806" i="5"/>
  <c r="F852" i="5"/>
  <c r="G852" i="5"/>
  <c r="E852" i="5"/>
  <c r="G779" i="5"/>
  <c r="F779" i="5"/>
  <c r="E779" i="5"/>
  <c r="G870" i="5"/>
  <c r="F870" i="5"/>
  <c r="E870" i="5"/>
  <c r="G799" i="5"/>
  <c r="F799" i="5"/>
  <c r="E799" i="5"/>
  <c r="F816" i="5"/>
  <c r="G816" i="5"/>
  <c r="E816" i="5"/>
  <c r="F842" i="5"/>
  <c r="G842" i="5"/>
  <c r="E842" i="5"/>
  <c r="G765" i="5"/>
  <c r="F765" i="5"/>
  <c r="E765" i="5"/>
  <c r="G846" i="5"/>
  <c r="F846" i="5"/>
  <c r="E846" i="5"/>
  <c r="G843" i="5"/>
  <c r="F843" i="5"/>
  <c r="E843" i="5"/>
  <c r="G872" i="5"/>
  <c r="F872" i="5"/>
  <c r="E872" i="5"/>
  <c r="G985" i="5"/>
  <c r="F985" i="5"/>
  <c r="E985" i="5"/>
  <c r="G835" i="5"/>
  <c r="F835" i="5"/>
  <c r="E835" i="5"/>
  <c r="F854" i="5"/>
  <c r="G854" i="5"/>
  <c r="E854" i="5"/>
  <c r="G950" i="5"/>
  <c r="F950" i="5"/>
  <c r="E950" i="5"/>
  <c r="G958" i="5"/>
  <c r="F958" i="5"/>
  <c r="E958" i="5"/>
  <c r="F925" i="5"/>
  <c r="G925" i="5"/>
  <c r="E925" i="5"/>
  <c r="G1019" i="5"/>
  <c r="F1019" i="5"/>
  <c r="E1019" i="5"/>
  <c r="F921" i="5"/>
  <c r="G921" i="5"/>
  <c r="E921" i="5"/>
  <c r="F975" i="5"/>
  <c r="G975" i="5"/>
  <c r="E975" i="5"/>
  <c r="F999" i="5"/>
  <c r="G999" i="5"/>
  <c r="E999" i="5"/>
  <c r="G1020" i="5"/>
  <c r="F1020" i="5"/>
  <c r="E1020" i="5"/>
  <c r="O47" i="5"/>
  <c r="N47" i="5"/>
  <c r="M47" i="5"/>
  <c r="O101" i="5"/>
  <c r="N101" i="5"/>
  <c r="M101" i="5"/>
  <c r="O173" i="5"/>
  <c r="N173" i="5"/>
  <c r="M173" i="5"/>
  <c r="O58" i="5"/>
  <c r="N58" i="5"/>
  <c r="M58" i="5"/>
  <c r="O130" i="5"/>
  <c r="N130" i="5"/>
  <c r="M130" i="5"/>
  <c r="O209" i="5"/>
  <c r="N209" i="5"/>
  <c r="M209" i="5"/>
  <c r="O87" i="5"/>
  <c r="N87" i="5"/>
  <c r="M87" i="5"/>
  <c r="O159" i="5"/>
  <c r="N159" i="5"/>
  <c r="M159" i="5"/>
  <c r="O256" i="5"/>
  <c r="N256" i="5"/>
  <c r="M256" i="5"/>
  <c r="O86" i="5"/>
  <c r="N86" i="5"/>
  <c r="M86" i="5"/>
  <c r="O158" i="5"/>
  <c r="N158" i="5"/>
  <c r="M158" i="5"/>
  <c r="N241" i="5"/>
  <c r="O241" i="5"/>
  <c r="M241" i="5"/>
  <c r="N115" i="5"/>
  <c r="O115" i="5"/>
  <c r="M115" i="5"/>
  <c r="N187" i="5"/>
  <c r="O187" i="5"/>
  <c r="M187" i="5"/>
  <c r="O54" i="5"/>
  <c r="N54" i="5"/>
  <c r="M54" i="5"/>
  <c r="O126" i="5"/>
  <c r="N126" i="5"/>
  <c r="M126" i="5"/>
  <c r="O198" i="5"/>
  <c r="N198" i="5"/>
  <c r="M198" i="5"/>
  <c r="N361" i="5"/>
  <c r="O361" i="5"/>
  <c r="M361" i="5"/>
  <c r="O237" i="5"/>
  <c r="N237" i="5"/>
  <c r="M237" i="5"/>
  <c r="O368" i="5"/>
  <c r="N368" i="5"/>
  <c r="M368" i="5"/>
  <c r="N294" i="5"/>
  <c r="O294" i="5"/>
  <c r="M294" i="5"/>
  <c r="O216" i="5"/>
  <c r="N216" i="5"/>
  <c r="M216" i="5"/>
  <c r="N343" i="5"/>
  <c r="O343" i="5"/>
  <c r="M343" i="5"/>
  <c r="O269" i="5"/>
  <c r="N269" i="5"/>
  <c r="M269" i="5"/>
  <c r="O422" i="5"/>
  <c r="N422" i="5"/>
  <c r="M422" i="5"/>
  <c r="O446" i="5"/>
  <c r="N446" i="5"/>
  <c r="M446" i="5"/>
  <c r="O419" i="5"/>
  <c r="N419" i="5"/>
  <c r="M419" i="5"/>
  <c r="N313" i="5"/>
  <c r="O313" i="5"/>
  <c r="M313" i="5"/>
  <c r="N421" i="5"/>
  <c r="O421" i="5"/>
  <c r="M421" i="5"/>
  <c r="O371" i="5"/>
  <c r="N371" i="5"/>
  <c r="M371" i="5"/>
  <c r="N328" i="5"/>
  <c r="O328" i="5"/>
  <c r="M328" i="5"/>
  <c r="N436" i="5"/>
  <c r="O436" i="5"/>
  <c r="M436" i="5"/>
  <c r="N491" i="5"/>
  <c r="O491" i="5"/>
  <c r="M491" i="5"/>
  <c r="O369" i="5"/>
  <c r="N369" i="5"/>
  <c r="M369" i="5"/>
  <c r="O441" i="5"/>
  <c r="N441" i="5"/>
  <c r="M441" i="5"/>
  <c r="O486" i="5"/>
  <c r="N486" i="5"/>
  <c r="M486" i="5"/>
  <c r="O540" i="5"/>
  <c r="N540" i="5"/>
  <c r="M540" i="5"/>
  <c r="O372" i="5"/>
  <c r="N372" i="5"/>
  <c r="M372" i="5"/>
  <c r="O444" i="5"/>
  <c r="N444" i="5"/>
  <c r="M444" i="5"/>
  <c r="N494" i="5"/>
  <c r="O494" i="5"/>
  <c r="M494" i="5"/>
  <c r="N514" i="5"/>
  <c r="O514" i="5"/>
  <c r="M514" i="5"/>
  <c r="O517" i="5"/>
  <c r="N517" i="5"/>
  <c r="M517" i="5"/>
  <c r="N454" i="5"/>
  <c r="O454" i="5"/>
  <c r="M454" i="5"/>
  <c r="N668" i="5"/>
  <c r="O668" i="5"/>
  <c r="M668" i="5"/>
  <c r="O573" i="5"/>
  <c r="N573" i="5"/>
  <c r="M573" i="5"/>
  <c r="N525" i="5"/>
  <c r="O525" i="5"/>
  <c r="M525" i="5"/>
  <c r="N638" i="5"/>
  <c r="O638" i="5"/>
  <c r="M638" i="5"/>
  <c r="O555" i="5"/>
  <c r="N555" i="5"/>
  <c r="M555" i="5"/>
  <c r="O719" i="5"/>
  <c r="N719" i="5"/>
  <c r="M719" i="5"/>
  <c r="O630" i="5"/>
  <c r="N630" i="5"/>
  <c r="M630" i="5"/>
  <c r="O702" i="5"/>
  <c r="N702" i="5"/>
  <c r="M702" i="5"/>
  <c r="N742" i="5"/>
  <c r="O742" i="5"/>
  <c r="M742" i="5"/>
  <c r="N610" i="5"/>
  <c r="O610" i="5"/>
  <c r="M610" i="5"/>
  <c r="N682" i="5"/>
  <c r="O682" i="5"/>
  <c r="M682" i="5"/>
  <c r="O776" i="5"/>
  <c r="N776" i="5"/>
  <c r="M776" i="5"/>
  <c r="N645" i="5"/>
  <c r="O645" i="5"/>
  <c r="M645" i="5"/>
  <c r="O725" i="5"/>
  <c r="N725" i="5"/>
  <c r="M725" i="5"/>
  <c r="O717" i="5"/>
  <c r="N717" i="5"/>
  <c r="M717" i="5"/>
  <c r="N613" i="5"/>
  <c r="O613" i="5"/>
  <c r="M613" i="5"/>
  <c r="N685" i="5"/>
  <c r="O685" i="5"/>
  <c r="M685" i="5"/>
  <c r="N814" i="5"/>
  <c r="O814" i="5"/>
  <c r="M814" i="5"/>
  <c r="O714" i="5"/>
  <c r="N714" i="5"/>
  <c r="M714" i="5"/>
  <c r="O763" i="5"/>
  <c r="N763" i="5"/>
  <c r="M763" i="5"/>
  <c r="O833" i="5"/>
  <c r="N833" i="5"/>
  <c r="M833" i="5"/>
  <c r="N961" i="5"/>
  <c r="O961" i="5"/>
  <c r="M961" i="5"/>
  <c r="N792" i="5"/>
  <c r="O792" i="5"/>
  <c r="M792" i="5"/>
  <c r="N869" i="5"/>
  <c r="O869" i="5"/>
  <c r="M869" i="5"/>
  <c r="N803" i="5"/>
  <c r="O803" i="5"/>
  <c r="M803" i="5"/>
  <c r="N888" i="5"/>
  <c r="O888" i="5"/>
  <c r="M888" i="5"/>
  <c r="O771" i="5"/>
  <c r="N771" i="5"/>
  <c r="M771" i="5"/>
  <c r="O854" i="5"/>
  <c r="N854" i="5"/>
  <c r="M854" i="5"/>
  <c r="O879" i="5"/>
  <c r="N879" i="5"/>
  <c r="M879" i="5"/>
  <c r="O956" i="5"/>
  <c r="N956" i="5"/>
  <c r="M956" i="5"/>
  <c r="N903" i="5"/>
  <c r="O903" i="5"/>
  <c r="M903" i="5"/>
  <c r="O871" i="5"/>
  <c r="N871" i="5"/>
  <c r="M871" i="5"/>
  <c r="O927" i="5"/>
  <c r="N927" i="5"/>
  <c r="M927" i="5"/>
  <c r="N880" i="5"/>
  <c r="O880" i="5"/>
  <c r="M880" i="5"/>
  <c r="O995" i="5"/>
  <c r="N995" i="5"/>
  <c r="M995" i="5"/>
  <c r="O899" i="5"/>
  <c r="N899" i="5"/>
  <c r="M899" i="5"/>
  <c r="N1025" i="5"/>
  <c r="O1025" i="5"/>
  <c r="M1025" i="5"/>
  <c r="N1011" i="5"/>
  <c r="O1011" i="5"/>
  <c r="M1011" i="5"/>
  <c r="N1022" i="5"/>
  <c r="O1022" i="5"/>
  <c r="M1022" i="5"/>
  <c r="O990" i="5"/>
  <c r="N990" i="5"/>
  <c r="M990" i="5"/>
  <c r="G99" i="5"/>
  <c r="F99" i="5"/>
  <c r="E99" i="5"/>
  <c r="G52" i="5"/>
  <c r="F52" i="5"/>
  <c r="E52" i="5"/>
  <c r="F51" i="5"/>
  <c r="G51" i="5"/>
  <c r="E51" i="5"/>
  <c r="G123" i="5"/>
  <c r="F123" i="5"/>
  <c r="E123" i="5"/>
  <c r="G195" i="5"/>
  <c r="F195" i="5"/>
  <c r="E195" i="5"/>
  <c r="G68" i="5"/>
  <c r="F68" i="5"/>
  <c r="E68" i="5"/>
  <c r="G140" i="5"/>
  <c r="F140" i="5"/>
  <c r="E140" i="5"/>
  <c r="G199" i="5"/>
  <c r="F199" i="5"/>
  <c r="E199" i="5"/>
  <c r="G133" i="5"/>
  <c r="F133" i="5"/>
  <c r="E133" i="5"/>
  <c r="F36" i="5"/>
  <c r="G36" i="5"/>
  <c r="E36" i="5"/>
  <c r="G108" i="5"/>
  <c r="F108" i="5"/>
  <c r="E108" i="5"/>
  <c r="G180" i="5"/>
  <c r="F180" i="5"/>
  <c r="E180" i="5"/>
  <c r="G47" i="5"/>
  <c r="F47" i="5"/>
  <c r="E47" i="5"/>
  <c r="G119" i="5"/>
  <c r="F119" i="5"/>
  <c r="E119" i="5"/>
  <c r="G191" i="5"/>
  <c r="F191" i="5"/>
  <c r="E191" i="5"/>
  <c r="G100" i="5"/>
  <c r="F100" i="5"/>
  <c r="E100" i="5"/>
  <c r="G172" i="5"/>
  <c r="F172" i="5"/>
  <c r="E172" i="5"/>
  <c r="G236" i="5"/>
  <c r="F236" i="5"/>
  <c r="E236" i="5"/>
  <c r="G313" i="5"/>
  <c r="F313" i="5"/>
  <c r="E313" i="5"/>
  <c r="G346" i="5"/>
  <c r="F346" i="5"/>
  <c r="E346" i="5"/>
  <c r="G203" i="5"/>
  <c r="F203" i="5"/>
  <c r="E203" i="5"/>
  <c r="G337" i="5"/>
  <c r="F337" i="5"/>
  <c r="E337" i="5"/>
  <c r="G226" i="5"/>
  <c r="F226" i="5"/>
  <c r="E226" i="5"/>
  <c r="G308" i="5"/>
  <c r="F308" i="5"/>
  <c r="E308" i="5"/>
  <c r="F339" i="5"/>
  <c r="G339" i="5"/>
  <c r="E339" i="5"/>
  <c r="F408" i="5"/>
  <c r="G408" i="5"/>
  <c r="E408" i="5"/>
  <c r="G301" i="5"/>
  <c r="F301" i="5"/>
  <c r="E301" i="5"/>
  <c r="G412" i="5"/>
  <c r="F412" i="5"/>
  <c r="E412" i="5"/>
  <c r="F387" i="5"/>
  <c r="G387" i="5"/>
  <c r="E387" i="5"/>
  <c r="G400" i="5"/>
  <c r="F400" i="5"/>
  <c r="E400" i="5"/>
  <c r="G274" i="5"/>
  <c r="F274" i="5"/>
  <c r="E274" i="5"/>
  <c r="F316" i="5"/>
  <c r="G316" i="5"/>
  <c r="E316" i="5"/>
  <c r="G424" i="5"/>
  <c r="F424" i="5"/>
  <c r="E424" i="5"/>
  <c r="G356" i="5"/>
  <c r="F356" i="5"/>
  <c r="E356" i="5"/>
  <c r="G428" i="5"/>
  <c r="F428" i="5"/>
  <c r="E428" i="5"/>
  <c r="G504" i="5"/>
  <c r="F504" i="5"/>
  <c r="E504" i="5"/>
  <c r="G518" i="5"/>
  <c r="F518" i="5"/>
  <c r="E518" i="5"/>
  <c r="G335" i="5"/>
  <c r="F335" i="5"/>
  <c r="E335" i="5"/>
  <c r="G407" i="5"/>
  <c r="F407" i="5"/>
  <c r="E407" i="5"/>
  <c r="G485" i="5"/>
  <c r="F485" i="5"/>
  <c r="E485" i="5"/>
  <c r="G652" i="5"/>
  <c r="F652" i="5"/>
  <c r="E652" i="5"/>
  <c r="G656" i="5"/>
  <c r="F656" i="5"/>
  <c r="E656" i="5"/>
  <c r="G486" i="5"/>
  <c r="F486" i="5"/>
  <c r="E486" i="5"/>
  <c r="G572" i="5"/>
  <c r="F572" i="5"/>
  <c r="E572" i="5"/>
  <c r="G465" i="5"/>
  <c r="F465" i="5"/>
  <c r="E465" i="5"/>
  <c r="G602" i="5"/>
  <c r="F602" i="5"/>
  <c r="E602" i="5"/>
  <c r="F583" i="5"/>
  <c r="G583" i="5"/>
  <c r="E583" i="5"/>
  <c r="F676" i="5"/>
  <c r="G676" i="5"/>
  <c r="E676" i="5"/>
  <c r="F587" i="5"/>
  <c r="G587" i="5"/>
  <c r="E587" i="5"/>
  <c r="G662" i="5"/>
  <c r="F662" i="5"/>
  <c r="E662" i="5"/>
  <c r="G562" i="5"/>
  <c r="F562" i="5"/>
  <c r="E562" i="5"/>
  <c r="G714" i="5"/>
  <c r="F714" i="5"/>
  <c r="E714" i="5"/>
  <c r="G590" i="5"/>
  <c r="F590" i="5"/>
  <c r="E590" i="5"/>
  <c r="G654" i="5"/>
  <c r="F654" i="5"/>
  <c r="E654" i="5"/>
  <c r="F560" i="5"/>
  <c r="G560" i="5"/>
  <c r="E560" i="5"/>
  <c r="F739" i="5"/>
  <c r="G739" i="5"/>
  <c r="E739" i="5"/>
  <c r="G823" i="5"/>
  <c r="F823" i="5"/>
  <c r="E823" i="5"/>
  <c r="G784" i="5"/>
  <c r="F784" i="5"/>
  <c r="E784" i="5"/>
  <c r="G613" i="5"/>
  <c r="F613" i="5"/>
  <c r="E613" i="5"/>
  <c r="G685" i="5"/>
  <c r="F685" i="5"/>
  <c r="E685" i="5"/>
  <c r="F726" i="5"/>
  <c r="G726" i="5"/>
  <c r="E726" i="5"/>
  <c r="G677" i="5"/>
  <c r="F677" i="5"/>
  <c r="E677" i="5"/>
  <c r="G826" i="5"/>
  <c r="F826" i="5"/>
  <c r="E826" i="5"/>
  <c r="G810" i="5"/>
  <c r="F810" i="5"/>
  <c r="E810" i="5"/>
  <c r="G924" i="5"/>
  <c r="F924" i="5"/>
  <c r="E924" i="5"/>
  <c r="G809" i="5"/>
  <c r="F809" i="5"/>
  <c r="E809" i="5"/>
  <c r="F889" i="5"/>
  <c r="G889" i="5"/>
  <c r="E889" i="5"/>
  <c r="G828" i="5"/>
  <c r="F828" i="5"/>
  <c r="E828" i="5"/>
  <c r="G820" i="5"/>
  <c r="F820" i="5"/>
  <c r="E820" i="5"/>
  <c r="F874" i="5"/>
  <c r="G874" i="5"/>
  <c r="E874" i="5"/>
  <c r="G771" i="5"/>
  <c r="F771" i="5"/>
  <c r="E771" i="5"/>
  <c r="G882" i="5"/>
  <c r="F882" i="5"/>
  <c r="E882" i="5"/>
  <c r="F883" i="5"/>
  <c r="G883" i="5"/>
  <c r="E883" i="5"/>
  <c r="G884" i="5"/>
  <c r="F884" i="5"/>
  <c r="E884" i="5"/>
  <c r="G856" i="5"/>
  <c r="F856" i="5"/>
  <c r="E856" i="5"/>
  <c r="G841" i="5"/>
  <c r="F841" i="5"/>
  <c r="E841" i="5"/>
  <c r="G858" i="5"/>
  <c r="F858" i="5"/>
  <c r="E858" i="5"/>
  <c r="G974" i="5"/>
  <c r="F974" i="5"/>
  <c r="E974" i="5"/>
  <c r="G1016" i="5"/>
  <c r="F1016" i="5"/>
  <c r="E1016" i="5"/>
  <c r="F930" i="5"/>
  <c r="G930" i="5"/>
  <c r="E930" i="5"/>
  <c r="G1023" i="5"/>
  <c r="F1023" i="5"/>
  <c r="E1023" i="5"/>
  <c r="F927" i="5"/>
  <c r="G927" i="5"/>
  <c r="E927" i="5"/>
  <c r="G991" i="5"/>
  <c r="F991" i="5"/>
  <c r="E991" i="5"/>
  <c r="G1010" i="5"/>
  <c r="F1010" i="5"/>
  <c r="E1010" i="5"/>
  <c r="F1026" i="5"/>
  <c r="G1026" i="5"/>
  <c r="E1026" i="5"/>
  <c r="O29" i="5"/>
  <c r="N29" i="5"/>
  <c r="M29" i="5"/>
  <c r="O107" i="5"/>
  <c r="N107" i="5"/>
  <c r="M107" i="5"/>
  <c r="O179" i="5"/>
  <c r="N179" i="5"/>
  <c r="M179" i="5"/>
  <c r="O64" i="5"/>
  <c r="N64" i="5"/>
  <c r="M64" i="5"/>
  <c r="O136" i="5"/>
  <c r="N136" i="5"/>
  <c r="M136" i="5"/>
  <c r="O221" i="5"/>
  <c r="N221" i="5"/>
  <c r="M221" i="5"/>
  <c r="O93" i="5"/>
  <c r="N93" i="5"/>
  <c r="M93" i="5"/>
  <c r="O165" i="5"/>
  <c r="N165" i="5"/>
  <c r="M165" i="5"/>
  <c r="N199" i="5"/>
  <c r="O199" i="5"/>
  <c r="M199" i="5"/>
  <c r="O92" i="5"/>
  <c r="N92" i="5"/>
  <c r="M92" i="5"/>
  <c r="O164" i="5"/>
  <c r="N164" i="5"/>
  <c r="M164" i="5"/>
  <c r="N244" i="5"/>
  <c r="O244" i="5"/>
  <c r="M244" i="5"/>
  <c r="N121" i="5"/>
  <c r="O121" i="5"/>
  <c r="M121" i="5"/>
  <c r="N193" i="5"/>
  <c r="O193" i="5"/>
  <c r="M193" i="5"/>
  <c r="O60" i="5"/>
  <c r="N60" i="5"/>
  <c r="M60" i="5"/>
  <c r="O132" i="5"/>
  <c r="N132" i="5"/>
  <c r="M132" i="5"/>
  <c r="N202" i="5"/>
  <c r="O202" i="5"/>
  <c r="M202" i="5"/>
  <c r="N388" i="5"/>
  <c r="O388" i="5"/>
  <c r="M388" i="5"/>
  <c r="O243" i="5"/>
  <c r="N243" i="5"/>
  <c r="M243" i="5"/>
  <c r="O248" i="5"/>
  <c r="N248" i="5"/>
  <c r="M248" i="5"/>
  <c r="O304" i="5"/>
  <c r="N304" i="5"/>
  <c r="M304" i="5"/>
  <c r="O222" i="5"/>
  <c r="N222" i="5"/>
  <c r="M222" i="5"/>
  <c r="N370" i="5"/>
  <c r="O370" i="5"/>
  <c r="M370" i="5"/>
  <c r="O275" i="5"/>
  <c r="N275" i="5"/>
  <c r="M275" i="5"/>
  <c r="O431" i="5"/>
  <c r="N431" i="5"/>
  <c r="M431" i="5"/>
  <c r="N320" i="5"/>
  <c r="O320" i="5"/>
  <c r="M320" i="5"/>
  <c r="O428" i="5"/>
  <c r="N428" i="5"/>
  <c r="M428" i="5"/>
  <c r="N322" i="5"/>
  <c r="O322" i="5"/>
  <c r="M322" i="5"/>
  <c r="N430" i="5"/>
  <c r="O430" i="5"/>
  <c r="M430" i="5"/>
  <c r="O380" i="5"/>
  <c r="N380" i="5"/>
  <c r="M380" i="5"/>
  <c r="N337" i="5"/>
  <c r="O337" i="5"/>
  <c r="M337" i="5"/>
  <c r="O445" i="5"/>
  <c r="N445" i="5"/>
  <c r="M445" i="5"/>
  <c r="N500" i="5"/>
  <c r="O500" i="5"/>
  <c r="M500" i="5"/>
  <c r="O375" i="5"/>
  <c r="N375" i="5"/>
  <c r="M375" i="5"/>
  <c r="O447" i="5"/>
  <c r="N447" i="5"/>
  <c r="M447" i="5"/>
  <c r="O495" i="5"/>
  <c r="N495" i="5"/>
  <c r="M495" i="5"/>
  <c r="N626" i="5"/>
  <c r="O626" i="5"/>
  <c r="M626" i="5"/>
  <c r="O378" i="5"/>
  <c r="N378" i="5"/>
  <c r="M378" i="5"/>
  <c r="N450" i="5"/>
  <c r="O450" i="5"/>
  <c r="M450" i="5"/>
  <c r="N503" i="5"/>
  <c r="O503" i="5"/>
  <c r="M503" i="5"/>
  <c r="O518" i="5"/>
  <c r="N518" i="5"/>
  <c r="M518" i="5"/>
  <c r="O529" i="5"/>
  <c r="N529" i="5"/>
  <c r="M529" i="5"/>
  <c r="O460" i="5"/>
  <c r="N460" i="5"/>
  <c r="M460" i="5"/>
  <c r="N527" i="5"/>
  <c r="O527" i="5"/>
  <c r="M527" i="5"/>
  <c r="N602" i="5"/>
  <c r="O602" i="5"/>
  <c r="M602" i="5"/>
  <c r="O531" i="5"/>
  <c r="N531" i="5"/>
  <c r="M531" i="5"/>
  <c r="N748" i="5"/>
  <c r="O748" i="5"/>
  <c r="M748" i="5"/>
  <c r="N569" i="5"/>
  <c r="O569" i="5"/>
  <c r="M569" i="5"/>
  <c r="N561" i="5"/>
  <c r="O561" i="5"/>
  <c r="M561" i="5"/>
  <c r="O636" i="5"/>
  <c r="N636" i="5"/>
  <c r="M636" i="5"/>
  <c r="O708" i="5"/>
  <c r="N708" i="5"/>
  <c r="M708" i="5"/>
  <c r="N808" i="5"/>
  <c r="O808" i="5"/>
  <c r="M808" i="5"/>
  <c r="N616" i="5"/>
  <c r="O616" i="5"/>
  <c r="M616" i="5"/>
  <c r="N688" i="5"/>
  <c r="O688" i="5"/>
  <c r="M688" i="5"/>
  <c r="O829" i="5"/>
  <c r="N829" i="5"/>
  <c r="M829" i="5"/>
  <c r="O651" i="5"/>
  <c r="N651" i="5"/>
  <c r="M651" i="5"/>
  <c r="N772" i="5"/>
  <c r="O772" i="5"/>
  <c r="M772" i="5"/>
  <c r="N733" i="5"/>
  <c r="O733" i="5"/>
  <c r="M733" i="5"/>
  <c r="N619" i="5"/>
  <c r="O619" i="5"/>
  <c r="M619" i="5"/>
  <c r="N691" i="5"/>
  <c r="O691" i="5"/>
  <c r="M691" i="5"/>
  <c r="O861" i="5"/>
  <c r="N861" i="5"/>
  <c r="M861" i="5"/>
  <c r="O720" i="5"/>
  <c r="N720" i="5"/>
  <c r="M720" i="5"/>
  <c r="O781" i="5"/>
  <c r="N781" i="5"/>
  <c r="M781" i="5"/>
  <c r="N837" i="5"/>
  <c r="O837" i="5"/>
  <c r="M837" i="5"/>
  <c r="O726" i="5"/>
  <c r="N726" i="5"/>
  <c r="M726" i="5"/>
  <c r="N798" i="5"/>
  <c r="O798" i="5"/>
  <c r="M798" i="5"/>
  <c r="O907" i="5"/>
  <c r="N907" i="5"/>
  <c r="M907" i="5"/>
  <c r="O809" i="5"/>
  <c r="N809" i="5"/>
  <c r="M809" i="5"/>
  <c r="O896" i="5"/>
  <c r="N896" i="5"/>
  <c r="M896" i="5"/>
  <c r="O777" i="5"/>
  <c r="N777" i="5"/>
  <c r="M777" i="5"/>
  <c r="N858" i="5"/>
  <c r="O858" i="5"/>
  <c r="M858" i="5"/>
  <c r="N887" i="5"/>
  <c r="O887" i="5"/>
  <c r="M887" i="5"/>
  <c r="O853" i="5"/>
  <c r="N853" i="5"/>
  <c r="M853" i="5"/>
  <c r="N915" i="5"/>
  <c r="O915" i="5"/>
  <c r="M915" i="5"/>
  <c r="N877" i="5"/>
  <c r="O877" i="5"/>
  <c r="M877" i="5"/>
  <c r="N943" i="5"/>
  <c r="O943" i="5"/>
  <c r="M943" i="5"/>
  <c r="O886" i="5"/>
  <c r="N886" i="5"/>
  <c r="M886" i="5"/>
  <c r="O1024" i="5"/>
  <c r="N1024" i="5"/>
  <c r="M1024" i="5"/>
  <c r="O905" i="5"/>
  <c r="N905" i="5"/>
  <c r="M905" i="5"/>
  <c r="O945" i="5"/>
  <c r="N945" i="5"/>
  <c r="M945" i="5"/>
  <c r="N1017" i="5"/>
  <c r="O1017" i="5"/>
  <c r="M1017" i="5"/>
  <c r="O1028" i="5"/>
  <c r="N1028" i="5"/>
  <c r="M1028" i="5"/>
  <c r="O996" i="5"/>
  <c r="N996" i="5"/>
  <c r="M996" i="5"/>
  <c r="G67" i="5"/>
  <c r="F67" i="5"/>
  <c r="E67" i="5"/>
  <c r="G57" i="5"/>
  <c r="F57" i="5"/>
  <c r="E57" i="5"/>
  <c r="G129" i="5"/>
  <c r="F129" i="5"/>
  <c r="E129" i="5"/>
  <c r="F216" i="5"/>
  <c r="G216" i="5"/>
  <c r="E216" i="5"/>
  <c r="G74" i="5"/>
  <c r="F74" i="5"/>
  <c r="E74" i="5"/>
  <c r="G146" i="5"/>
  <c r="F146" i="5"/>
  <c r="E146" i="5"/>
  <c r="F219" i="5"/>
  <c r="G219" i="5"/>
  <c r="E219" i="5"/>
  <c r="G139" i="5"/>
  <c r="F139" i="5"/>
  <c r="E139" i="5"/>
  <c r="F42" i="5"/>
  <c r="G42" i="5"/>
  <c r="E42" i="5"/>
  <c r="G114" i="5"/>
  <c r="F114" i="5"/>
  <c r="E114" i="5"/>
  <c r="G186" i="5"/>
  <c r="F186" i="5"/>
  <c r="E186" i="5"/>
  <c r="G53" i="5"/>
  <c r="F53" i="5"/>
  <c r="E53" i="5"/>
  <c r="G125" i="5"/>
  <c r="F125" i="5"/>
  <c r="E125" i="5"/>
  <c r="G197" i="5"/>
  <c r="F197" i="5"/>
  <c r="E197" i="5"/>
  <c r="G106" i="5"/>
  <c r="F106" i="5"/>
  <c r="E106" i="5"/>
  <c r="G178" i="5"/>
  <c r="F178" i="5"/>
  <c r="E178" i="5"/>
  <c r="G242" i="5"/>
  <c r="F242" i="5"/>
  <c r="E242" i="5"/>
  <c r="G211" i="5"/>
  <c r="F211" i="5"/>
  <c r="E211" i="5"/>
  <c r="G373" i="5"/>
  <c r="F373" i="5"/>
  <c r="E373" i="5"/>
  <c r="G209" i="5"/>
  <c r="F209" i="5"/>
  <c r="E209" i="5"/>
  <c r="G364" i="5"/>
  <c r="F364" i="5"/>
  <c r="E364" i="5"/>
  <c r="G232" i="5"/>
  <c r="F232" i="5"/>
  <c r="E232" i="5"/>
  <c r="F402" i="5"/>
  <c r="G402" i="5"/>
  <c r="E402" i="5"/>
  <c r="F366" i="5"/>
  <c r="G366" i="5"/>
  <c r="E366" i="5"/>
  <c r="F417" i="5"/>
  <c r="G417" i="5"/>
  <c r="E417" i="5"/>
  <c r="G307" i="5"/>
  <c r="F307" i="5"/>
  <c r="E307" i="5"/>
  <c r="G421" i="5"/>
  <c r="F421" i="5"/>
  <c r="E421" i="5"/>
  <c r="F396" i="5"/>
  <c r="G396" i="5"/>
  <c r="E396" i="5"/>
  <c r="G409" i="5"/>
  <c r="F409" i="5"/>
  <c r="E409" i="5"/>
  <c r="G280" i="5"/>
  <c r="F280" i="5"/>
  <c r="E280" i="5"/>
  <c r="F325" i="5"/>
  <c r="G325" i="5"/>
  <c r="E325" i="5"/>
  <c r="G433" i="5"/>
  <c r="F433" i="5"/>
  <c r="E433" i="5"/>
  <c r="G362" i="5"/>
  <c r="F362" i="5"/>
  <c r="E362" i="5"/>
  <c r="G434" i="5"/>
  <c r="F434" i="5"/>
  <c r="E434" i="5"/>
  <c r="G543" i="5"/>
  <c r="F543" i="5"/>
  <c r="E543" i="5"/>
  <c r="F462" i="5"/>
  <c r="G462" i="5"/>
  <c r="E462" i="5"/>
  <c r="G341" i="5"/>
  <c r="F341" i="5"/>
  <c r="E341" i="5"/>
  <c r="G413" i="5"/>
  <c r="F413" i="5"/>
  <c r="E413" i="5"/>
  <c r="G494" i="5"/>
  <c r="F494" i="5"/>
  <c r="E494" i="5"/>
  <c r="G453" i="5"/>
  <c r="F453" i="5"/>
  <c r="E453" i="5"/>
  <c r="F466" i="5"/>
  <c r="G466" i="5"/>
  <c r="E466" i="5"/>
  <c r="G492" i="5"/>
  <c r="F492" i="5"/>
  <c r="E492" i="5"/>
  <c r="G585" i="5"/>
  <c r="F585" i="5"/>
  <c r="E585" i="5"/>
  <c r="G471" i="5"/>
  <c r="F471" i="5"/>
  <c r="E471" i="5"/>
  <c r="G620" i="5"/>
  <c r="F620" i="5"/>
  <c r="E620" i="5"/>
  <c r="F634" i="5"/>
  <c r="G634" i="5"/>
  <c r="E634" i="5"/>
  <c r="G549" i="5"/>
  <c r="F549" i="5"/>
  <c r="E549" i="5"/>
  <c r="G603" i="5"/>
  <c r="F603" i="5"/>
  <c r="E603" i="5"/>
  <c r="G721" i="5"/>
  <c r="F721" i="5"/>
  <c r="E721" i="5"/>
  <c r="G596" i="5"/>
  <c r="F596" i="5"/>
  <c r="E596" i="5"/>
  <c r="G705" i="5"/>
  <c r="F705" i="5"/>
  <c r="E705" i="5"/>
  <c r="G592" i="5"/>
  <c r="F592" i="5"/>
  <c r="E592" i="5"/>
  <c r="G663" i="5"/>
  <c r="F663" i="5"/>
  <c r="E663" i="5"/>
  <c r="G573" i="5"/>
  <c r="F573" i="5"/>
  <c r="E573" i="5"/>
  <c r="G788" i="5"/>
  <c r="F788" i="5"/>
  <c r="E788" i="5"/>
  <c r="G668" i="5"/>
  <c r="F668" i="5"/>
  <c r="E668" i="5"/>
  <c r="F804" i="5"/>
  <c r="G804" i="5"/>
  <c r="E804" i="5"/>
  <c r="F619" i="5"/>
  <c r="G619" i="5"/>
  <c r="E619" i="5"/>
  <c r="G691" i="5"/>
  <c r="F691" i="5"/>
  <c r="E691" i="5"/>
  <c r="G728" i="5"/>
  <c r="F728" i="5"/>
  <c r="E728" i="5"/>
  <c r="G683" i="5"/>
  <c r="F683" i="5"/>
  <c r="E683" i="5"/>
  <c r="G724" i="5"/>
  <c r="F724" i="5"/>
  <c r="E724" i="5"/>
  <c r="G814" i="5"/>
  <c r="F814" i="5"/>
  <c r="E814" i="5"/>
  <c r="G737" i="5"/>
  <c r="F737" i="5"/>
  <c r="E737" i="5"/>
  <c r="G811" i="5"/>
  <c r="F811" i="5"/>
  <c r="E811" i="5"/>
  <c r="F717" i="5"/>
  <c r="G717" i="5"/>
  <c r="E717" i="5"/>
  <c r="G876" i="5"/>
  <c r="F876" i="5"/>
  <c r="E876" i="5"/>
  <c r="G855" i="5"/>
  <c r="F855" i="5"/>
  <c r="E855" i="5"/>
  <c r="G904" i="5"/>
  <c r="F904" i="5"/>
  <c r="E904" i="5"/>
  <c r="G777" i="5"/>
  <c r="F777" i="5"/>
  <c r="E777" i="5"/>
  <c r="G885" i="5"/>
  <c r="F885" i="5"/>
  <c r="E885" i="5"/>
  <c r="G894" i="5"/>
  <c r="F894" i="5"/>
  <c r="E894" i="5"/>
  <c r="F902" i="5"/>
  <c r="G902" i="5"/>
  <c r="E902" i="5"/>
  <c r="G864" i="5"/>
  <c r="F864" i="5"/>
  <c r="E864" i="5"/>
  <c r="F847" i="5"/>
  <c r="G847" i="5"/>
  <c r="E847" i="5"/>
  <c r="F869" i="5"/>
  <c r="G869" i="5"/>
  <c r="E869" i="5"/>
  <c r="G955" i="5"/>
  <c r="F955" i="5"/>
  <c r="E955" i="5"/>
  <c r="G880" i="5"/>
  <c r="F880" i="5"/>
  <c r="E880" i="5"/>
  <c r="G952" i="5"/>
  <c r="F952" i="5"/>
  <c r="E952" i="5"/>
  <c r="G1027" i="5"/>
  <c r="F1027" i="5"/>
  <c r="E1027" i="5"/>
  <c r="F940" i="5"/>
  <c r="G940" i="5"/>
  <c r="E940" i="5"/>
  <c r="G993" i="5"/>
  <c r="F993" i="5"/>
  <c r="E993" i="5"/>
  <c r="G1012" i="5"/>
  <c r="F1012" i="5"/>
  <c r="E1012" i="5"/>
  <c r="O34" i="5"/>
  <c r="N34" i="5"/>
  <c r="M34" i="5"/>
  <c r="O28" i="5"/>
  <c r="N28" i="5"/>
  <c r="M28" i="5"/>
  <c r="O113" i="5"/>
  <c r="N113" i="5"/>
  <c r="M113" i="5"/>
  <c r="O185" i="5"/>
  <c r="N185" i="5"/>
  <c r="M185" i="5"/>
  <c r="O70" i="5"/>
  <c r="N70" i="5"/>
  <c r="M70" i="5"/>
  <c r="O142" i="5"/>
  <c r="N142" i="5"/>
  <c r="M142" i="5"/>
  <c r="O233" i="5"/>
  <c r="N233" i="5"/>
  <c r="M233" i="5"/>
  <c r="O99" i="5"/>
  <c r="N99" i="5"/>
  <c r="M99" i="5"/>
  <c r="O171" i="5"/>
  <c r="N171" i="5"/>
  <c r="M171" i="5"/>
  <c r="N247" i="5"/>
  <c r="O247" i="5"/>
  <c r="M247" i="5"/>
  <c r="O98" i="5"/>
  <c r="N98" i="5"/>
  <c r="M98" i="5"/>
  <c r="O170" i="5"/>
  <c r="N170" i="5"/>
  <c r="M170" i="5"/>
  <c r="N55" i="5"/>
  <c r="O55" i="5"/>
  <c r="M55" i="5"/>
  <c r="N127" i="5"/>
  <c r="O127" i="5"/>
  <c r="M127" i="5"/>
  <c r="N208" i="5"/>
  <c r="O208" i="5"/>
  <c r="M208" i="5"/>
  <c r="O66" i="5"/>
  <c r="N66" i="5"/>
  <c r="M66" i="5"/>
  <c r="O138" i="5"/>
  <c r="N138" i="5"/>
  <c r="M138" i="5"/>
  <c r="O206" i="5"/>
  <c r="N206" i="5"/>
  <c r="M206" i="5"/>
  <c r="O274" i="5"/>
  <c r="N274" i="5"/>
  <c r="M274" i="5"/>
  <c r="O249" i="5"/>
  <c r="N249" i="5"/>
  <c r="M249" i="5"/>
  <c r="O254" i="5"/>
  <c r="N254" i="5"/>
  <c r="M254" i="5"/>
  <c r="O265" i="5"/>
  <c r="N265" i="5"/>
  <c r="M265" i="5"/>
  <c r="O228" i="5"/>
  <c r="N228" i="5"/>
  <c r="M228" i="5"/>
  <c r="N277" i="5"/>
  <c r="O277" i="5"/>
  <c r="M277" i="5"/>
  <c r="O281" i="5"/>
  <c r="N281" i="5"/>
  <c r="M281" i="5"/>
  <c r="O440" i="5"/>
  <c r="N440" i="5"/>
  <c r="M440" i="5"/>
  <c r="N329" i="5"/>
  <c r="O329" i="5"/>
  <c r="M329" i="5"/>
  <c r="O437" i="5"/>
  <c r="N437" i="5"/>
  <c r="M437" i="5"/>
  <c r="N331" i="5"/>
  <c r="O331" i="5"/>
  <c r="M331" i="5"/>
  <c r="N439" i="5"/>
  <c r="O439" i="5"/>
  <c r="M439" i="5"/>
  <c r="O389" i="5"/>
  <c r="N389" i="5"/>
  <c r="M389" i="5"/>
  <c r="N346" i="5"/>
  <c r="O346" i="5"/>
  <c r="M346" i="5"/>
  <c r="N461" i="5"/>
  <c r="O461" i="5"/>
  <c r="M461" i="5"/>
  <c r="O665" i="5"/>
  <c r="N665" i="5"/>
  <c r="M665" i="5"/>
  <c r="O381" i="5"/>
  <c r="N381" i="5"/>
  <c r="M381" i="5"/>
  <c r="N550" i="5"/>
  <c r="O550" i="5"/>
  <c r="M550" i="5"/>
  <c r="N508" i="5"/>
  <c r="O508" i="5"/>
  <c r="M508" i="5"/>
  <c r="O629" i="5"/>
  <c r="N629" i="5"/>
  <c r="M629" i="5"/>
  <c r="O384" i="5"/>
  <c r="N384" i="5"/>
  <c r="M384" i="5"/>
  <c r="O462" i="5"/>
  <c r="N462" i="5"/>
  <c r="M462" i="5"/>
  <c r="N505" i="5"/>
  <c r="O505" i="5"/>
  <c r="M505" i="5"/>
  <c r="O536" i="5"/>
  <c r="N536" i="5"/>
  <c r="M536" i="5"/>
  <c r="O541" i="5"/>
  <c r="N541" i="5"/>
  <c r="M541" i="5"/>
  <c r="O466" i="5"/>
  <c r="N466" i="5"/>
  <c r="M466" i="5"/>
  <c r="O530" i="5"/>
  <c r="N530" i="5"/>
  <c r="M530" i="5"/>
  <c r="N620" i="5"/>
  <c r="O620" i="5"/>
  <c r="M620" i="5"/>
  <c r="N545" i="5"/>
  <c r="O545" i="5"/>
  <c r="M545" i="5"/>
  <c r="O715" i="5"/>
  <c r="N715" i="5"/>
  <c r="M715" i="5"/>
  <c r="N582" i="5"/>
  <c r="O582" i="5"/>
  <c r="M582" i="5"/>
  <c r="N584" i="5"/>
  <c r="O584" i="5"/>
  <c r="M584" i="5"/>
  <c r="N642" i="5"/>
  <c r="O642" i="5"/>
  <c r="M642" i="5"/>
  <c r="N736" i="5"/>
  <c r="O736" i="5"/>
  <c r="M736" i="5"/>
  <c r="N739" i="5"/>
  <c r="O739" i="5"/>
  <c r="M739" i="5"/>
  <c r="N622" i="5"/>
  <c r="O622" i="5"/>
  <c r="M622" i="5"/>
  <c r="N694" i="5"/>
  <c r="O694" i="5"/>
  <c r="M694" i="5"/>
  <c r="O836" i="5"/>
  <c r="N836" i="5"/>
  <c r="M836" i="5"/>
  <c r="O657" i="5"/>
  <c r="N657" i="5"/>
  <c r="M657" i="5"/>
  <c r="N830" i="5"/>
  <c r="O830" i="5"/>
  <c r="M830" i="5"/>
  <c r="O811" i="5"/>
  <c r="N811" i="5"/>
  <c r="M811" i="5"/>
  <c r="N625" i="5"/>
  <c r="O625" i="5"/>
  <c r="M625" i="5"/>
  <c r="N697" i="5"/>
  <c r="O697" i="5"/>
  <c r="M697" i="5"/>
  <c r="N906" i="5"/>
  <c r="O906" i="5"/>
  <c r="M906" i="5"/>
  <c r="O731" i="5"/>
  <c r="N731" i="5"/>
  <c r="M731" i="5"/>
  <c r="O799" i="5"/>
  <c r="N799" i="5"/>
  <c r="M799" i="5"/>
  <c r="O843" i="5"/>
  <c r="N843" i="5"/>
  <c r="M843" i="5"/>
  <c r="O732" i="5"/>
  <c r="N732" i="5"/>
  <c r="M732" i="5"/>
  <c r="N804" i="5"/>
  <c r="O804" i="5"/>
  <c r="M804" i="5"/>
  <c r="O962" i="5"/>
  <c r="N962" i="5"/>
  <c r="M962" i="5"/>
  <c r="O815" i="5"/>
  <c r="N815" i="5"/>
  <c r="M815" i="5"/>
  <c r="N902" i="5"/>
  <c r="O902" i="5"/>
  <c r="M902" i="5"/>
  <c r="O783" i="5"/>
  <c r="N783" i="5"/>
  <c r="M783" i="5"/>
  <c r="O891" i="5"/>
  <c r="N891" i="5"/>
  <c r="M891" i="5"/>
  <c r="O913" i="5"/>
  <c r="N913" i="5"/>
  <c r="M913" i="5"/>
  <c r="N878" i="5"/>
  <c r="O878" i="5"/>
  <c r="M878" i="5"/>
  <c r="O925" i="5"/>
  <c r="N925" i="5"/>
  <c r="M925" i="5"/>
  <c r="N883" i="5"/>
  <c r="O883" i="5"/>
  <c r="M883" i="5"/>
  <c r="N953" i="5"/>
  <c r="O953" i="5"/>
  <c r="M953" i="5"/>
  <c r="O892" i="5"/>
  <c r="N892" i="5"/>
  <c r="M892" i="5"/>
  <c r="N952" i="5"/>
  <c r="O952" i="5"/>
  <c r="M952" i="5"/>
  <c r="O911" i="5"/>
  <c r="N911" i="5"/>
  <c r="M911" i="5"/>
  <c r="O951" i="5"/>
  <c r="N951" i="5"/>
  <c r="M951" i="5"/>
  <c r="N1023" i="5"/>
  <c r="O1023" i="5"/>
  <c r="M1023" i="5"/>
  <c r="O930" i="5"/>
  <c r="N930" i="5"/>
  <c r="M930" i="5"/>
  <c r="N1002" i="5"/>
  <c r="O1002" i="5"/>
  <c r="M1002" i="5"/>
  <c r="G135" i="5"/>
  <c r="F135" i="5"/>
  <c r="E135" i="5"/>
  <c r="G152" i="5"/>
  <c r="F152" i="5"/>
  <c r="E152" i="5"/>
  <c r="F231" i="5"/>
  <c r="G231" i="5"/>
  <c r="E231" i="5"/>
  <c r="G145" i="5"/>
  <c r="F145" i="5"/>
  <c r="E145" i="5"/>
  <c r="F48" i="5"/>
  <c r="G48" i="5"/>
  <c r="E48" i="5"/>
  <c r="G120" i="5"/>
  <c r="F120" i="5"/>
  <c r="E120" i="5"/>
  <c r="G192" i="5"/>
  <c r="F192" i="5"/>
  <c r="E192" i="5"/>
  <c r="G59" i="5"/>
  <c r="F59" i="5"/>
  <c r="E59" i="5"/>
  <c r="G131" i="5"/>
  <c r="F131" i="5"/>
  <c r="E131" i="5"/>
  <c r="F204" i="5"/>
  <c r="G204" i="5"/>
  <c r="E204" i="5"/>
  <c r="G112" i="5"/>
  <c r="F112" i="5"/>
  <c r="E112" i="5"/>
  <c r="G184" i="5"/>
  <c r="F184" i="5"/>
  <c r="E184" i="5"/>
  <c r="G248" i="5"/>
  <c r="F248" i="5"/>
  <c r="E248" i="5"/>
  <c r="G217" i="5"/>
  <c r="F217" i="5"/>
  <c r="E217" i="5"/>
  <c r="F330" i="5"/>
  <c r="G330" i="5"/>
  <c r="E330" i="5"/>
  <c r="G215" i="5"/>
  <c r="F215" i="5"/>
  <c r="E215" i="5"/>
  <c r="G391" i="5"/>
  <c r="F391" i="5"/>
  <c r="E391" i="5"/>
  <c r="G238" i="5"/>
  <c r="F238" i="5"/>
  <c r="E238" i="5"/>
  <c r="F272" i="5"/>
  <c r="G272" i="5"/>
  <c r="E272" i="5"/>
  <c r="F318" i="5"/>
  <c r="G318" i="5"/>
  <c r="E318" i="5"/>
  <c r="F426" i="5"/>
  <c r="G426" i="5"/>
  <c r="E426" i="5"/>
  <c r="G322" i="5"/>
  <c r="F322" i="5"/>
  <c r="E322" i="5"/>
  <c r="G430" i="5"/>
  <c r="F430" i="5"/>
  <c r="E430" i="5"/>
  <c r="F405" i="5"/>
  <c r="G405" i="5"/>
  <c r="E405" i="5"/>
  <c r="G418" i="5"/>
  <c r="F418" i="5"/>
  <c r="E418" i="5"/>
  <c r="G286" i="5"/>
  <c r="F286" i="5"/>
  <c r="E286" i="5"/>
  <c r="F334" i="5"/>
  <c r="G334" i="5"/>
  <c r="E334" i="5"/>
  <c r="G442" i="5"/>
  <c r="F442" i="5"/>
  <c r="E442" i="5"/>
  <c r="G368" i="5"/>
  <c r="F368" i="5"/>
  <c r="E368" i="5"/>
  <c r="G440" i="5"/>
  <c r="F440" i="5"/>
  <c r="E440" i="5"/>
  <c r="G600" i="5"/>
  <c r="F600" i="5"/>
  <c r="E600" i="5"/>
  <c r="F472" i="5"/>
  <c r="G472" i="5"/>
  <c r="E472" i="5"/>
  <c r="G347" i="5"/>
  <c r="F347" i="5"/>
  <c r="E347" i="5"/>
  <c r="G419" i="5"/>
  <c r="F419" i="5"/>
  <c r="E419" i="5"/>
  <c r="G503" i="5"/>
  <c r="F503" i="5"/>
  <c r="E503" i="5"/>
  <c r="F457" i="5"/>
  <c r="G457" i="5"/>
  <c r="E457" i="5"/>
  <c r="F473" i="5"/>
  <c r="G473" i="5"/>
  <c r="E473" i="5"/>
  <c r="G498" i="5"/>
  <c r="F498" i="5"/>
  <c r="E498" i="5"/>
  <c r="F531" i="5"/>
  <c r="G531" i="5"/>
  <c r="E531" i="5"/>
  <c r="G477" i="5"/>
  <c r="F477" i="5"/>
  <c r="E477" i="5"/>
  <c r="G505" i="5"/>
  <c r="F505" i="5"/>
  <c r="E505" i="5"/>
  <c r="G521" i="5"/>
  <c r="F521" i="5"/>
  <c r="E521" i="5"/>
  <c r="G567" i="5"/>
  <c r="F567" i="5"/>
  <c r="E567" i="5"/>
  <c r="G612" i="5"/>
  <c r="F612" i="5"/>
  <c r="E612" i="5"/>
  <c r="G539" i="5"/>
  <c r="F539" i="5"/>
  <c r="E539" i="5"/>
  <c r="G651" i="5"/>
  <c r="F651" i="5"/>
  <c r="E651" i="5"/>
  <c r="G639" i="5"/>
  <c r="F639" i="5"/>
  <c r="E639" i="5"/>
  <c r="G627" i="5"/>
  <c r="F627" i="5"/>
  <c r="E627" i="5"/>
  <c r="G702" i="5"/>
  <c r="F702" i="5"/>
  <c r="E702" i="5"/>
  <c r="F586" i="5"/>
  <c r="G586" i="5"/>
  <c r="E586" i="5"/>
  <c r="G793" i="5"/>
  <c r="F793" i="5"/>
  <c r="E793" i="5"/>
  <c r="G674" i="5"/>
  <c r="F674" i="5"/>
  <c r="E674" i="5"/>
  <c r="G824" i="5"/>
  <c r="F824" i="5"/>
  <c r="E824" i="5"/>
  <c r="F625" i="5"/>
  <c r="G625" i="5"/>
  <c r="E625" i="5"/>
  <c r="G697" i="5"/>
  <c r="F697" i="5"/>
  <c r="E697" i="5"/>
  <c r="G738" i="5"/>
  <c r="F738" i="5"/>
  <c r="E738" i="5"/>
  <c r="G689" i="5"/>
  <c r="F689" i="5"/>
  <c r="E689" i="5"/>
  <c r="G731" i="5"/>
  <c r="F731" i="5"/>
  <c r="E731" i="5"/>
  <c r="G831" i="5"/>
  <c r="F831" i="5"/>
  <c r="E831" i="5"/>
  <c r="G752" i="5"/>
  <c r="F752" i="5"/>
  <c r="E752" i="5"/>
  <c r="F837" i="5"/>
  <c r="G837" i="5"/>
  <c r="E837" i="5"/>
  <c r="G723" i="5"/>
  <c r="F723" i="5"/>
  <c r="E723" i="5"/>
  <c r="F845" i="5"/>
  <c r="G845" i="5"/>
  <c r="E845" i="5"/>
  <c r="G827" i="5"/>
  <c r="F827" i="5"/>
  <c r="E827" i="5"/>
  <c r="G951" i="5"/>
  <c r="F951" i="5"/>
  <c r="E951" i="5"/>
  <c r="G783" i="5"/>
  <c r="F783" i="5"/>
  <c r="E783" i="5"/>
  <c r="F893" i="5"/>
  <c r="G893" i="5"/>
  <c r="E893" i="5"/>
  <c r="G937" i="5"/>
  <c r="F937" i="5"/>
  <c r="E937" i="5"/>
  <c r="F1006" i="5"/>
  <c r="G1006" i="5"/>
  <c r="E1006" i="5"/>
  <c r="F877" i="5"/>
  <c r="G877" i="5"/>
  <c r="E877" i="5"/>
  <c r="F860" i="5"/>
  <c r="G860" i="5"/>
  <c r="E860" i="5"/>
  <c r="F887" i="5"/>
  <c r="G887" i="5"/>
  <c r="E887" i="5"/>
  <c r="G968" i="5"/>
  <c r="F968" i="5"/>
  <c r="E968" i="5"/>
  <c r="G886" i="5"/>
  <c r="F886" i="5"/>
  <c r="E886" i="5"/>
  <c r="G967" i="5"/>
  <c r="F967" i="5"/>
  <c r="E967" i="5"/>
  <c r="F936" i="5"/>
  <c r="G936" i="5"/>
  <c r="E936" i="5"/>
  <c r="G944" i="5"/>
  <c r="F944" i="5"/>
  <c r="E944" i="5"/>
  <c r="G1022" i="5"/>
  <c r="F1022" i="5"/>
  <c r="E1022" i="5"/>
  <c r="F966" i="5"/>
  <c r="G966" i="5"/>
  <c r="E966" i="5"/>
  <c r="O40" i="5"/>
  <c r="N40" i="5"/>
  <c r="M40" i="5"/>
  <c r="O200" i="5"/>
  <c r="N200" i="5"/>
  <c r="M200" i="5"/>
  <c r="O119" i="5"/>
  <c r="N119" i="5"/>
  <c r="M119" i="5"/>
  <c r="O191" i="5"/>
  <c r="N191" i="5"/>
  <c r="M191" i="5"/>
  <c r="O76" i="5"/>
  <c r="N76" i="5"/>
  <c r="M76" i="5"/>
  <c r="O148" i="5"/>
  <c r="N148" i="5"/>
  <c r="M148" i="5"/>
  <c r="O33" i="5"/>
  <c r="N33" i="5"/>
  <c r="M33" i="5"/>
  <c r="O105" i="5"/>
  <c r="N105" i="5"/>
  <c r="M105" i="5"/>
  <c r="O177" i="5"/>
  <c r="N177" i="5"/>
  <c r="M177" i="5"/>
  <c r="N32" i="5"/>
  <c r="O32" i="5"/>
  <c r="M32" i="5"/>
  <c r="O104" i="5"/>
  <c r="N104" i="5"/>
  <c r="M104" i="5"/>
  <c r="O176" i="5"/>
  <c r="N176" i="5"/>
  <c r="M176" i="5"/>
  <c r="N61" i="5"/>
  <c r="O61" i="5"/>
  <c r="M61" i="5"/>
  <c r="N133" i="5"/>
  <c r="O133" i="5"/>
  <c r="M133" i="5"/>
  <c r="O215" i="5"/>
  <c r="N215" i="5"/>
  <c r="M215" i="5"/>
  <c r="O72" i="5"/>
  <c r="N72" i="5"/>
  <c r="M72" i="5"/>
  <c r="O144" i="5"/>
  <c r="N144" i="5"/>
  <c r="M144" i="5"/>
  <c r="N220" i="5"/>
  <c r="O220" i="5"/>
  <c r="M220" i="5"/>
  <c r="O283" i="5"/>
  <c r="N283" i="5"/>
  <c r="M283" i="5"/>
  <c r="O255" i="5"/>
  <c r="N255" i="5"/>
  <c r="M255" i="5"/>
  <c r="O260" i="5"/>
  <c r="N260" i="5"/>
  <c r="M260" i="5"/>
  <c r="N273" i="5"/>
  <c r="O273" i="5"/>
  <c r="M273" i="5"/>
  <c r="O234" i="5"/>
  <c r="N234" i="5"/>
  <c r="M234" i="5"/>
  <c r="N286" i="5"/>
  <c r="O286" i="5"/>
  <c r="M286" i="5"/>
  <c r="O287" i="5"/>
  <c r="N287" i="5"/>
  <c r="M287" i="5"/>
  <c r="O451" i="5"/>
  <c r="N451" i="5"/>
  <c r="M451" i="5"/>
  <c r="N338" i="5"/>
  <c r="O338" i="5"/>
  <c r="M338" i="5"/>
  <c r="O465" i="5"/>
  <c r="N465" i="5"/>
  <c r="M465" i="5"/>
  <c r="N340" i="5"/>
  <c r="O340" i="5"/>
  <c r="M340" i="5"/>
  <c r="O453" i="5"/>
  <c r="N453" i="5"/>
  <c r="M453" i="5"/>
  <c r="O398" i="5"/>
  <c r="N398" i="5"/>
  <c r="M398" i="5"/>
  <c r="N355" i="5"/>
  <c r="O355" i="5"/>
  <c r="M355" i="5"/>
  <c r="O533" i="5"/>
  <c r="N533" i="5"/>
  <c r="M533" i="5"/>
  <c r="O315" i="5"/>
  <c r="N315" i="5"/>
  <c r="M315" i="5"/>
  <c r="O387" i="5"/>
  <c r="N387" i="5"/>
  <c r="M387" i="5"/>
  <c r="N452" i="5"/>
  <c r="O452" i="5"/>
  <c r="M452" i="5"/>
  <c r="O510" i="5"/>
  <c r="N510" i="5"/>
  <c r="M510" i="5"/>
  <c r="O318" i="5"/>
  <c r="N318" i="5"/>
  <c r="M318" i="5"/>
  <c r="O390" i="5"/>
  <c r="N390" i="5"/>
  <c r="M390" i="5"/>
  <c r="O474" i="5"/>
  <c r="N474" i="5"/>
  <c r="M474" i="5"/>
  <c r="O524" i="5"/>
  <c r="N524" i="5"/>
  <c r="M524" i="5"/>
  <c r="O539" i="5"/>
  <c r="N539" i="5"/>
  <c r="M539" i="5"/>
  <c r="O653" i="5"/>
  <c r="N653" i="5"/>
  <c r="M653" i="5"/>
  <c r="O472" i="5"/>
  <c r="N472" i="5"/>
  <c r="M472" i="5"/>
  <c r="N542" i="5"/>
  <c r="O542" i="5"/>
  <c r="M542" i="5"/>
  <c r="O623" i="5"/>
  <c r="N623" i="5"/>
  <c r="M623" i="5"/>
  <c r="N572" i="5"/>
  <c r="O572" i="5"/>
  <c r="M572" i="5"/>
  <c r="O722" i="5"/>
  <c r="N722" i="5"/>
  <c r="M722" i="5"/>
  <c r="O588" i="5"/>
  <c r="N588" i="5"/>
  <c r="M588" i="5"/>
  <c r="N587" i="5"/>
  <c r="O587" i="5"/>
  <c r="M587" i="5"/>
  <c r="N648" i="5"/>
  <c r="O648" i="5"/>
  <c r="M648" i="5"/>
  <c r="N770" i="5"/>
  <c r="O770" i="5"/>
  <c r="M770" i="5"/>
  <c r="O758" i="5"/>
  <c r="N758" i="5"/>
  <c r="M758" i="5"/>
  <c r="N628" i="5"/>
  <c r="O628" i="5"/>
  <c r="M628" i="5"/>
  <c r="N700" i="5"/>
  <c r="O700" i="5"/>
  <c r="M700" i="5"/>
  <c r="N591" i="5"/>
  <c r="O591" i="5"/>
  <c r="M591" i="5"/>
  <c r="O663" i="5"/>
  <c r="N663" i="5"/>
  <c r="M663" i="5"/>
  <c r="N740" i="5"/>
  <c r="O740" i="5"/>
  <c r="M740" i="5"/>
  <c r="O559" i="5"/>
  <c r="N559" i="5"/>
  <c r="M559" i="5"/>
  <c r="N631" i="5"/>
  <c r="O631" i="5"/>
  <c r="M631" i="5"/>
  <c r="N703" i="5"/>
  <c r="O703" i="5"/>
  <c r="M703" i="5"/>
  <c r="N867" i="5"/>
  <c r="O867" i="5"/>
  <c r="M867" i="5"/>
  <c r="O757" i="5"/>
  <c r="N757" i="5"/>
  <c r="M757" i="5"/>
  <c r="O828" i="5"/>
  <c r="N828" i="5"/>
  <c r="M828" i="5"/>
  <c r="N863" i="5"/>
  <c r="O863" i="5"/>
  <c r="M863" i="5"/>
  <c r="O738" i="5"/>
  <c r="N738" i="5"/>
  <c r="M738" i="5"/>
  <c r="N810" i="5"/>
  <c r="O810" i="5"/>
  <c r="M810" i="5"/>
  <c r="O749" i="5"/>
  <c r="N749" i="5"/>
  <c r="M749" i="5"/>
  <c r="N821" i="5"/>
  <c r="O821" i="5"/>
  <c r="M821" i="5"/>
  <c r="N929" i="5"/>
  <c r="O929" i="5"/>
  <c r="M929" i="5"/>
  <c r="N789" i="5"/>
  <c r="O789" i="5"/>
  <c r="M789" i="5"/>
  <c r="N916" i="5"/>
  <c r="O916" i="5"/>
  <c r="M916" i="5"/>
  <c r="O959" i="5"/>
  <c r="N959" i="5"/>
  <c r="M959" i="5"/>
  <c r="N894" i="5"/>
  <c r="O894" i="5"/>
  <c r="M894" i="5"/>
  <c r="O983" i="5"/>
  <c r="N983" i="5"/>
  <c r="M983" i="5"/>
  <c r="N889" i="5"/>
  <c r="O889" i="5"/>
  <c r="M889" i="5"/>
  <c r="O1006" i="5"/>
  <c r="N1006" i="5"/>
  <c r="M1006" i="5"/>
  <c r="N898" i="5"/>
  <c r="O898" i="5"/>
  <c r="M898" i="5"/>
  <c r="N967" i="5"/>
  <c r="O967" i="5"/>
  <c r="M967" i="5"/>
  <c r="O917" i="5"/>
  <c r="N917" i="5"/>
  <c r="M917" i="5"/>
  <c r="N957" i="5"/>
  <c r="O957" i="5"/>
  <c r="M957" i="5"/>
  <c r="O968" i="5"/>
  <c r="N968" i="5"/>
  <c r="M968" i="5"/>
  <c r="N936" i="5"/>
  <c r="O936" i="5"/>
  <c r="M936" i="5"/>
  <c r="N1008" i="5"/>
  <c r="O1008" i="5"/>
  <c r="M1008" i="5"/>
  <c r="G80" i="5"/>
  <c r="F80" i="5"/>
  <c r="E80" i="5"/>
  <c r="G28" i="5"/>
  <c r="E28" i="5"/>
  <c r="G69" i="5"/>
  <c r="F69" i="5"/>
  <c r="E69" i="5"/>
  <c r="G141" i="5"/>
  <c r="F141" i="5"/>
  <c r="E141" i="5"/>
  <c r="F240" i="5"/>
  <c r="G240" i="5"/>
  <c r="E240" i="5"/>
  <c r="F86" i="5"/>
  <c r="G86" i="5"/>
  <c r="E86" i="5"/>
  <c r="G158" i="5"/>
  <c r="F158" i="5"/>
  <c r="E158" i="5"/>
  <c r="F243" i="5"/>
  <c r="G243" i="5"/>
  <c r="E243" i="5"/>
  <c r="G151" i="5"/>
  <c r="F151" i="5"/>
  <c r="E151" i="5"/>
  <c r="G54" i="5"/>
  <c r="F54" i="5"/>
  <c r="E54" i="5"/>
  <c r="G126" i="5"/>
  <c r="F126" i="5"/>
  <c r="E126" i="5"/>
  <c r="G198" i="5"/>
  <c r="F198" i="5"/>
  <c r="E198" i="5"/>
  <c r="G65" i="5"/>
  <c r="F65" i="5"/>
  <c r="E65" i="5"/>
  <c r="G137" i="5"/>
  <c r="F137" i="5"/>
  <c r="E137" i="5"/>
  <c r="F213" i="5"/>
  <c r="G213" i="5"/>
  <c r="E213" i="5"/>
  <c r="G118" i="5"/>
  <c r="F118" i="5"/>
  <c r="E118" i="5"/>
  <c r="G190" i="5"/>
  <c r="F190" i="5"/>
  <c r="E190" i="5"/>
  <c r="G254" i="5"/>
  <c r="F254" i="5"/>
  <c r="E254" i="5"/>
  <c r="G223" i="5"/>
  <c r="F223" i="5"/>
  <c r="E223" i="5"/>
  <c r="F357" i="5"/>
  <c r="G357" i="5"/>
  <c r="E357" i="5"/>
  <c r="G221" i="5"/>
  <c r="F221" i="5"/>
  <c r="E221" i="5"/>
  <c r="F290" i="5"/>
  <c r="G290" i="5"/>
  <c r="E290" i="5"/>
  <c r="G244" i="5"/>
  <c r="F244" i="5"/>
  <c r="E244" i="5"/>
  <c r="F281" i="5"/>
  <c r="G281" i="5"/>
  <c r="E281" i="5"/>
  <c r="F327" i="5"/>
  <c r="G327" i="5"/>
  <c r="E327" i="5"/>
  <c r="F435" i="5"/>
  <c r="G435" i="5"/>
  <c r="E435" i="5"/>
  <c r="G331" i="5"/>
  <c r="F331" i="5"/>
  <c r="E331" i="5"/>
  <c r="G439" i="5"/>
  <c r="F439" i="5"/>
  <c r="E439" i="5"/>
  <c r="F414" i="5"/>
  <c r="G414" i="5"/>
  <c r="E414" i="5"/>
  <c r="G427" i="5"/>
  <c r="F427" i="5"/>
  <c r="E427" i="5"/>
  <c r="F292" i="5"/>
  <c r="G292" i="5"/>
  <c r="E292" i="5"/>
  <c r="F343" i="5"/>
  <c r="G343" i="5"/>
  <c r="E343" i="5"/>
  <c r="G448" i="5"/>
  <c r="F448" i="5"/>
  <c r="E448" i="5"/>
  <c r="G374" i="5"/>
  <c r="F374" i="5"/>
  <c r="E374" i="5"/>
  <c r="G446" i="5"/>
  <c r="F446" i="5"/>
  <c r="E446" i="5"/>
  <c r="G512" i="5"/>
  <c r="F512" i="5"/>
  <c r="E512" i="5"/>
  <c r="F481" i="5"/>
  <c r="G481" i="5"/>
  <c r="E481" i="5"/>
  <c r="G353" i="5"/>
  <c r="F353" i="5"/>
  <c r="E353" i="5"/>
  <c r="G425" i="5"/>
  <c r="F425" i="5"/>
  <c r="E425" i="5"/>
  <c r="F565" i="5"/>
  <c r="G565" i="5"/>
  <c r="E565" i="5"/>
  <c r="F517" i="5"/>
  <c r="G517" i="5"/>
  <c r="E517" i="5"/>
  <c r="G482" i="5"/>
  <c r="F482" i="5"/>
  <c r="E482" i="5"/>
  <c r="G508" i="5"/>
  <c r="F508" i="5"/>
  <c r="E508" i="5"/>
  <c r="F534" i="5"/>
  <c r="G534" i="5"/>
  <c r="E534" i="5"/>
  <c r="G483" i="5"/>
  <c r="F483" i="5"/>
  <c r="E483" i="5"/>
  <c r="G509" i="5"/>
  <c r="F509" i="5"/>
  <c r="E509" i="5"/>
  <c r="F529" i="5"/>
  <c r="G529" i="5"/>
  <c r="E529" i="5"/>
  <c r="F580" i="5"/>
  <c r="G580" i="5"/>
  <c r="E580" i="5"/>
  <c r="G615" i="5"/>
  <c r="F615" i="5"/>
  <c r="E615" i="5"/>
  <c r="G554" i="5"/>
  <c r="F554" i="5"/>
  <c r="E554" i="5"/>
  <c r="G670" i="5"/>
  <c r="F670" i="5"/>
  <c r="E670" i="5"/>
  <c r="G641" i="5"/>
  <c r="F641" i="5"/>
  <c r="E641" i="5"/>
  <c r="G629" i="5"/>
  <c r="F629" i="5"/>
  <c r="E629" i="5"/>
  <c r="F822" i="5"/>
  <c r="G822" i="5"/>
  <c r="E822" i="5"/>
  <c r="G591" i="5"/>
  <c r="F591" i="5"/>
  <c r="E591" i="5"/>
  <c r="G833" i="5"/>
  <c r="F833" i="5"/>
  <c r="E833" i="5"/>
  <c r="G680" i="5"/>
  <c r="F680" i="5"/>
  <c r="E680" i="5"/>
  <c r="F850" i="5"/>
  <c r="G850" i="5"/>
  <c r="E850" i="5"/>
  <c r="G631" i="5"/>
  <c r="F631" i="5"/>
  <c r="E631" i="5"/>
  <c r="G703" i="5"/>
  <c r="F703" i="5"/>
  <c r="E703" i="5"/>
  <c r="G744" i="5"/>
  <c r="F744" i="5"/>
  <c r="E744" i="5"/>
  <c r="G695" i="5"/>
  <c r="F695" i="5"/>
  <c r="E695" i="5"/>
  <c r="G787" i="5"/>
  <c r="F787" i="5"/>
  <c r="E787" i="5"/>
  <c r="F866" i="5"/>
  <c r="G866" i="5"/>
  <c r="E866" i="5"/>
  <c r="G770" i="5"/>
  <c r="F770" i="5"/>
  <c r="E770" i="5"/>
  <c r="G840" i="5"/>
  <c r="F840" i="5"/>
  <c r="E840" i="5"/>
  <c r="G733" i="5"/>
  <c r="F733" i="5"/>
  <c r="E733" i="5"/>
  <c r="G865" i="5"/>
  <c r="F865" i="5"/>
  <c r="E865" i="5"/>
  <c r="G849" i="5"/>
  <c r="F849" i="5"/>
  <c r="E849" i="5"/>
  <c r="G1003" i="5"/>
  <c r="F1003" i="5"/>
  <c r="E1003" i="5"/>
  <c r="G789" i="5"/>
  <c r="F789" i="5"/>
  <c r="E789" i="5"/>
  <c r="F919" i="5"/>
  <c r="G919" i="5"/>
  <c r="E919" i="5"/>
  <c r="G995" i="5"/>
  <c r="F995" i="5"/>
  <c r="E995" i="5"/>
  <c r="G1017" i="5"/>
  <c r="F1017" i="5"/>
  <c r="E1017" i="5"/>
  <c r="F899" i="5"/>
  <c r="G899" i="5"/>
  <c r="E899" i="5"/>
  <c r="G867" i="5"/>
  <c r="F867" i="5"/>
  <c r="E867" i="5"/>
  <c r="G900" i="5"/>
  <c r="F900" i="5"/>
  <c r="E900" i="5"/>
  <c r="G971" i="5"/>
  <c r="F971" i="5"/>
  <c r="E971" i="5"/>
  <c r="G892" i="5"/>
  <c r="F892" i="5"/>
  <c r="E892" i="5"/>
  <c r="G992" i="5"/>
  <c r="F992" i="5"/>
  <c r="E992" i="5"/>
  <c r="F954" i="5"/>
  <c r="G954" i="5"/>
  <c r="E954" i="5"/>
  <c r="G957" i="5"/>
  <c r="F957" i="5"/>
  <c r="E957" i="5"/>
  <c r="G1024" i="5"/>
  <c r="F1024" i="5"/>
  <c r="E1024" i="5"/>
  <c r="F972" i="5"/>
  <c r="G972" i="5"/>
  <c r="E972" i="5"/>
  <c r="O46" i="5"/>
  <c r="N46" i="5"/>
  <c r="M46" i="5"/>
  <c r="O53" i="5"/>
  <c r="N53" i="5"/>
  <c r="M53" i="5"/>
  <c r="O125" i="5"/>
  <c r="N125" i="5"/>
  <c r="M125" i="5"/>
  <c r="O197" i="5"/>
  <c r="N197" i="5"/>
  <c r="M197" i="5"/>
  <c r="O82" i="5"/>
  <c r="N82" i="5"/>
  <c r="M82" i="5"/>
  <c r="O154" i="5"/>
  <c r="N154" i="5"/>
  <c r="M154" i="5"/>
  <c r="O39" i="5"/>
  <c r="N39" i="5"/>
  <c r="M39" i="5"/>
  <c r="O111" i="5"/>
  <c r="N111" i="5"/>
  <c r="M111" i="5"/>
  <c r="O183" i="5"/>
  <c r="N183" i="5"/>
  <c r="M183" i="5"/>
  <c r="O38" i="5"/>
  <c r="N38" i="5"/>
  <c r="M38" i="5"/>
  <c r="O110" i="5"/>
  <c r="N110" i="5"/>
  <c r="M110" i="5"/>
  <c r="O182" i="5"/>
  <c r="N182" i="5"/>
  <c r="M182" i="5"/>
  <c r="N67" i="5"/>
  <c r="O67" i="5"/>
  <c r="M67" i="5"/>
  <c r="N139" i="5"/>
  <c r="O139" i="5"/>
  <c r="M139" i="5"/>
  <c r="O227" i="5"/>
  <c r="N227" i="5"/>
  <c r="M227" i="5"/>
  <c r="O78" i="5"/>
  <c r="N78" i="5"/>
  <c r="M78" i="5"/>
  <c r="O150" i="5"/>
  <c r="N150" i="5"/>
  <c r="M150" i="5"/>
  <c r="N232" i="5"/>
  <c r="O232" i="5"/>
  <c r="M232" i="5"/>
  <c r="O298" i="5"/>
  <c r="N298" i="5"/>
  <c r="M298" i="5"/>
  <c r="O261" i="5"/>
  <c r="N261" i="5"/>
  <c r="M261" i="5"/>
  <c r="O289" i="5"/>
  <c r="N289" i="5"/>
  <c r="M289" i="5"/>
  <c r="N282" i="5"/>
  <c r="O282" i="5"/>
  <c r="M282" i="5"/>
  <c r="O240" i="5"/>
  <c r="N240" i="5"/>
  <c r="M240" i="5"/>
  <c r="O245" i="5"/>
  <c r="N245" i="5"/>
  <c r="M245" i="5"/>
  <c r="O293" i="5"/>
  <c r="N293" i="5"/>
  <c r="M293" i="5"/>
  <c r="O459" i="5"/>
  <c r="N459" i="5"/>
  <c r="M459" i="5"/>
  <c r="N347" i="5"/>
  <c r="O347" i="5"/>
  <c r="M347" i="5"/>
  <c r="O471" i="5"/>
  <c r="N471" i="5"/>
  <c r="M471" i="5"/>
  <c r="N349" i="5"/>
  <c r="O349" i="5"/>
  <c r="M349" i="5"/>
  <c r="O457" i="5"/>
  <c r="N457" i="5"/>
  <c r="M457" i="5"/>
  <c r="O407" i="5"/>
  <c r="N407" i="5"/>
  <c r="M407" i="5"/>
  <c r="N364" i="5"/>
  <c r="O364" i="5"/>
  <c r="M364" i="5"/>
  <c r="O599" i="5"/>
  <c r="N599" i="5"/>
  <c r="M599" i="5"/>
  <c r="O321" i="5"/>
  <c r="N321" i="5"/>
  <c r="M321" i="5"/>
  <c r="O393" i="5"/>
  <c r="N393" i="5"/>
  <c r="M393" i="5"/>
  <c r="O463" i="5"/>
  <c r="N463" i="5"/>
  <c r="M463" i="5"/>
  <c r="O512" i="5"/>
  <c r="N512" i="5"/>
  <c r="M512" i="5"/>
  <c r="O324" i="5"/>
  <c r="N324" i="5"/>
  <c r="M324" i="5"/>
  <c r="O396" i="5"/>
  <c r="N396" i="5"/>
  <c r="M396" i="5"/>
  <c r="O483" i="5"/>
  <c r="N483" i="5"/>
  <c r="M483" i="5"/>
  <c r="O528" i="5"/>
  <c r="N528" i="5"/>
  <c r="M528" i="5"/>
  <c r="N554" i="5"/>
  <c r="O554" i="5"/>
  <c r="M554" i="5"/>
  <c r="N662" i="5"/>
  <c r="O662" i="5"/>
  <c r="M662" i="5"/>
  <c r="O478" i="5"/>
  <c r="N478" i="5"/>
  <c r="M478" i="5"/>
  <c r="N557" i="5"/>
  <c r="O557" i="5"/>
  <c r="M557" i="5"/>
  <c r="O671" i="5"/>
  <c r="N671" i="5"/>
  <c r="M671" i="5"/>
  <c r="N585" i="5"/>
  <c r="O585" i="5"/>
  <c r="M585" i="5"/>
  <c r="N566" i="5"/>
  <c r="O566" i="5"/>
  <c r="M566" i="5"/>
  <c r="O641" i="5"/>
  <c r="N641" i="5"/>
  <c r="M641" i="5"/>
  <c r="N596" i="5"/>
  <c r="O596" i="5"/>
  <c r="M596" i="5"/>
  <c r="N654" i="5"/>
  <c r="O654" i="5"/>
  <c r="M654" i="5"/>
  <c r="N802" i="5"/>
  <c r="O802" i="5"/>
  <c r="M802" i="5"/>
  <c r="N562" i="5"/>
  <c r="O562" i="5"/>
  <c r="M562" i="5"/>
  <c r="N634" i="5"/>
  <c r="O634" i="5"/>
  <c r="M634" i="5"/>
  <c r="N706" i="5"/>
  <c r="O706" i="5"/>
  <c r="M706" i="5"/>
  <c r="O597" i="5"/>
  <c r="N597" i="5"/>
  <c r="M597" i="5"/>
  <c r="O669" i="5"/>
  <c r="N669" i="5"/>
  <c r="M669" i="5"/>
  <c r="O805" i="5"/>
  <c r="N805" i="5"/>
  <c r="M805" i="5"/>
  <c r="O565" i="5"/>
  <c r="N565" i="5"/>
  <c r="M565" i="5"/>
  <c r="N637" i="5"/>
  <c r="O637" i="5"/>
  <c r="M637" i="5"/>
  <c r="N709" i="5"/>
  <c r="O709" i="5"/>
  <c r="M709" i="5"/>
  <c r="O764" i="5"/>
  <c r="N764" i="5"/>
  <c r="M764" i="5"/>
  <c r="O775" i="5"/>
  <c r="N775" i="5"/>
  <c r="M775" i="5"/>
  <c r="O845" i="5"/>
  <c r="N845" i="5"/>
  <c r="M845" i="5"/>
  <c r="O909" i="5"/>
  <c r="N909" i="5"/>
  <c r="M909" i="5"/>
  <c r="O744" i="5"/>
  <c r="N744" i="5"/>
  <c r="M744" i="5"/>
  <c r="N816" i="5"/>
  <c r="O816" i="5"/>
  <c r="M816" i="5"/>
  <c r="O755" i="5"/>
  <c r="N755" i="5"/>
  <c r="M755" i="5"/>
  <c r="O835" i="5"/>
  <c r="N835" i="5"/>
  <c r="M835" i="5"/>
  <c r="O723" i="5"/>
  <c r="N723" i="5"/>
  <c r="M723" i="5"/>
  <c r="N795" i="5"/>
  <c r="O795" i="5"/>
  <c r="M795" i="5"/>
  <c r="N946" i="5"/>
  <c r="O946" i="5"/>
  <c r="M946" i="5"/>
  <c r="N979" i="5"/>
  <c r="O979" i="5"/>
  <c r="M979" i="5"/>
  <c r="O914" i="5"/>
  <c r="N914" i="5"/>
  <c r="M914" i="5"/>
  <c r="N997" i="5"/>
  <c r="O997" i="5"/>
  <c r="M997" i="5"/>
  <c r="O895" i="5"/>
  <c r="N895" i="5"/>
  <c r="M895" i="5"/>
  <c r="N991" i="5"/>
  <c r="O991" i="5"/>
  <c r="M991" i="5"/>
  <c r="N944" i="5"/>
  <c r="O944" i="5"/>
  <c r="M944" i="5"/>
  <c r="N985" i="5"/>
  <c r="O985" i="5"/>
  <c r="M985" i="5"/>
  <c r="O923" i="5"/>
  <c r="N923" i="5"/>
  <c r="M923" i="5"/>
  <c r="O963" i="5"/>
  <c r="N963" i="5"/>
  <c r="M963" i="5"/>
  <c r="O974" i="5"/>
  <c r="N974" i="5"/>
  <c r="M974" i="5"/>
  <c r="O942" i="5"/>
  <c r="N942" i="5"/>
  <c r="M942" i="5"/>
  <c r="N1014" i="5"/>
  <c r="O1014" i="5"/>
  <c r="M1014" i="5"/>
  <c r="F228" i="5"/>
  <c r="G228" i="5"/>
  <c r="E228" i="5"/>
  <c r="G55" i="5"/>
  <c r="F55" i="5"/>
  <c r="E55" i="5"/>
  <c r="G75" i="5"/>
  <c r="F75" i="5"/>
  <c r="E75" i="5"/>
  <c r="G147" i="5"/>
  <c r="F147" i="5"/>
  <c r="E147" i="5"/>
  <c r="F207" i="5"/>
  <c r="G207" i="5"/>
  <c r="E207" i="5"/>
  <c r="G92" i="5"/>
  <c r="F92" i="5"/>
  <c r="E92" i="5"/>
  <c r="G164" i="5"/>
  <c r="F164" i="5"/>
  <c r="E164" i="5"/>
  <c r="G79" i="5"/>
  <c r="F79" i="5"/>
  <c r="E79" i="5"/>
  <c r="G157" i="5"/>
  <c r="F157" i="5"/>
  <c r="E157" i="5"/>
  <c r="G60" i="5"/>
  <c r="F60" i="5"/>
  <c r="E60" i="5"/>
  <c r="G132" i="5"/>
  <c r="F132" i="5"/>
  <c r="E132" i="5"/>
  <c r="F210" i="5"/>
  <c r="G210" i="5"/>
  <c r="E210" i="5"/>
  <c r="G71" i="5"/>
  <c r="F71" i="5"/>
  <c r="E71" i="5"/>
  <c r="G143" i="5"/>
  <c r="F143" i="5"/>
  <c r="E143" i="5"/>
  <c r="F225" i="5"/>
  <c r="G225" i="5"/>
  <c r="E225" i="5"/>
  <c r="G124" i="5"/>
  <c r="F124" i="5"/>
  <c r="E124" i="5"/>
  <c r="G196" i="5"/>
  <c r="F196" i="5"/>
  <c r="E196" i="5"/>
  <c r="G260" i="5"/>
  <c r="F260" i="5"/>
  <c r="E260" i="5"/>
  <c r="G229" i="5"/>
  <c r="F229" i="5"/>
  <c r="E229" i="5"/>
  <c r="F384" i="5"/>
  <c r="G384" i="5"/>
  <c r="E384" i="5"/>
  <c r="G227" i="5"/>
  <c r="F227" i="5"/>
  <c r="E227" i="5"/>
  <c r="F302" i="5"/>
  <c r="G302" i="5"/>
  <c r="E302" i="5"/>
  <c r="G250" i="5"/>
  <c r="F250" i="5"/>
  <c r="E250" i="5"/>
  <c r="F249" i="5"/>
  <c r="G249" i="5"/>
  <c r="E249" i="5"/>
  <c r="F336" i="5"/>
  <c r="G336" i="5"/>
  <c r="E336" i="5"/>
  <c r="F444" i="5"/>
  <c r="G444" i="5"/>
  <c r="E444" i="5"/>
  <c r="G340" i="5"/>
  <c r="F340" i="5"/>
  <c r="E340" i="5"/>
  <c r="F315" i="5"/>
  <c r="G315" i="5"/>
  <c r="E315" i="5"/>
  <c r="F423" i="5"/>
  <c r="G423" i="5"/>
  <c r="E423" i="5"/>
  <c r="G436" i="5"/>
  <c r="F436" i="5"/>
  <c r="E436" i="5"/>
  <c r="F298" i="5"/>
  <c r="G298" i="5"/>
  <c r="E298" i="5"/>
  <c r="F352" i="5"/>
  <c r="G352" i="5"/>
  <c r="E352" i="5"/>
  <c r="G451" i="5"/>
  <c r="F451" i="5"/>
  <c r="E451" i="5"/>
  <c r="G380" i="5"/>
  <c r="F380" i="5"/>
  <c r="E380" i="5"/>
  <c r="G452" i="5"/>
  <c r="F452" i="5"/>
  <c r="E452" i="5"/>
  <c r="F514" i="5"/>
  <c r="G514" i="5"/>
  <c r="E514" i="5"/>
  <c r="F490" i="5"/>
  <c r="G490" i="5"/>
  <c r="E490" i="5"/>
  <c r="G359" i="5"/>
  <c r="F359" i="5"/>
  <c r="E359" i="5"/>
  <c r="G431" i="5"/>
  <c r="F431" i="5"/>
  <c r="E431" i="5"/>
  <c r="G678" i="5"/>
  <c r="F678" i="5"/>
  <c r="E678" i="5"/>
  <c r="G519" i="5"/>
  <c r="F519" i="5"/>
  <c r="E519" i="5"/>
  <c r="G491" i="5"/>
  <c r="F491" i="5"/>
  <c r="E491" i="5"/>
  <c r="G525" i="5"/>
  <c r="F525" i="5"/>
  <c r="E525" i="5"/>
  <c r="G537" i="5"/>
  <c r="F537" i="5"/>
  <c r="E537" i="5"/>
  <c r="G489" i="5"/>
  <c r="F489" i="5"/>
  <c r="E489" i="5"/>
  <c r="F526" i="5"/>
  <c r="G526" i="5"/>
  <c r="E526" i="5"/>
  <c r="F546" i="5"/>
  <c r="G546" i="5"/>
  <c r="E546" i="5"/>
  <c r="G597" i="5"/>
  <c r="F597" i="5"/>
  <c r="E597" i="5"/>
  <c r="G653" i="5"/>
  <c r="F653" i="5"/>
  <c r="E653" i="5"/>
  <c r="G566" i="5"/>
  <c r="F566" i="5"/>
  <c r="E566" i="5"/>
  <c r="G563" i="5"/>
  <c r="F563" i="5"/>
  <c r="E563" i="5"/>
  <c r="G660" i="5"/>
  <c r="F660" i="5"/>
  <c r="E660" i="5"/>
  <c r="F658" i="5"/>
  <c r="G658" i="5"/>
  <c r="E658" i="5"/>
  <c r="G693" i="5"/>
  <c r="F693" i="5"/>
  <c r="E693" i="5"/>
  <c r="G624" i="5"/>
  <c r="F624" i="5"/>
  <c r="E624" i="5"/>
  <c r="G734" i="5"/>
  <c r="F734" i="5"/>
  <c r="E734" i="5"/>
  <c r="G686" i="5"/>
  <c r="F686" i="5"/>
  <c r="E686" i="5"/>
  <c r="F720" i="5"/>
  <c r="G720" i="5"/>
  <c r="E720" i="5"/>
  <c r="G637" i="5"/>
  <c r="F637" i="5"/>
  <c r="E637" i="5"/>
  <c r="G709" i="5"/>
  <c r="F709" i="5"/>
  <c r="E709" i="5"/>
  <c r="G791" i="5"/>
  <c r="F791" i="5"/>
  <c r="E791" i="5"/>
  <c r="G701" i="5"/>
  <c r="F701" i="5"/>
  <c r="E701" i="5"/>
  <c r="G792" i="5"/>
  <c r="F792" i="5"/>
  <c r="E792" i="5"/>
  <c r="G741" i="5"/>
  <c r="F741" i="5"/>
  <c r="E741" i="5"/>
  <c r="G815" i="5"/>
  <c r="F815" i="5"/>
  <c r="E815" i="5"/>
  <c r="F875" i="5"/>
  <c r="G875" i="5"/>
  <c r="E875" i="5"/>
  <c r="G746" i="5"/>
  <c r="F746" i="5"/>
  <c r="E746" i="5"/>
  <c r="G935" i="5"/>
  <c r="F935" i="5"/>
  <c r="E935" i="5"/>
  <c r="G851" i="5"/>
  <c r="F851" i="5"/>
  <c r="E851" i="5"/>
  <c r="F830" i="5"/>
  <c r="G830" i="5"/>
  <c r="E830" i="5"/>
  <c r="G795" i="5"/>
  <c r="F795" i="5"/>
  <c r="E795" i="5"/>
  <c r="G953" i="5"/>
  <c r="F953" i="5"/>
  <c r="E953" i="5"/>
  <c r="F832" i="5"/>
  <c r="G832" i="5"/>
  <c r="E832" i="5"/>
  <c r="G868" i="5"/>
  <c r="F868" i="5"/>
  <c r="E868" i="5"/>
  <c r="G908" i="5"/>
  <c r="F908" i="5"/>
  <c r="E908" i="5"/>
  <c r="G888" i="5"/>
  <c r="F888" i="5"/>
  <c r="E888" i="5"/>
  <c r="G923" i="5"/>
  <c r="F923" i="5"/>
  <c r="E923" i="5"/>
  <c r="G1025" i="5"/>
  <c r="F1025" i="5"/>
  <c r="E1025" i="5"/>
  <c r="G898" i="5"/>
  <c r="F898" i="5"/>
  <c r="E898" i="5"/>
  <c r="F942" i="5"/>
  <c r="G942" i="5"/>
  <c r="E942" i="5"/>
  <c r="G964" i="5"/>
  <c r="F964" i="5"/>
  <c r="E964" i="5"/>
  <c r="F982" i="5"/>
  <c r="G982" i="5"/>
  <c r="E982" i="5"/>
  <c r="F934" i="5"/>
  <c r="G934" i="5"/>
  <c r="E934" i="5"/>
  <c r="G978" i="5"/>
  <c r="F978" i="5"/>
  <c r="E978" i="5"/>
  <c r="O52" i="5"/>
  <c r="N52" i="5"/>
  <c r="M52" i="5"/>
  <c r="N59" i="5"/>
  <c r="O59" i="5"/>
  <c r="M59" i="5"/>
  <c r="O131" i="5"/>
  <c r="N131" i="5"/>
  <c r="M131" i="5"/>
  <c r="O218" i="5"/>
  <c r="N218" i="5"/>
  <c r="M218" i="5"/>
  <c r="O88" i="5"/>
  <c r="N88" i="5"/>
  <c r="M88" i="5"/>
  <c r="O160" i="5"/>
  <c r="N160" i="5"/>
  <c r="M160" i="5"/>
  <c r="O45" i="5"/>
  <c r="N45" i="5"/>
  <c r="M45" i="5"/>
  <c r="O117" i="5"/>
  <c r="N117" i="5"/>
  <c r="M117" i="5"/>
  <c r="O189" i="5"/>
  <c r="N189" i="5"/>
  <c r="M189" i="5"/>
  <c r="O44" i="5"/>
  <c r="N44" i="5"/>
  <c r="M44" i="5"/>
  <c r="O116" i="5"/>
  <c r="N116" i="5"/>
  <c r="M116" i="5"/>
  <c r="O188" i="5"/>
  <c r="N188" i="5"/>
  <c r="M188" i="5"/>
  <c r="N73" i="5"/>
  <c r="O73" i="5"/>
  <c r="M73" i="5"/>
  <c r="N145" i="5"/>
  <c r="O145" i="5"/>
  <c r="M145" i="5"/>
  <c r="O239" i="5"/>
  <c r="N239" i="5"/>
  <c r="M239" i="5"/>
  <c r="O84" i="5"/>
  <c r="N84" i="5"/>
  <c r="M84" i="5"/>
  <c r="O156" i="5"/>
  <c r="N156" i="5"/>
  <c r="M156" i="5"/>
  <c r="O267" i="5"/>
  <c r="N267" i="5"/>
  <c r="M267" i="5"/>
  <c r="N303" i="5"/>
  <c r="O303" i="5"/>
  <c r="M303" i="5"/>
  <c r="N276" i="5"/>
  <c r="O276" i="5"/>
  <c r="M276" i="5"/>
  <c r="O301" i="5"/>
  <c r="N301" i="5"/>
  <c r="M301" i="5"/>
  <c r="O307" i="5"/>
  <c r="N307" i="5"/>
  <c r="M307" i="5"/>
  <c r="N246" i="5"/>
  <c r="O246" i="5"/>
  <c r="M246" i="5"/>
  <c r="O251" i="5"/>
  <c r="N251" i="5"/>
  <c r="M251" i="5"/>
  <c r="O299" i="5"/>
  <c r="N299" i="5"/>
  <c r="M299" i="5"/>
  <c r="N406" i="5"/>
  <c r="O406" i="5"/>
  <c r="M406" i="5"/>
  <c r="N356" i="5"/>
  <c r="O356" i="5"/>
  <c r="M356" i="5"/>
  <c r="O272" i="5"/>
  <c r="N272" i="5"/>
  <c r="M272" i="5"/>
  <c r="N358" i="5"/>
  <c r="O358" i="5"/>
  <c r="M358" i="5"/>
  <c r="N473" i="5"/>
  <c r="O473" i="5"/>
  <c r="M473" i="5"/>
  <c r="O416" i="5"/>
  <c r="N416" i="5"/>
  <c r="M416" i="5"/>
  <c r="N373" i="5"/>
  <c r="O373" i="5"/>
  <c r="M373" i="5"/>
  <c r="O480" i="5"/>
  <c r="N480" i="5"/>
  <c r="M480" i="5"/>
  <c r="O327" i="5"/>
  <c r="N327" i="5"/>
  <c r="M327" i="5"/>
  <c r="O399" i="5"/>
  <c r="N399" i="5"/>
  <c r="M399" i="5"/>
  <c r="N504" i="5"/>
  <c r="O504" i="5"/>
  <c r="M504" i="5"/>
  <c r="N526" i="5"/>
  <c r="O526" i="5"/>
  <c r="M526" i="5"/>
  <c r="O330" i="5"/>
  <c r="N330" i="5"/>
  <c r="M330" i="5"/>
  <c r="O402" i="5"/>
  <c r="N402" i="5"/>
  <c r="M402" i="5"/>
  <c r="O492" i="5"/>
  <c r="N492" i="5"/>
  <c r="M492" i="5"/>
  <c r="O449" i="5"/>
  <c r="N449" i="5"/>
  <c r="M449" i="5"/>
  <c r="O635" i="5"/>
  <c r="N635" i="5"/>
  <c r="M635" i="5"/>
  <c r="N532" i="5"/>
  <c r="O532" i="5"/>
  <c r="M532" i="5"/>
  <c r="O484" i="5"/>
  <c r="N484" i="5"/>
  <c r="M484" i="5"/>
  <c r="O570" i="5"/>
  <c r="N570" i="5"/>
  <c r="M570" i="5"/>
  <c r="N553" i="5"/>
  <c r="O553" i="5"/>
  <c r="M553" i="5"/>
  <c r="N590" i="5"/>
  <c r="O590" i="5"/>
  <c r="M590" i="5"/>
  <c r="N579" i="5"/>
  <c r="O579" i="5"/>
  <c r="M579" i="5"/>
  <c r="O832" i="5"/>
  <c r="N832" i="5"/>
  <c r="M832" i="5"/>
  <c r="O611" i="5"/>
  <c r="N611" i="5"/>
  <c r="M611" i="5"/>
  <c r="O660" i="5"/>
  <c r="N660" i="5"/>
  <c r="M660" i="5"/>
  <c r="N745" i="5"/>
  <c r="O745" i="5"/>
  <c r="M745" i="5"/>
  <c r="N568" i="5"/>
  <c r="O568" i="5"/>
  <c r="M568" i="5"/>
  <c r="N640" i="5"/>
  <c r="O640" i="5"/>
  <c r="M640" i="5"/>
  <c r="N712" i="5"/>
  <c r="O712" i="5"/>
  <c r="M712" i="5"/>
  <c r="N603" i="5"/>
  <c r="O603" i="5"/>
  <c r="M603" i="5"/>
  <c r="O675" i="5"/>
  <c r="N675" i="5"/>
  <c r="M675" i="5"/>
  <c r="N820" i="5"/>
  <c r="O820" i="5"/>
  <c r="M820" i="5"/>
  <c r="N571" i="5"/>
  <c r="O571" i="5"/>
  <c r="M571" i="5"/>
  <c r="N643" i="5"/>
  <c r="O643" i="5"/>
  <c r="M643" i="5"/>
  <c r="N752" i="5"/>
  <c r="O752" i="5"/>
  <c r="M752" i="5"/>
  <c r="O782" i="5"/>
  <c r="N782" i="5"/>
  <c r="M782" i="5"/>
  <c r="O823" i="5"/>
  <c r="N823" i="5"/>
  <c r="M823" i="5"/>
  <c r="N788" i="5"/>
  <c r="O788" i="5"/>
  <c r="M788" i="5"/>
  <c r="O938" i="5"/>
  <c r="N938" i="5"/>
  <c r="M938" i="5"/>
  <c r="N750" i="5"/>
  <c r="O750" i="5"/>
  <c r="M750" i="5"/>
  <c r="N822" i="5"/>
  <c r="O822" i="5"/>
  <c r="M822" i="5"/>
  <c r="O761" i="5"/>
  <c r="N761" i="5"/>
  <c r="M761" i="5"/>
  <c r="N842" i="5"/>
  <c r="O842" i="5"/>
  <c r="M842" i="5"/>
  <c r="O729" i="5"/>
  <c r="N729" i="5"/>
  <c r="M729" i="5"/>
  <c r="N801" i="5"/>
  <c r="O801" i="5"/>
  <c r="M801" i="5"/>
  <c r="N851" i="5"/>
  <c r="O851" i="5"/>
  <c r="M851" i="5"/>
  <c r="O1007" i="5"/>
  <c r="N1007" i="5"/>
  <c r="M1007" i="5"/>
  <c r="O970" i="5"/>
  <c r="N970" i="5"/>
  <c r="M970" i="5"/>
  <c r="O989" i="5"/>
  <c r="N989" i="5"/>
  <c r="M989" i="5"/>
  <c r="O934" i="5"/>
  <c r="N934" i="5"/>
  <c r="M934" i="5"/>
  <c r="O1000" i="5"/>
  <c r="N1000" i="5"/>
  <c r="M1000" i="5"/>
  <c r="N973" i="5"/>
  <c r="O973" i="5"/>
  <c r="M973" i="5"/>
  <c r="N1003" i="5"/>
  <c r="O1003" i="5"/>
  <c r="M1003" i="5"/>
  <c r="N937" i="5"/>
  <c r="O937" i="5"/>
  <c r="M937" i="5"/>
  <c r="N969" i="5"/>
  <c r="O969" i="5"/>
  <c r="M969" i="5"/>
  <c r="O980" i="5"/>
  <c r="N980" i="5"/>
  <c r="M980" i="5"/>
  <c r="N948" i="5"/>
  <c r="O948" i="5"/>
  <c r="M948" i="5"/>
  <c r="N1020" i="5"/>
  <c r="O1020" i="5"/>
  <c r="M1020" i="5"/>
  <c r="G49" i="5"/>
  <c r="F49" i="5"/>
  <c r="E49" i="5"/>
  <c r="G73" i="5"/>
  <c r="F73" i="5"/>
  <c r="E73" i="5"/>
  <c r="G81" i="5"/>
  <c r="F81" i="5"/>
  <c r="E81" i="5"/>
  <c r="G153" i="5"/>
  <c r="F153" i="5"/>
  <c r="E153" i="5"/>
  <c r="F246" i="5"/>
  <c r="G246" i="5"/>
  <c r="E246" i="5"/>
  <c r="G98" i="5"/>
  <c r="F98" i="5"/>
  <c r="E98" i="5"/>
  <c r="G170" i="5"/>
  <c r="F170" i="5"/>
  <c r="E170" i="5"/>
  <c r="G91" i="5"/>
  <c r="F91" i="5"/>
  <c r="E91" i="5"/>
  <c r="G163" i="5"/>
  <c r="F163" i="5"/>
  <c r="E163" i="5"/>
  <c r="G66" i="5"/>
  <c r="F66" i="5"/>
  <c r="E66" i="5"/>
  <c r="G138" i="5"/>
  <c r="F138" i="5"/>
  <c r="E138" i="5"/>
  <c r="F222" i="5"/>
  <c r="G222" i="5"/>
  <c r="E222" i="5"/>
  <c r="G77" i="5"/>
  <c r="F77" i="5"/>
  <c r="E77" i="5"/>
  <c r="G149" i="5"/>
  <c r="F149" i="5"/>
  <c r="E149" i="5"/>
  <c r="F237" i="5"/>
  <c r="G237" i="5"/>
  <c r="E237" i="5"/>
  <c r="G130" i="5"/>
  <c r="F130" i="5"/>
  <c r="E130" i="5"/>
  <c r="G58" i="5"/>
  <c r="F58" i="5"/>
  <c r="E58" i="5"/>
  <c r="F266" i="5"/>
  <c r="G266" i="5"/>
  <c r="E266" i="5"/>
  <c r="G235" i="5"/>
  <c r="F235" i="5"/>
  <c r="E235" i="5"/>
  <c r="F258" i="5"/>
  <c r="G258" i="5"/>
  <c r="E258" i="5"/>
  <c r="G233" i="5"/>
  <c r="F233" i="5"/>
  <c r="E233" i="5"/>
  <c r="F321" i="5"/>
  <c r="G321" i="5"/>
  <c r="E321" i="5"/>
  <c r="G256" i="5"/>
  <c r="F256" i="5"/>
  <c r="E256" i="5"/>
  <c r="F255" i="5"/>
  <c r="G255" i="5"/>
  <c r="E255" i="5"/>
  <c r="F345" i="5"/>
  <c r="G345" i="5"/>
  <c r="E345" i="5"/>
  <c r="G464" i="5"/>
  <c r="F464" i="5"/>
  <c r="E464" i="5"/>
  <c r="G349" i="5"/>
  <c r="F349" i="5"/>
  <c r="E349" i="5"/>
  <c r="F324" i="5"/>
  <c r="G324" i="5"/>
  <c r="E324" i="5"/>
  <c r="F432" i="5"/>
  <c r="G432" i="5"/>
  <c r="E432" i="5"/>
  <c r="G445" i="5"/>
  <c r="F445" i="5"/>
  <c r="E445" i="5"/>
  <c r="F304" i="5"/>
  <c r="G304" i="5"/>
  <c r="E304" i="5"/>
  <c r="F361" i="5"/>
  <c r="G361" i="5"/>
  <c r="E361" i="5"/>
  <c r="G314" i="5"/>
  <c r="F314" i="5"/>
  <c r="E314" i="5"/>
  <c r="G386" i="5"/>
  <c r="F386" i="5"/>
  <c r="E386" i="5"/>
  <c r="G456" i="5"/>
  <c r="F456" i="5"/>
  <c r="E456" i="5"/>
  <c r="F516" i="5"/>
  <c r="G516" i="5"/>
  <c r="E516" i="5"/>
  <c r="F499" i="5"/>
  <c r="G499" i="5"/>
  <c r="E499" i="5"/>
  <c r="G365" i="5"/>
  <c r="F365" i="5"/>
  <c r="E365" i="5"/>
  <c r="G437" i="5"/>
  <c r="F437" i="5"/>
  <c r="E437" i="5"/>
  <c r="F478" i="5"/>
  <c r="G478" i="5"/>
  <c r="E478" i="5"/>
  <c r="G528" i="5"/>
  <c r="F528" i="5"/>
  <c r="E528" i="5"/>
  <c r="G500" i="5"/>
  <c r="F500" i="5"/>
  <c r="E500" i="5"/>
  <c r="G532" i="5"/>
  <c r="F532" i="5"/>
  <c r="E532" i="5"/>
  <c r="F545" i="5"/>
  <c r="G545" i="5"/>
  <c r="E545" i="5"/>
  <c r="G495" i="5"/>
  <c r="F495" i="5"/>
  <c r="E495" i="5"/>
  <c r="G548" i="5"/>
  <c r="F548" i="5"/>
  <c r="E548" i="5"/>
  <c r="G588" i="5"/>
  <c r="F588" i="5"/>
  <c r="E588" i="5"/>
  <c r="G608" i="5"/>
  <c r="F608" i="5"/>
  <c r="E608" i="5"/>
  <c r="G530" i="5"/>
  <c r="F530" i="5"/>
  <c r="E530" i="5"/>
  <c r="G579" i="5"/>
  <c r="F579" i="5"/>
  <c r="E579" i="5"/>
  <c r="G576" i="5"/>
  <c r="F576" i="5"/>
  <c r="E576" i="5"/>
  <c r="G682" i="5"/>
  <c r="F682" i="5"/>
  <c r="E682" i="5"/>
  <c r="G711" i="5"/>
  <c r="F711" i="5"/>
  <c r="E711" i="5"/>
  <c r="G640" i="5"/>
  <c r="F640" i="5"/>
  <c r="E640" i="5"/>
  <c r="F628" i="5"/>
  <c r="G628" i="5"/>
  <c r="E628" i="5"/>
  <c r="G758" i="5"/>
  <c r="F758" i="5"/>
  <c r="E758" i="5"/>
  <c r="G692" i="5"/>
  <c r="F692" i="5"/>
  <c r="E692" i="5"/>
  <c r="G735" i="5"/>
  <c r="F735" i="5"/>
  <c r="E735" i="5"/>
  <c r="F643" i="5"/>
  <c r="G643" i="5"/>
  <c r="E643" i="5"/>
  <c r="G785" i="5"/>
  <c r="F785" i="5"/>
  <c r="E785" i="5"/>
  <c r="G782" i="5"/>
  <c r="F782" i="5"/>
  <c r="E782" i="5"/>
  <c r="G707" i="5"/>
  <c r="F707" i="5"/>
  <c r="E707" i="5"/>
  <c r="G861" i="5"/>
  <c r="F861" i="5"/>
  <c r="E861" i="5"/>
  <c r="G755" i="5"/>
  <c r="F755" i="5"/>
  <c r="E755" i="5"/>
  <c r="G817" i="5"/>
  <c r="F817" i="5"/>
  <c r="E817" i="5"/>
  <c r="F730" i="5"/>
  <c r="G730" i="5"/>
  <c r="E730" i="5"/>
  <c r="G749" i="5"/>
  <c r="F749" i="5"/>
  <c r="E749" i="5"/>
  <c r="G977" i="5"/>
  <c r="F977" i="5"/>
  <c r="E977" i="5"/>
  <c r="G853" i="5"/>
  <c r="F853" i="5"/>
  <c r="E853" i="5"/>
  <c r="F834" i="5"/>
  <c r="G834" i="5"/>
  <c r="E834" i="5"/>
  <c r="F801" i="5"/>
  <c r="G801" i="5"/>
  <c r="E801" i="5"/>
  <c r="F988" i="5"/>
  <c r="G988" i="5"/>
  <c r="E988" i="5"/>
  <c r="G863" i="5"/>
  <c r="F863" i="5"/>
  <c r="E863" i="5"/>
  <c r="G878" i="5"/>
  <c r="F878" i="5"/>
  <c r="E878" i="5"/>
  <c r="G933" i="5"/>
  <c r="F933" i="5"/>
  <c r="E933" i="5"/>
  <c r="F896" i="5"/>
  <c r="G896" i="5"/>
  <c r="E896" i="5"/>
  <c r="G928" i="5"/>
  <c r="F928" i="5"/>
  <c r="E928" i="5"/>
  <c r="F903" i="5"/>
  <c r="G903" i="5"/>
  <c r="E903" i="5"/>
  <c r="F926" i="5"/>
  <c r="G926" i="5"/>
  <c r="E926" i="5"/>
  <c r="G949" i="5"/>
  <c r="F949" i="5"/>
  <c r="E949" i="5"/>
  <c r="G980" i="5"/>
  <c r="F980" i="5"/>
  <c r="E980" i="5"/>
  <c r="F1000" i="5"/>
  <c r="G1000" i="5"/>
  <c r="E1000" i="5"/>
  <c r="G938" i="5"/>
  <c r="F938" i="5"/>
  <c r="E938" i="5"/>
  <c r="G984" i="5"/>
  <c r="F984" i="5"/>
  <c r="E984" i="5"/>
  <c r="N43" i="5"/>
  <c r="O43" i="5"/>
  <c r="M43" i="5"/>
  <c r="N65" i="5"/>
  <c r="O65" i="5"/>
  <c r="M65" i="5"/>
  <c r="O137" i="5"/>
  <c r="N137" i="5"/>
  <c r="M137" i="5"/>
  <c r="O230" i="5"/>
  <c r="N230" i="5"/>
  <c r="M230" i="5"/>
  <c r="O94" i="5"/>
  <c r="N94" i="5"/>
  <c r="M94" i="5"/>
  <c r="O166" i="5"/>
  <c r="N166" i="5"/>
  <c r="M166" i="5"/>
  <c r="O51" i="5"/>
  <c r="N51" i="5"/>
  <c r="M51" i="5"/>
  <c r="O123" i="5"/>
  <c r="N123" i="5"/>
  <c r="M123" i="5"/>
  <c r="O195" i="5"/>
  <c r="N195" i="5"/>
  <c r="M195" i="5"/>
  <c r="O50" i="5"/>
  <c r="N50" i="5"/>
  <c r="M50" i="5"/>
  <c r="O122" i="5"/>
  <c r="N122" i="5"/>
  <c r="M122" i="5"/>
  <c r="O194" i="5"/>
  <c r="N194" i="5"/>
  <c r="M194" i="5"/>
  <c r="N79" i="5"/>
  <c r="O79" i="5"/>
  <c r="M79" i="5"/>
  <c r="N151" i="5"/>
  <c r="O151" i="5"/>
  <c r="M151" i="5"/>
  <c r="O253" i="5"/>
  <c r="N253" i="5"/>
  <c r="M253" i="5"/>
  <c r="O90" i="5"/>
  <c r="N90" i="5"/>
  <c r="M90" i="5"/>
  <c r="O162" i="5"/>
  <c r="N162" i="5"/>
  <c r="M162" i="5"/>
  <c r="N300" i="5"/>
  <c r="O300" i="5"/>
  <c r="M300" i="5"/>
  <c r="O201" i="5"/>
  <c r="N201" i="5"/>
  <c r="M201" i="5"/>
  <c r="N285" i="5"/>
  <c r="O285" i="5"/>
  <c r="M285" i="5"/>
  <c r="O310" i="5"/>
  <c r="N310" i="5"/>
  <c r="M310" i="5"/>
  <c r="O292" i="5"/>
  <c r="N292" i="5"/>
  <c r="M292" i="5"/>
  <c r="N252" i="5"/>
  <c r="O252" i="5"/>
  <c r="M252" i="5"/>
  <c r="O257" i="5"/>
  <c r="N257" i="5"/>
  <c r="M257" i="5"/>
  <c r="O305" i="5"/>
  <c r="N305" i="5"/>
  <c r="M305" i="5"/>
  <c r="N415" i="5"/>
  <c r="O415" i="5"/>
  <c r="M415" i="5"/>
  <c r="N365" i="5"/>
  <c r="O365" i="5"/>
  <c r="M365" i="5"/>
  <c r="O278" i="5"/>
  <c r="N278" i="5"/>
  <c r="M278" i="5"/>
  <c r="N367" i="5"/>
  <c r="O367" i="5"/>
  <c r="M367" i="5"/>
  <c r="O317" i="5"/>
  <c r="N317" i="5"/>
  <c r="M317" i="5"/>
  <c r="O425" i="5"/>
  <c r="N425" i="5"/>
  <c r="M425" i="5"/>
  <c r="N382" i="5"/>
  <c r="O382" i="5"/>
  <c r="M382" i="5"/>
  <c r="O489" i="5"/>
  <c r="N489" i="5"/>
  <c r="M489" i="5"/>
  <c r="O333" i="5"/>
  <c r="N333" i="5"/>
  <c r="M333" i="5"/>
  <c r="O405" i="5"/>
  <c r="N405" i="5"/>
  <c r="M405" i="5"/>
  <c r="N506" i="5"/>
  <c r="O506" i="5"/>
  <c r="M506" i="5"/>
  <c r="N544" i="5"/>
  <c r="O544" i="5"/>
  <c r="M544" i="5"/>
  <c r="O336" i="5"/>
  <c r="N336" i="5"/>
  <c r="M336" i="5"/>
  <c r="O408" i="5"/>
  <c r="N408" i="5"/>
  <c r="M408" i="5"/>
  <c r="O501" i="5"/>
  <c r="N501" i="5"/>
  <c r="M501" i="5"/>
  <c r="N458" i="5"/>
  <c r="O458" i="5"/>
  <c r="M458" i="5"/>
  <c r="O469" i="5"/>
  <c r="N469" i="5"/>
  <c r="M469" i="5"/>
  <c r="N563" i="5"/>
  <c r="O563" i="5"/>
  <c r="M563" i="5"/>
  <c r="O490" i="5"/>
  <c r="N490" i="5"/>
  <c r="M490" i="5"/>
  <c r="N650" i="5"/>
  <c r="O650" i="5"/>
  <c r="M650" i="5"/>
  <c r="O567" i="5"/>
  <c r="N567" i="5"/>
  <c r="M567" i="5"/>
  <c r="N674" i="5"/>
  <c r="O674" i="5"/>
  <c r="M674" i="5"/>
  <c r="N608" i="5"/>
  <c r="O608" i="5"/>
  <c r="M608" i="5"/>
  <c r="N656" i="5"/>
  <c r="O656" i="5"/>
  <c r="M656" i="5"/>
  <c r="N644" i="5"/>
  <c r="O644" i="5"/>
  <c r="M644" i="5"/>
  <c r="O666" i="5"/>
  <c r="N666" i="5"/>
  <c r="M666" i="5"/>
  <c r="N846" i="5"/>
  <c r="O846" i="5"/>
  <c r="M846" i="5"/>
  <c r="N574" i="5"/>
  <c r="O574" i="5"/>
  <c r="M574" i="5"/>
  <c r="N646" i="5"/>
  <c r="O646" i="5"/>
  <c r="M646" i="5"/>
  <c r="N718" i="5"/>
  <c r="O718" i="5"/>
  <c r="M718" i="5"/>
  <c r="N609" i="5"/>
  <c r="O609" i="5"/>
  <c r="M609" i="5"/>
  <c r="O681" i="5"/>
  <c r="N681" i="5"/>
  <c r="M681" i="5"/>
  <c r="N692" i="5"/>
  <c r="O692" i="5"/>
  <c r="M692" i="5"/>
  <c r="O577" i="5"/>
  <c r="N577" i="5"/>
  <c r="M577" i="5"/>
  <c r="N649" i="5"/>
  <c r="O649" i="5"/>
  <c r="M649" i="5"/>
  <c r="O769" i="5"/>
  <c r="N769" i="5"/>
  <c r="M769" i="5"/>
  <c r="N796" i="5"/>
  <c r="O796" i="5"/>
  <c r="M796" i="5"/>
  <c r="N912" i="5"/>
  <c r="O912" i="5"/>
  <c r="M912" i="5"/>
  <c r="O794" i="5"/>
  <c r="N794" i="5"/>
  <c r="M794" i="5"/>
  <c r="O926" i="5"/>
  <c r="N926" i="5"/>
  <c r="M926" i="5"/>
  <c r="N756" i="5"/>
  <c r="O756" i="5"/>
  <c r="M756" i="5"/>
  <c r="N857" i="5"/>
  <c r="O857" i="5"/>
  <c r="M857" i="5"/>
  <c r="N767" i="5"/>
  <c r="O767" i="5"/>
  <c r="M767" i="5"/>
  <c r="O890" i="5"/>
  <c r="N890" i="5"/>
  <c r="M890" i="5"/>
  <c r="O735" i="5"/>
  <c r="N735" i="5"/>
  <c r="M735" i="5"/>
  <c r="N807" i="5"/>
  <c r="O807" i="5"/>
  <c r="M807" i="5"/>
  <c r="O855" i="5"/>
  <c r="N855" i="5"/>
  <c r="M855" i="5"/>
  <c r="O939" i="5"/>
  <c r="N939" i="5"/>
  <c r="M939" i="5"/>
  <c r="O988" i="5"/>
  <c r="N988" i="5"/>
  <c r="M988" i="5"/>
  <c r="O1001" i="5"/>
  <c r="N1001" i="5"/>
  <c r="M1001" i="5"/>
  <c r="O965" i="5"/>
  <c r="N965" i="5"/>
  <c r="M965" i="5"/>
  <c r="O1012" i="5"/>
  <c r="N1012" i="5"/>
  <c r="M1012" i="5"/>
  <c r="O982" i="5"/>
  <c r="N982" i="5"/>
  <c r="M982" i="5"/>
  <c r="N1027" i="5"/>
  <c r="O1027" i="5"/>
  <c r="M1027" i="5"/>
  <c r="O941" i="5"/>
  <c r="N941" i="5"/>
  <c r="M941" i="5"/>
  <c r="N975" i="5"/>
  <c r="O975" i="5"/>
  <c r="M975" i="5"/>
  <c r="O986" i="5"/>
  <c r="N986" i="5"/>
  <c r="M986" i="5"/>
  <c r="N954" i="5"/>
  <c r="O954" i="5"/>
  <c r="M954" i="5"/>
  <c r="N1026" i="5"/>
  <c r="O1026" i="5"/>
  <c r="M1026" i="5"/>
  <c r="O187" i="4"/>
  <c r="N187" i="4"/>
  <c r="O336" i="4"/>
  <c r="N336" i="4"/>
  <c r="O728" i="4"/>
  <c r="N728" i="4"/>
  <c r="O66" i="4"/>
  <c r="N66" i="4"/>
  <c r="O559" i="4"/>
  <c r="N559" i="4"/>
  <c r="O77" i="4"/>
  <c r="N77" i="4"/>
  <c r="O82" i="4"/>
  <c r="N82" i="4"/>
  <c r="O361" i="4"/>
  <c r="N361" i="4"/>
  <c r="O353" i="4"/>
  <c r="N353" i="4"/>
  <c r="O517" i="4"/>
  <c r="N517" i="4"/>
  <c r="M158" i="4"/>
  <c r="O158" i="4"/>
  <c r="N158" i="4"/>
  <c r="O907" i="4"/>
  <c r="N907" i="4"/>
  <c r="O165" i="4"/>
  <c r="N165" i="4"/>
  <c r="O30" i="4"/>
  <c r="N30" i="4"/>
  <c r="O593" i="4"/>
  <c r="N593" i="4"/>
  <c r="O532" i="4"/>
  <c r="N532" i="4"/>
  <c r="O676" i="4"/>
  <c r="N676" i="4"/>
  <c r="O497" i="4"/>
  <c r="N497" i="4"/>
  <c r="N846" i="4"/>
  <c r="O846" i="4"/>
  <c r="O711" i="4"/>
  <c r="N711" i="4"/>
  <c r="M302" i="4"/>
  <c r="O302" i="4"/>
  <c r="N302" i="4"/>
  <c r="O752" i="4"/>
  <c r="N752" i="4"/>
  <c r="O966" i="4"/>
  <c r="N966" i="4"/>
  <c r="M386" i="4"/>
  <c r="O386" i="4"/>
  <c r="N386" i="4"/>
  <c r="O689" i="4"/>
  <c r="N689" i="4"/>
  <c r="O602" i="4"/>
  <c r="N602" i="4"/>
  <c r="O641" i="4"/>
  <c r="N641" i="4"/>
  <c r="O1025" i="4"/>
  <c r="N1025" i="4"/>
  <c r="M232" i="4"/>
  <c r="O232" i="4"/>
  <c r="N232" i="4"/>
  <c r="M492" i="4"/>
  <c r="O492" i="4"/>
  <c r="N492" i="4"/>
  <c r="O512" i="4"/>
  <c r="N512" i="4"/>
  <c r="O446" i="4"/>
  <c r="N446" i="4"/>
  <c r="O279" i="4"/>
  <c r="N279" i="4"/>
  <c r="O205" i="4"/>
  <c r="N205" i="4"/>
  <c r="M338" i="4"/>
  <c r="O338" i="4"/>
  <c r="N338" i="4"/>
  <c r="O93" i="4"/>
  <c r="N93" i="4"/>
  <c r="O826" i="4"/>
  <c r="N826" i="4"/>
  <c r="O310" i="4"/>
  <c r="N310" i="4"/>
  <c r="O408" i="4"/>
  <c r="N408" i="4"/>
  <c r="O882" i="4"/>
  <c r="N882" i="4"/>
  <c r="O71" i="4"/>
  <c r="N71" i="4"/>
  <c r="O86" i="4"/>
  <c r="N86" i="4"/>
  <c r="O331" i="4"/>
  <c r="N331" i="4"/>
  <c r="O161" i="4"/>
  <c r="N161" i="4"/>
  <c r="O128" i="4"/>
  <c r="N128" i="4"/>
  <c r="O976" i="4"/>
  <c r="N976" i="4"/>
  <c r="O212" i="4"/>
  <c r="N212" i="4"/>
  <c r="O438" i="4"/>
  <c r="N438" i="4"/>
  <c r="O634" i="4"/>
  <c r="N634" i="4"/>
  <c r="O584" i="4"/>
  <c r="N584" i="4"/>
  <c r="O991" i="4"/>
  <c r="N991" i="4"/>
  <c r="O355" i="4"/>
  <c r="N355" i="4"/>
  <c r="O131" i="4"/>
  <c r="N131" i="4"/>
  <c r="O494" i="4"/>
  <c r="N494" i="4"/>
  <c r="P494" i="4" s="1"/>
  <c r="N685" i="4"/>
  <c r="O685" i="4"/>
  <c r="O753" i="4"/>
  <c r="N753" i="4"/>
  <c r="N824" i="4"/>
  <c r="O824" i="4"/>
  <c r="O998" i="4"/>
  <c r="N998" i="4"/>
  <c r="M792" i="4"/>
  <c r="O792" i="4"/>
  <c r="N792" i="4"/>
  <c r="O60" i="4"/>
  <c r="N60" i="4"/>
  <c r="O501" i="4"/>
  <c r="N501" i="4"/>
  <c r="O844" i="4"/>
  <c r="N844" i="4"/>
  <c r="O378" i="4"/>
  <c r="N378" i="4"/>
  <c r="O681" i="4"/>
  <c r="N681" i="4"/>
  <c r="O44" i="4"/>
  <c r="N44" i="4"/>
  <c r="O29" i="4"/>
  <c r="N29" i="4"/>
  <c r="O455" i="4"/>
  <c r="N455" i="4"/>
  <c r="O834" i="4"/>
  <c r="N834" i="4"/>
  <c r="O979" i="4"/>
  <c r="N979" i="4"/>
  <c r="O903" i="4"/>
  <c r="N903" i="4"/>
  <c r="O586" i="4"/>
  <c r="N586" i="4"/>
  <c r="O287" i="4"/>
  <c r="N287" i="4"/>
  <c r="O910" i="4"/>
  <c r="N910" i="4"/>
  <c r="O949" i="4"/>
  <c r="N949" i="4"/>
  <c r="O401" i="4"/>
  <c r="N401" i="4"/>
  <c r="O793" i="4"/>
  <c r="N793" i="4"/>
  <c r="O570" i="4"/>
  <c r="N570" i="4"/>
  <c r="O959" i="4"/>
  <c r="N959" i="4"/>
  <c r="O125" i="4"/>
  <c r="N125" i="4"/>
  <c r="M674" i="4"/>
  <c r="O674" i="4"/>
  <c r="N674" i="4"/>
  <c r="O293" i="4"/>
  <c r="N293" i="4"/>
  <c r="M111" i="4"/>
  <c r="O111" i="4"/>
  <c r="N111" i="4"/>
  <c r="O365" i="4"/>
  <c r="N365" i="4"/>
  <c r="O734" i="4"/>
  <c r="N734" i="4"/>
  <c r="O758" i="4"/>
  <c r="N758" i="4"/>
  <c r="O341" i="4"/>
  <c r="N341" i="4"/>
  <c r="M591" i="4"/>
  <c r="O591" i="4"/>
  <c r="N591" i="4"/>
  <c r="O722" i="4"/>
  <c r="N722" i="4"/>
  <c r="O773" i="4"/>
  <c r="N773" i="4"/>
  <c r="O756" i="4"/>
  <c r="N756" i="4"/>
  <c r="O461" i="4"/>
  <c r="O467" i="4"/>
  <c r="N467" i="4"/>
  <c r="O384" i="4"/>
  <c r="N384" i="4"/>
  <c r="O950" i="4"/>
  <c r="N950" i="4"/>
  <c r="O425" i="4"/>
  <c r="N425" i="4"/>
  <c r="O571" i="4"/>
  <c r="N571" i="4"/>
  <c r="O821" i="4"/>
  <c r="O459" i="4"/>
  <c r="N459" i="4"/>
  <c r="O511" i="4"/>
  <c r="N511" i="4"/>
  <c r="O632" i="4"/>
  <c r="N632" i="4"/>
  <c r="O142" i="4"/>
  <c r="N142" i="4"/>
  <c r="O699" i="4"/>
  <c r="N699" i="4"/>
  <c r="O244" i="4"/>
  <c r="N244" i="4"/>
  <c r="O306" i="4"/>
  <c r="N306" i="4"/>
  <c r="O155" i="4"/>
  <c r="N155" i="4"/>
  <c r="O146" i="4"/>
  <c r="N146" i="4"/>
  <c r="O958" i="4"/>
  <c r="N958" i="4"/>
  <c r="O87" i="4"/>
  <c r="N87" i="4"/>
  <c r="O317" i="4"/>
  <c r="N317" i="4"/>
  <c r="O513" i="4"/>
  <c r="N513" i="4"/>
  <c r="O761" i="4"/>
  <c r="N761" i="4"/>
  <c r="M411" i="4"/>
  <c r="O411" i="4"/>
  <c r="N411" i="4"/>
  <c r="O506" i="4"/>
  <c r="N506" i="4"/>
  <c r="O605" i="4"/>
  <c r="N605" i="4"/>
  <c r="O270" i="4"/>
  <c r="N270" i="4"/>
  <c r="O917" i="4"/>
  <c r="N917" i="4"/>
  <c r="O89" i="4"/>
  <c r="N89" i="4"/>
  <c r="M434" i="4"/>
  <c r="O434" i="4"/>
  <c r="N434" i="4"/>
  <c r="O112" i="4"/>
  <c r="N112" i="4"/>
  <c r="M357" i="4"/>
  <c r="O357" i="4"/>
  <c r="N357" i="4"/>
  <c r="M677" i="4"/>
  <c r="O677" i="4"/>
  <c r="N677" i="4"/>
  <c r="M859" i="4"/>
  <c r="O859" i="4"/>
  <c r="N859" i="4"/>
  <c r="O642" i="4"/>
  <c r="N642" i="4"/>
  <c r="O533" i="4"/>
  <c r="N533" i="4"/>
  <c r="O849" i="4"/>
  <c r="N849" i="4"/>
  <c r="O139" i="4"/>
  <c r="N139" i="4"/>
  <c r="O150" i="4"/>
  <c r="N150" i="4"/>
  <c r="M1009" i="4"/>
  <c r="N1009" i="4"/>
  <c r="O1009" i="4"/>
  <c r="M376" i="4"/>
  <c r="O376" i="4"/>
  <c r="N376" i="4"/>
  <c r="O725" i="4"/>
  <c r="N725" i="4"/>
  <c r="O1013" i="4"/>
  <c r="N1013" i="4"/>
  <c r="O419" i="4"/>
  <c r="N419" i="4"/>
  <c r="O34" i="4"/>
  <c r="N34" i="4"/>
  <c r="O952" i="4"/>
  <c r="N952" i="4"/>
  <c r="O767" i="4"/>
  <c r="N767" i="4"/>
  <c r="O916" i="4"/>
  <c r="N916" i="4"/>
  <c r="O332" i="4"/>
  <c r="N332" i="4"/>
  <c r="O487" i="4"/>
  <c r="N487" i="4"/>
  <c r="M478" i="4"/>
  <c r="O478" i="4"/>
  <c r="N478" i="4"/>
  <c r="N1016" i="4"/>
  <c r="O1016" i="4"/>
  <c r="O68" i="4"/>
  <c r="N68" i="4"/>
  <c r="O475" i="4"/>
  <c r="N475" i="4"/>
  <c r="O735" i="4"/>
  <c r="N735" i="4"/>
  <c r="O266" i="4"/>
  <c r="N266" i="4"/>
  <c r="O771" i="4"/>
  <c r="N771" i="4"/>
  <c r="O885" i="4"/>
  <c r="N885" i="4"/>
  <c r="P885" i="4" s="1"/>
  <c r="O211" i="4"/>
  <c r="N211" i="4"/>
  <c r="O233" i="4"/>
  <c r="N233" i="4"/>
  <c r="O147" i="4"/>
  <c r="N147" i="4"/>
  <c r="O1012" i="4"/>
  <c r="N1012" i="4"/>
  <c r="O857" i="4"/>
  <c r="N857" i="4"/>
  <c r="O309" i="4"/>
  <c r="N309" i="4"/>
  <c r="O713" i="4"/>
  <c r="N713" i="4"/>
  <c r="O630" i="4"/>
  <c r="N630" i="4"/>
  <c r="O576" i="4"/>
  <c r="N576" i="4"/>
  <c r="O316" i="4"/>
  <c r="N316" i="4"/>
  <c r="O154" i="4"/>
  <c r="N154" i="4"/>
  <c r="O319" i="4"/>
  <c r="N319" i="4"/>
  <c r="O38" i="4"/>
  <c r="N38" i="4"/>
  <c r="O905" i="4"/>
  <c r="N905" i="4"/>
  <c r="O631" i="4"/>
  <c r="N631" i="4"/>
  <c r="O809" i="4"/>
  <c r="N809" i="4"/>
  <c r="O382" i="4"/>
  <c r="N382" i="4"/>
  <c r="O651" i="4"/>
  <c r="N651" i="4"/>
  <c r="M956" i="4"/>
  <c r="N956" i="4"/>
  <c r="O956" i="4"/>
  <c r="O223" i="4"/>
  <c r="N223" i="4"/>
  <c r="O253" i="4"/>
  <c r="N253" i="4"/>
  <c r="O303" i="4"/>
  <c r="N303" i="4"/>
  <c r="O595" i="4"/>
  <c r="N595" i="4"/>
  <c r="O847" i="4"/>
  <c r="N847" i="4"/>
  <c r="O56" i="4"/>
  <c r="N56" i="4"/>
  <c r="O667" i="4"/>
  <c r="N667" i="4"/>
  <c r="O899" i="4"/>
  <c r="N899" i="4"/>
  <c r="O356" i="4"/>
  <c r="N356" i="4"/>
  <c r="O1023" i="4"/>
  <c r="N1023" i="4"/>
  <c r="M107" i="4"/>
  <c r="O107" i="4"/>
  <c r="N107" i="4"/>
  <c r="O110" i="4"/>
  <c r="N110" i="4"/>
  <c r="O105" i="4"/>
  <c r="N105" i="4"/>
  <c r="M350" i="4"/>
  <c r="O350" i="4"/>
  <c r="N350" i="4"/>
  <c r="O39" i="4"/>
  <c r="N39" i="4"/>
  <c r="O415" i="4"/>
  <c r="N415" i="4"/>
  <c r="O488" i="4"/>
  <c r="N488" i="4"/>
  <c r="O225" i="4"/>
  <c r="N225" i="4"/>
  <c r="O122" i="4"/>
  <c r="N122" i="4"/>
  <c r="O953" i="4"/>
  <c r="N953" i="4"/>
  <c r="O322" i="4"/>
  <c r="N322" i="4"/>
  <c r="M118" i="4"/>
  <c r="O118" i="4"/>
  <c r="N118" i="4"/>
  <c r="O1004" i="4"/>
  <c r="N1004" i="4"/>
  <c r="O922" i="4"/>
  <c r="N922" i="4"/>
  <c r="O190" i="4"/>
  <c r="O90" i="4"/>
  <c r="N90" i="4"/>
  <c r="O1011" i="4"/>
  <c r="N1011" i="4"/>
  <c r="O985" i="4"/>
  <c r="N985" i="4"/>
  <c r="O347" i="4"/>
  <c r="N347" i="4"/>
  <c r="O326" i="4"/>
  <c r="N326" i="4"/>
  <c r="O402" i="4"/>
  <c r="N402" i="4"/>
  <c r="O179" i="4"/>
  <c r="N179" i="4"/>
  <c r="O869" i="4"/>
  <c r="N869" i="4"/>
  <c r="O359" i="4"/>
  <c r="N359" i="4"/>
  <c r="O971" i="4"/>
  <c r="N971" i="4"/>
  <c r="O289" i="4"/>
  <c r="N289" i="4"/>
  <c r="O314" i="4"/>
  <c r="N314" i="4"/>
  <c r="O811" i="4"/>
  <c r="N811" i="4"/>
  <c r="O627" i="4"/>
  <c r="N627" i="4"/>
  <c r="O246" i="4"/>
  <c r="N246" i="4"/>
  <c r="O255" i="4"/>
  <c r="N255" i="4"/>
  <c r="M333" i="4"/>
  <c r="O333" i="4"/>
  <c r="N333" i="4"/>
  <c r="O614" i="4"/>
  <c r="N614" i="4"/>
  <c r="O41" i="4"/>
  <c r="N41" i="4"/>
  <c r="O473" i="4"/>
  <c r="N473" i="4"/>
  <c r="O85" i="4"/>
  <c r="N85" i="4"/>
  <c r="O911" i="4"/>
  <c r="N911" i="4"/>
  <c r="O62" i="4"/>
  <c r="N62" i="4"/>
  <c r="O283" i="4"/>
  <c r="N283" i="4"/>
  <c r="O276" i="4"/>
  <c r="N276" i="4"/>
  <c r="O992" i="4"/>
  <c r="N992" i="4"/>
  <c r="O493" i="4"/>
  <c r="N493" i="4"/>
  <c r="M797" i="4"/>
  <c r="O797" i="4"/>
  <c r="N797" i="4"/>
  <c r="O648" i="4"/>
  <c r="N648" i="4"/>
  <c r="O65" i="4"/>
  <c r="N65" i="4"/>
  <c r="O696" i="4"/>
  <c r="N696" i="4"/>
  <c r="O191" i="4"/>
  <c r="N191" i="4"/>
  <c r="M622" i="4"/>
  <c r="O622" i="4"/>
  <c r="N622" i="4"/>
  <c r="M649" i="4"/>
  <c r="N649" i="4"/>
  <c r="O649" i="4"/>
  <c r="O469" i="4"/>
  <c r="N469" i="4"/>
  <c r="O617" i="4"/>
  <c r="N617" i="4"/>
  <c r="O362" i="4"/>
  <c r="N362" i="4"/>
  <c r="O743" i="4"/>
  <c r="N743" i="4"/>
  <c r="O400" i="4"/>
  <c r="N400" i="4"/>
  <c r="O311" i="4"/>
  <c r="N311" i="4"/>
  <c r="O130" i="4"/>
  <c r="N130" i="4"/>
  <c r="M524" i="4"/>
  <c r="O524" i="4"/>
  <c r="N524" i="4"/>
  <c r="O312" i="4"/>
  <c r="N312" i="4"/>
  <c r="O193" i="4"/>
  <c r="N193" i="4"/>
  <c r="M98" i="4"/>
  <c r="O98" i="4"/>
  <c r="N98" i="4"/>
  <c r="O449" i="4"/>
  <c r="N449" i="4"/>
  <c r="O789" i="4"/>
  <c r="N789" i="4"/>
  <c r="O423" i="4"/>
  <c r="N423" i="4"/>
  <c r="O50" i="4"/>
  <c r="N50" i="4"/>
  <c r="O242" i="4"/>
  <c r="N242" i="4"/>
  <c r="O389" i="4"/>
  <c r="N389" i="4"/>
  <c r="M58" i="4"/>
  <c r="O58" i="4"/>
  <c r="N58" i="4"/>
  <c r="O845" i="4"/>
  <c r="N845" i="4"/>
  <c r="O409" i="4"/>
  <c r="N409" i="4"/>
  <c r="O32" i="4"/>
  <c r="N32" i="4"/>
  <c r="O194" i="4"/>
  <c r="N194" i="4"/>
  <c r="O1022" i="4"/>
  <c r="N1022" i="4"/>
  <c r="O176" i="4"/>
  <c r="N176" i="4"/>
  <c r="O927" i="4"/>
  <c r="N927" i="4"/>
  <c r="O295" i="4"/>
  <c r="N295" i="4"/>
  <c r="M43" i="4"/>
  <c r="O43" i="4"/>
  <c r="N43" i="4"/>
  <c r="O1017" i="4"/>
  <c r="N1017" i="4"/>
  <c r="M560" i="4"/>
  <c r="O560" i="4"/>
  <c r="N560" i="4"/>
  <c r="O716" i="4"/>
  <c r="N716" i="4"/>
  <c r="M453" i="4"/>
  <c r="O453" i="4"/>
  <c r="N453" i="4"/>
  <c r="O843" i="4"/>
  <c r="N843" i="4"/>
  <c r="O914" i="4"/>
  <c r="N914" i="4"/>
  <c r="E427" i="4"/>
  <c r="G427" i="4"/>
  <c r="F427" i="4"/>
  <c r="E94" i="4"/>
  <c r="G94" i="4"/>
  <c r="F94" i="4"/>
  <c r="E584" i="4"/>
  <c r="G584" i="4"/>
  <c r="F584" i="4"/>
  <c r="E604" i="4"/>
  <c r="G604" i="4"/>
  <c r="H604" i="4" s="1"/>
  <c r="F604" i="4"/>
  <c r="E386" i="4"/>
  <c r="F386" i="4"/>
  <c r="G386" i="4"/>
  <c r="E822" i="4"/>
  <c r="G822" i="4"/>
  <c r="F822" i="4"/>
  <c r="E920" i="4"/>
  <c r="G920" i="4"/>
  <c r="F920" i="4"/>
  <c r="E161" i="4"/>
  <c r="G161" i="4"/>
  <c r="H161" i="4" s="1"/>
  <c r="F161" i="4"/>
  <c r="E348" i="4"/>
  <c r="G348" i="4"/>
  <c r="F348" i="4"/>
  <c r="E262" i="4"/>
  <c r="G262" i="4"/>
  <c r="F262" i="4"/>
  <c r="E409" i="4"/>
  <c r="G409" i="4"/>
  <c r="F409" i="4"/>
  <c r="E506" i="4"/>
  <c r="G506" i="4"/>
  <c r="H506" i="4" s="1"/>
  <c r="F506" i="4"/>
  <c r="E898" i="4"/>
  <c r="G898" i="4"/>
  <c r="F898" i="4"/>
  <c r="E519" i="4"/>
  <c r="G519" i="4"/>
  <c r="F519" i="4"/>
  <c r="E244" i="4"/>
  <c r="G244" i="4"/>
  <c r="F244" i="4"/>
  <c r="E674" i="4"/>
  <c r="G674" i="4"/>
  <c r="F674" i="4"/>
  <c r="E308" i="4"/>
  <c r="F308" i="4"/>
  <c r="G308" i="4"/>
  <c r="E396" i="4"/>
  <c r="G396" i="4"/>
  <c r="F396" i="4"/>
  <c r="E197" i="4"/>
  <c r="G197" i="4"/>
  <c r="F197" i="4"/>
  <c r="E195" i="4"/>
  <c r="G195" i="4"/>
  <c r="F195" i="4"/>
  <c r="E631" i="4"/>
  <c r="G631" i="4"/>
  <c r="F631" i="4"/>
  <c r="E801" i="4"/>
  <c r="G801" i="4"/>
  <c r="F801" i="4"/>
  <c r="E93" i="4"/>
  <c r="G93" i="4"/>
  <c r="F93" i="4"/>
  <c r="E39" i="4"/>
  <c r="G39" i="4"/>
  <c r="H39" i="4" s="1"/>
  <c r="F39" i="4"/>
  <c r="L399" i="4"/>
  <c r="E961" i="4"/>
  <c r="G961" i="4"/>
  <c r="F961" i="4"/>
  <c r="E145" i="4"/>
  <c r="G145" i="4"/>
  <c r="F145" i="4"/>
  <c r="E276" i="4"/>
  <c r="G276" i="4"/>
  <c r="F276" i="4"/>
  <c r="E453" i="4"/>
  <c r="H453" i="4" s="1"/>
  <c r="G453" i="4"/>
  <c r="F453" i="4"/>
  <c r="E709" i="4"/>
  <c r="G709" i="4"/>
  <c r="F709" i="4"/>
  <c r="E662" i="4"/>
  <c r="G662" i="4"/>
  <c r="F662" i="4"/>
  <c r="E167" i="4"/>
  <c r="G167" i="4"/>
  <c r="F167" i="4"/>
  <c r="E859" i="4"/>
  <c r="H859" i="4" s="1"/>
  <c r="G859" i="4"/>
  <c r="F859" i="4"/>
  <c r="E222" i="4"/>
  <c r="G222" i="4"/>
  <c r="F222" i="4"/>
  <c r="E686" i="4"/>
  <c r="G686" i="4"/>
  <c r="F686" i="4"/>
  <c r="E456" i="4"/>
  <c r="G456" i="4"/>
  <c r="F456" i="4"/>
  <c r="E201" i="4"/>
  <c r="G201" i="4"/>
  <c r="F201" i="4"/>
  <c r="E393" i="4"/>
  <c r="G393" i="4"/>
  <c r="F393" i="4"/>
  <c r="E745" i="4"/>
  <c r="G745" i="4"/>
  <c r="F745" i="4"/>
  <c r="E230" i="4"/>
  <c r="G230" i="4"/>
  <c r="F230" i="4"/>
  <c r="E380" i="4"/>
  <c r="H380" i="4" s="1"/>
  <c r="F380" i="4"/>
  <c r="G380" i="4"/>
  <c r="E756" i="4"/>
  <c r="G756" i="4"/>
  <c r="F756" i="4"/>
  <c r="E993" i="4"/>
  <c r="G993" i="4"/>
  <c r="F993" i="4"/>
  <c r="E928" i="4"/>
  <c r="G928" i="4"/>
  <c r="F928" i="4"/>
  <c r="E566" i="4"/>
  <c r="G566" i="4"/>
  <c r="F566" i="4"/>
  <c r="E835" i="4"/>
  <c r="G835" i="4"/>
  <c r="F835" i="4"/>
  <c r="E689" i="4"/>
  <c r="G689" i="4"/>
  <c r="F689" i="4"/>
  <c r="E628" i="4"/>
  <c r="G628" i="4"/>
  <c r="F628" i="4"/>
  <c r="E81" i="4"/>
  <c r="H81" i="4" s="1"/>
  <c r="G81" i="4"/>
  <c r="F81" i="4"/>
  <c r="E772" i="4"/>
  <c r="G772" i="4"/>
  <c r="F772" i="4"/>
  <c r="E216" i="4"/>
  <c r="G216" i="4"/>
  <c r="F216" i="4"/>
  <c r="E610" i="4"/>
  <c r="G610" i="4"/>
  <c r="F610" i="4"/>
  <c r="E226" i="4"/>
  <c r="H226" i="4" s="1"/>
  <c r="G226" i="4"/>
  <c r="F226" i="4"/>
  <c r="E115" i="4"/>
  <c r="G115" i="4"/>
  <c r="F115" i="4"/>
  <c r="E782" i="4"/>
  <c r="G782" i="4"/>
  <c r="F782" i="4"/>
  <c r="E627" i="4"/>
  <c r="G627" i="4"/>
  <c r="F627" i="4"/>
  <c r="E907" i="4"/>
  <c r="H907" i="4" s="1"/>
  <c r="G907" i="4"/>
  <c r="F907" i="4"/>
  <c r="E526" i="4"/>
  <c r="G526" i="4"/>
  <c r="F526" i="4"/>
  <c r="E637" i="4"/>
  <c r="G637" i="4"/>
  <c r="F637" i="4"/>
  <c r="E746" i="4"/>
  <c r="G746" i="4"/>
  <c r="F746" i="4"/>
  <c r="E594" i="4"/>
  <c r="H594" i="4" s="1"/>
  <c r="G594" i="4"/>
  <c r="F594" i="4"/>
  <c r="E633" i="4"/>
  <c r="G633" i="4"/>
  <c r="F633" i="4"/>
  <c r="E210" i="4"/>
  <c r="G210" i="4"/>
  <c r="F210" i="4"/>
  <c r="E841" i="4"/>
  <c r="G841" i="4"/>
  <c r="F841" i="4"/>
  <c r="E911" i="4"/>
  <c r="H911" i="4" s="1"/>
  <c r="G911" i="4"/>
  <c r="F911" i="4"/>
  <c r="E114" i="4"/>
  <c r="G114" i="4"/>
  <c r="F114" i="4"/>
  <c r="E632" i="4"/>
  <c r="G632" i="4"/>
  <c r="F632" i="4"/>
  <c r="E225" i="4"/>
  <c r="G225" i="4"/>
  <c r="F225" i="4"/>
  <c r="E101" i="4"/>
  <c r="H101" i="4" s="1"/>
  <c r="G101" i="4"/>
  <c r="F101" i="4"/>
  <c r="E618" i="4"/>
  <c r="G618" i="4"/>
  <c r="F618" i="4"/>
  <c r="E718" i="4"/>
  <c r="G718" i="4"/>
  <c r="F718" i="4"/>
  <c r="E948" i="4"/>
  <c r="G948" i="4"/>
  <c r="F948" i="4"/>
  <c r="E104" i="4"/>
  <c r="H104" i="4" s="1"/>
  <c r="G104" i="4"/>
  <c r="F104" i="4"/>
  <c r="E356" i="4"/>
  <c r="F356" i="4"/>
  <c r="G356" i="4"/>
  <c r="E283" i="4"/>
  <c r="G283" i="4"/>
  <c r="F283" i="4"/>
  <c r="E731" i="4"/>
  <c r="G731" i="4"/>
  <c r="F731" i="4"/>
  <c r="E73" i="4"/>
  <c r="H73" i="4" s="1"/>
  <c r="G73" i="4"/>
  <c r="F73" i="4"/>
  <c r="E534" i="4"/>
  <c r="G534" i="4"/>
  <c r="F534" i="4"/>
  <c r="E978" i="4"/>
  <c r="F978" i="4"/>
  <c r="G978" i="4"/>
  <c r="E934" i="4"/>
  <c r="G934" i="4"/>
  <c r="F934" i="4"/>
  <c r="E768" i="4"/>
  <c r="H768" i="4" s="1"/>
  <c r="G768" i="4"/>
  <c r="F768" i="4"/>
  <c r="E752" i="4"/>
  <c r="G752" i="4"/>
  <c r="F752" i="4"/>
  <c r="E749" i="4"/>
  <c r="G749" i="4"/>
  <c r="F749" i="4"/>
  <c r="E174" i="4"/>
  <c r="G174" i="4"/>
  <c r="F174" i="4"/>
  <c r="E463" i="4"/>
  <c r="H463" i="4" s="1"/>
  <c r="G463" i="4"/>
  <c r="F463" i="4"/>
  <c r="E467" i="4"/>
  <c r="G467" i="4"/>
  <c r="F467" i="4"/>
  <c r="E719" i="4"/>
  <c r="G719" i="4"/>
  <c r="F719" i="4"/>
  <c r="E994" i="4"/>
  <c r="G994" i="4"/>
  <c r="F994" i="4"/>
  <c r="E834" i="4"/>
  <c r="H834" i="4" s="1"/>
  <c r="G834" i="4"/>
  <c r="F834" i="4"/>
  <c r="E227" i="4"/>
  <c r="G227" i="4"/>
  <c r="F227" i="4"/>
  <c r="E955" i="4"/>
  <c r="G955" i="4"/>
  <c r="F955" i="4"/>
  <c r="E671" i="4"/>
  <c r="G671" i="4"/>
  <c r="F671" i="4"/>
  <c r="E581" i="4"/>
  <c r="H581" i="4" s="1"/>
  <c r="G581" i="4"/>
  <c r="F581" i="4"/>
  <c r="E296" i="4"/>
  <c r="G296" i="4"/>
  <c r="F296" i="4"/>
  <c r="E193" i="4"/>
  <c r="G193" i="4"/>
  <c r="F193" i="4"/>
  <c r="E478" i="4"/>
  <c r="G478" i="4"/>
  <c r="F478" i="4"/>
  <c r="E535" i="4"/>
  <c r="H535" i="4" s="1"/>
  <c r="F535" i="4"/>
  <c r="G535" i="4"/>
  <c r="E503" i="4"/>
  <c r="G503" i="4"/>
  <c r="F503" i="4"/>
  <c r="E649" i="4"/>
  <c r="G649" i="4"/>
  <c r="F649" i="4"/>
  <c r="E181" i="4"/>
  <c r="G181" i="4"/>
  <c r="F181" i="4"/>
  <c r="E527" i="4"/>
  <c r="H527" i="4" s="1"/>
  <c r="G527" i="4"/>
  <c r="F527" i="4"/>
  <c r="E271" i="4"/>
  <c r="G271" i="4"/>
  <c r="F271" i="4"/>
  <c r="E601" i="4"/>
  <c r="G601" i="4"/>
  <c r="F601" i="4"/>
  <c r="E811" i="4"/>
  <c r="G811" i="4"/>
  <c r="F811" i="4"/>
  <c r="E224" i="4"/>
  <c r="H224" i="4" s="1"/>
  <c r="G224" i="4"/>
  <c r="F224" i="4"/>
  <c r="E170" i="4"/>
  <c r="G170" i="4"/>
  <c r="F170" i="4"/>
  <c r="E397" i="4"/>
  <c r="G397" i="4"/>
  <c r="F397" i="4"/>
  <c r="E229" i="4"/>
  <c r="G229" i="4"/>
  <c r="F229" i="4"/>
  <c r="E998" i="4"/>
  <c r="H998" i="4" s="1"/>
  <c r="G998" i="4"/>
  <c r="F998" i="4"/>
  <c r="E960" i="4"/>
  <c r="G960" i="4"/>
  <c r="F960" i="4"/>
  <c r="H960" i="4" s="1"/>
  <c r="E977" i="4"/>
  <c r="F977" i="4"/>
  <c r="G977" i="4"/>
  <c r="E755" i="4"/>
  <c r="G755" i="4"/>
  <c r="F755" i="4"/>
  <c r="E291" i="4"/>
  <c r="H291" i="4" s="1"/>
  <c r="G291" i="4"/>
  <c r="F291" i="4"/>
  <c r="E681" i="4"/>
  <c r="G681" i="4"/>
  <c r="F681" i="4"/>
  <c r="E721" i="4"/>
  <c r="G721" i="4"/>
  <c r="F721" i="4"/>
  <c r="E143" i="4"/>
  <c r="G143" i="4"/>
  <c r="F143" i="4"/>
  <c r="E135" i="4"/>
  <c r="H135" i="4" s="1"/>
  <c r="G135" i="4"/>
  <c r="F135" i="4"/>
  <c r="E118" i="4"/>
  <c r="G118" i="4"/>
  <c r="F118" i="4"/>
  <c r="H118" i="4" s="1"/>
  <c r="E329" i="4"/>
  <c r="G329" i="4"/>
  <c r="F329" i="4"/>
  <c r="E964" i="4"/>
  <c r="G964" i="4"/>
  <c r="F964" i="4"/>
  <c r="E520" i="4"/>
  <c r="H520" i="4" s="1"/>
  <c r="G520" i="4"/>
  <c r="F520" i="4"/>
  <c r="E580" i="4"/>
  <c r="G580" i="4"/>
  <c r="F580" i="4"/>
  <c r="H580" i="4" s="1"/>
  <c r="E279" i="4"/>
  <c r="G279" i="4"/>
  <c r="F279" i="4"/>
  <c r="E727" i="4"/>
  <c r="G727" i="4"/>
  <c r="F727" i="4"/>
  <c r="E141" i="4"/>
  <c r="H141" i="4" s="1"/>
  <c r="G141" i="4"/>
  <c r="F141" i="4"/>
  <c r="E471" i="4"/>
  <c r="G471" i="4"/>
  <c r="F471" i="4"/>
  <c r="E885" i="4"/>
  <c r="G885" i="4"/>
  <c r="F885" i="4"/>
  <c r="E630" i="4"/>
  <c r="G630" i="4"/>
  <c r="F630" i="4"/>
  <c r="E536" i="4"/>
  <c r="H536" i="4" s="1"/>
  <c r="G536" i="4"/>
  <c r="F536" i="4"/>
  <c r="E245" i="4"/>
  <c r="G245" i="4"/>
  <c r="F245" i="4"/>
  <c r="E949" i="4"/>
  <c r="G949" i="4"/>
  <c r="F949" i="4"/>
  <c r="E219" i="4"/>
  <c r="G219" i="4"/>
  <c r="F219" i="4"/>
  <c r="E667" i="4"/>
  <c r="G667" i="4"/>
  <c r="F667" i="4"/>
  <c r="E825" i="4"/>
  <c r="G825" i="4"/>
  <c r="F825" i="4"/>
  <c r="E722" i="4"/>
  <c r="G722" i="4"/>
  <c r="F722" i="4"/>
  <c r="E474" i="4"/>
  <c r="F474" i="4"/>
  <c r="G474" i="4"/>
  <c r="E956" i="4"/>
  <c r="G956" i="4"/>
  <c r="F956" i="4"/>
  <c r="E660" i="4"/>
  <c r="G660" i="4"/>
  <c r="F660" i="4"/>
  <c r="E724" i="4"/>
  <c r="G724" i="4"/>
  <c r="F724" i="4"/>
  <c r="E612" i="4"/>
  <c r="G612" i="4"/>
  <c r="F612" i="4"/>
  <c r="E152" i="4"/>
  <c r="H152" i="4" s="1"/>
  <c r="G152" i="4"/>
  <c r="F152" i="4"/>
  <c r="E668" i="4"/>
  <c r="G668" i="4"/>
  <c r="F668" i="4"/>
  <c r="H668" i="4" s="1"/>
  <c r="E927" i="4"/>
  <c r="G927" i="4"/>
  <c r="F927" i="4"/>
  <c r="E65" i="4"/>
  <c r="G65" i="4"/>
  <c r="F65" i="4"/>
  <c r="E300" i="4"/>
  <c r="H300" i="4" s="1"/>
  <c r="G300" i="4"/>
  <c r="F300" i="4"/>
  <c r="E1001" i="4"/>
  <c r="G1001" i="4"/>
  <c r="F1001" i="4"/>
  <c r="E220" i="4"/>
  <c r="G220" i="4"/>
  <c r="F220" i="4"/>
  <c r="E42" i="4"/>
  <c r="G42" i="4"/>
  <c r="F42" i="4"/>
  <c r="E353" i="4"/>
  <c r="H353" i="4" s="1"/>
  <c r="G353" i="4"/>
  <c r="F353" i="4"/>
  <c r="E857" i="4"/>
  <c r="G857" i="4"/>
  <c r="F857" i="4"/>
  <c r="E169" i="4"/>
  <c r="G169" i="4"/>
  <c r="F169" i="4"/>
  <c r="E593" i="4"/>
  <c r="G593" i="4"/>
  <c r="F593" i="4"/>
  <c r="E895" i="4"/>
  <c r="H895" i="4" s="1"/>
  <c r="G895" i="4"/>
  <c r="F895" i="4"/>
  <c r="E958" i="4"/>
  <c r="G958" i="4"/>
  <c r="F958" i="4"/>
  <c r="H958" i="4" s="1"/>
  <c r="E260" i="4"/>
  <c r="G260" i="4"/>
  <c r="F260" i="4"/>
  <c r="E568" i="4"/>
  <c r="G568" i="4"/>
  <c r="F568" i="4"/>
  <c r="E967" i="4"/>
  <c r="H967" i="4" s="1"/>
  <c r="G967" i="4"/>
  <c r="F967" i="4"/>
  <c r="E550" i="4"/>
  <c r="G550" i="4"/>
  <c r="F550" i="4"/>
  <c r="H550" i="4" s="1"/>
  <c r="E148" i="4"/>
  <c r="G148" i="4"/>
  <c r="F148" i="4"/>
  <c r="E49" i="4"/>
  <c r="G49" i="4"/>
  <c r="F49" i="4"/>
  <c r="E938" i="4"/>
  <c r="H938" i="4" s="1"/>
  <c r="G938" i="4"/>
  <c r="F938" i="4"/>
  <c r="E126" i="4"/>
  <c r="G126" i="4"/>
  <c r="F126" i="4"/>
  <c r="H126" i="4" s="1"/>
  <c r="E669" i="4"/>
  <c r="G669" i="4"/>
  <c r="F669" i="4"/>
  <c r="E338" i="4"/>
  <c r="G338" i="4"/>
  <c r="F338" i="4"/>
  <c r="E616" i="4"/>
  <c r="H616" i="4" s="1"/>
  <c r="G616" i="4"/>
  <c r="F616" i="4"/>
  <c r="E403" i="4"/>
  <c r="G403" i="4"/>
  <c r="F403" i="4"/>
  <c r="E419" i="4"/>
  <c r="G419" i="4"/>
  <c r="F419" i="4"/>
  <c r="E797" i="4"/>
  <c r="G797" i="4"/>
  <c r="F797" i="4"/>
  <c r="E540" i="4"/>
  <c r="H540" i="4" s="1"/>
  <c r="G540" i="4"/>
  <c r="F540" i="4"/>
  <c r="E405" i="4"/>
  <c r="G405" i="4"/>
  <c r="F405" i="4"/>
  <c r="E130" i="4"/>
  <c r="G130" i="4"/>
  <c r="F130" i="4"/>
  <c r="E879" i="4"/>
  <c r="G879" i="4"/>
  <c r="F879" i="4"/>
  <c r="E591" i="4"/>
  <c r="H591" i="4" s="1"/>
  <c r="G591" i="4"/>
  <c r="F591" i="4"/>
  <c r="E641" i="4"/>
  <c r="G641" i="4"/>
  <c r="F641" i="4"/>
  <c r="E775" i="4"/>
  <c r="G775" i="4"/>
  <c r="F775" i="4"/>
  <c r="E635" i="4"/>
  <c r="G635" i="4"/>
  <c r="F635" i="4"/>
  <c r="E80" i="4"/>
  <c r="H80" i="4" s="1"/>
  <c r="G80" i="4"/>
  <c r="F80" i="4"/>
  <c r="E529" i="4"/>
  <c r="G529" i="4"/>
  <c r="F529" i="4"/>
  <c r="E202" i="4"/>
  <c r="G202" i="4"/>
  <c r="F202" i="4"/>
  <c r="E761" i="4"/>
  <c r="G761" i="4"/>
  <c r="F761" i="4"/>
  <c r="E728" i="4"/>
  <c r="H728" i="4" s="1"/>
  <c r="G728" i="4"/>
  <c r="F728" i="4"/>
  <c r="E298" i="4"/>
  <c r="G298" i="4"/>
  <c r="F298" i="4"/>
  <c r="H298" i="4" s="1"/>
  <c r="E111" i="4"/>
  <c r="G111" i="4"/>
  <c r="F111" i="4"/>
  <c r="E988" i="4"/>
  <c r="G988" i="4"/>
  <c r="F988" i="4"/>
  <c r="E176" i="4"/>
  <c r="H176" i="4" s="1"/>
  <c r="G176" i="4"/>
  <c r="F176" i="4"/>
  <c r="E112" i="4"/>
  <c r="G112" i="4"/>
  <c r="F112" i="4"/>
  <c r="E40" i="4"/>
  <c r="G40" i="4"/>
  <c r="F40" i="4"/>
  <c r="E505" i="4"/>
  <c r="G505" i="4"/>
  <c r="F505" i="4"/>
  <c r="E56" i="4"/>
  <c r="H56" i="4" s="1"/>
  <c r="G56" i="4"/>
  <c r="F56" i="4"/>
  <c r="E91" i="4"/>
  <c r="G91" i="4"/>
  <c r="F91" i="4"/>
  <c r="E850" i="4"/>
  <c r="G850" i="4"/>
  <c r="F850" i="4"/>
  <c r="E286" i="4"/>
  <c r="G286" i="4"/>
  <c r="F286" i="4"/>
  <c r="E788" i="4"/>
  <c r="H788" i="4" s="1"/>
  <c r="G788" i="4"/>
  <c r="F788" i="4"/>
  <c r="E337" i="4"/>
  <c r="G337" i="4"/>
  <c r="F337" i="4"/>
  <c r="H337" i="4" s="1"/>
  <c r="E973" i="4"/>
  <c r="G973" i="4"/>
  <c r="F973" i="4"/>
  <c r="E810" i="4"/>
  <c r="G810" i="4"/>
  <c r="F810" i="4"/>
  <c r="E97" i="4"/>
  <c r="H97" i="4" s="1"/>
  <c r="G97" i="4"/>
  <c r="F97" i="4"/>
  <c r="E107" i="4"/>
  <c r="G107" i="4"/>
  <c r="F107" i="4"/>
  <c r="H107" i="4" s="1"/>
  <c r="E672" i="4"/>
  <c r="G672" i="4"/>
  <c r="F672" i="4"/>
  <c r="E359" i="4"/>
  <c r="G359" i="4"/>
  <c r="F359" i="4"/>
  <c r="E192" i="4"/>
  <c r="H192" i="4" s="1"/>
  <c r="G192" i="4"/>
  <c r="F192" i="4"/>
  <c r="E377" i="4"/>
  <c r="G377" i="4"/>
  <c r="F377" i="4"/>
  <c r="E882" i="4"/>
  <c r="F882" i="4"/>
  <c r="G882" i="4"/>
  <c r="E342" i="4"/>
  <c r="G342" i="4"/>
  <c r="F342" i="4"/>
  <c r="E146" i="4"/>
  <c r="H146" i="4" s="1"/>
  <c r="G146" i="4"/>
  <c r="F146" i="4"/>
  <c r="E319" i="4"/>
  <c r="G319" i="4"/>
  <c r="F319" i="4"/>
  <c r="H319" i="4" s="1"/>
  <c r="E421" i="4"/>
  <c r="G421" i="4"/>
  <c r="F421" i="4"/>
  <c r="E432" i="4"/>
  <c r="G432" i="4"/>
  <c r="F432" i="4"/>
  <c r="E553" i="4"/>
  <c r="H553" i="4" s="1"/>
  <c r="G553" i="4"/>
  <c r="F553" i="4"/>
  <c r="E830" i="4"/>
  <c r="G830" i="4"/>
  <c r="F830" i="4"/>
  <c r="E684" i="4"/>
  <c r="G684" i="4"/>
  <c r="F684" i="4"/>
  <c r="E190" i="4"/>
  <c r="G190" i="4"/>
  <c r="F190" i="4"/>
  <c r="E1013" i="4"/>
  <c r="H1013" i="4" s="1"/>
  <c r="G1013" i="4"/>
  <c r="F1013" i="4"/>
  <c r="E1022" i="4"/>
  <c r="F1022" i="4"/>
  <c r="G1022" i="4"/>
  <c r="E747" i="4"/>
  <c r="G747" i="4"/>
  <c r="F747" i="4"/>
  <c r="E376" i="4"/>
  <c r="G376" i="4"/>
  <c r="F376" i="4"/>
  <c r="E275" i="4"/>
  <c r="H275" i="4" s="1"/>
  <c r="G275" i="4"/>
  <c r="F275" i="4"/>
  <c r="E154" i="4"/>
  <c r="G154" i="4"/>
  <c r="F154" i="4"/>
  <c r="E322" i="4"/>
  <c r="G322" i="4"/>
  <c r="F322" i="4"/>
  <c r="E793" i="4"/>
  <c r="G793" i="4"/>
  <c r="F793" i="4"/>
  <c r="E626" i="4"/>
  <c r="H626" i="4" s="1"/>
  <c r="G626" i="4"/>
  <c r="F626" i="4"/>
  <c r="E774" i="4"/>
  <c r="G774" i="4"/>
  <c r="F774" i="4"/>
  <c r="E680" i="4"/>
  <c r="G680" i="4"/>
  <c r="F680" i="4"/>
  <c r="E384" i="4"/>
  <c r="G384" i="4"/>
  <c r="F384" i="4"/>
  <c r="E315" i="4"/>
  <c r="G315" i="4"/>
  <c r="F315" i="4"/>
  <c r="E200" i="4"/>
  <c r="G200" i="4"/>
  <c r="F200" i="4"/>
  <c r="E919" i="4"/>
  <c r="G919" i="4"/>
  <c r="F919" i="4"/>
  <c r="E251" i="4"/>
  <c r="G251" i="4"/>
  <c r="F251" i="4"/>
  <c r="E555" i="4"/>
  <c r="H555" i="4" s="1"/>
  <c r="G555" i="4"/>
  <c r="F555" i="4"/>
  <c r="E678" i="4"/>
  <c r="G678" i="4"/>
  <c r="F678" i="4"/>
  <c r="H678" i="4" s="1"/>
  <c r="E264" i="4"/>
  <c r="G264" i="4"/>
  <c r="F264" i="4"/>
  <c r="E92" i="4"/>
  <c r="G92" i="4"/>
  <c r="F92" i="4"/>
  <c r="E592" i="4"/>
  <c r="H592" i="4" s="1"/>
  <c r="G592" i="4"/>
  <c r="F592" i="4"/>
  <c r="E923" i="4"/>
  <c r="G923" i="4"/>
  <c r="F923" i="4"/>
  <c r="E390" i="4"/>
  <c r="G390" i="4"/>
  <c r="F390" i="4"/>
  <c r="E872" i="4"/>
  <c r="G872" i="4"/>
  <c r="F872" i="4"/>
  <c r="E701" i="4"/>
  <c r="H701" i="4" s="1"/>
  <c r="G701" i="4"/>
  <c r="F701" i="4"/>
  <c r="E556" i="4"/>
  <c r="G556" i="4"/>
  <c r="F556" i="4"/>
  <c r="E102" i="4"/>
  <c r="G102" i="4"/>
  <c r="F102" i="4"/>
  <c r="E58" i="4"/>
  <c r="G58" i="4"/>
  <c r="F58" i="4"/>
  <c r="E464" i="4"/>
  <c r="H464" i="4" s="1"/>
  <c r="F464" i="4"/>
  <c r="G464" i="4"/>
  <c r="E310" i="4"/>
  <c r="G310" i="4"/>
  <c r="F310" i="4"/>
  <c r="E497" i="4"/>
  <c r="G497" i="4"/>
  <c r="F497" i="4"/>
  <c r="E590" i="4"/>
  <c r="G590" i="4"/>
  <c r="F590" i="4"/>
  <c r="E856" i="4"/>
  <c r="H856" i="4" s="1"/>
  <c r="G856" i="4"/>
  <c r="F856" i="4"/>
  <c r="E1019" i="4"/>
  <c r="G1019" i="4"/>
  <c r="F1019" i="4"/>
  <c r="E344" i="4"/>
  <c r="F344" i="4"/>
  <c r="G344" i="4"/>
  <c r="E208" i="4"/>
  <c r="G208" i="4"/>
  <c r="F208" i="4"/>
  <c r="E413" i="4"/>
  <c r="H413" i="4" s="1"/>
  <c r="G413" i="4"/>
  <c r="F413" i="4"/>
  <c r="E905" i="4"/>
  <c r="G905" i="4"/>
  <c r="F905" i="4"/>
  <c r="E355" i="4"/>
  <c r="G355" i="4"/>
  <c r="F355" i="4"/>
  <c r="E694" i="4"/>
  <c r="G694" i="4"/>
  <c r="F694" i="4"/>
  <c r="E326" i="4"/>
  <c r="H326" i="4" s="1"/>
  <c r="F326" i="4"/>
  <c r="G326" i="4"/>
  <c r="E100" i="4"/>
  <c r="G100" i="4"/>
  <c r="F100" i="4"/>
  <c r="H100" i="4" s="1"/>
  <c r="E459" i="4"/>
  <c r="G459" i="4"/>
  <c r="F459" i="4"/>
  <c r="E218" i="4"/>
  <c r="G218" i="4"/>
  <c r="F218" i="4"/>
  <c r="E237" i="4"/>
  <c r="H237" i="4" s="1"/>
  <c r="G237" i="4"/>
  <c r="F237" i="4"/>
  <c r="E166" i="4"/>
  <c r="G166" i="4"/>
  <c r="F166" i="4"/>
  <c r="E55" i="4"/>
  <c r="G55" i="4"/>
  <c r="F55" i="4"/>
  <c r="E715" i="4"/>
  <c r="G715" i="4"/>
  <c r="F715" i="4"/>
  <c r="E611" i="4"/>
  <c r="H611" i="4" s="1"/>
  <c r="G611" i="4"/>
  <c r="F611" i="4"/>
  <c r="E259" i="4"/>
  <c r="F259" i="4"/>
  <c r="G259" i="4"/>
  <c r="E759" i="4"/>
  <c r="G759" i="4"/>
  <c r="F759" i="4"/>
  <c r="E705" i="4"/>
  <c r="G705" i="4"/>
  <c r="F705" i="4"/>
  <c r="E362" i="4"/>
  <c r="H362" i="4" s="1"/>
  <c r="G362" i="4"/>
  <c r="F362" i="4"/>
  <c r="E530" i="4"/>
  <c r="G530" i="4"/>
  <c r="F530" i="4"/>
  <c r="H530" i="4" s="1"/>
  <c r="E831" i="4"/>
  <c r="G831" i="4"/>
  <c r="F831" i="4"/>
  <c r="E748" i="4"/>
  <c r="G748" i="4"/>
  <c r="F748" i="4"/>
  <c r="E404" i="4"/>
  <c r="H404" i="4" s="1"/>
  <c r="F404" i="4"/>
  <c r="G404" i="4"/>
  <c r="E311" i="4"/>
  <c r="G311" i="4"/>
  <c r="F311" i="4"/>
  <c r="H311" i="4" s="1"/>
  <c r="E480" i="4"/>
  <c r="G480" i="4"/>
  <c r="F480" i="4"/>
  <c r="E485" i="4"/>
  <c r="G485" i="4"/>
  <c r="F485" i="4"/>
  <c r="E156" i="4"/>
  <c r="H156" i="4" s="1"/>
  <c r="G156" i="4"/>
  <c r="F156" i="4"/>
  <c r="E125" i="4"/>
  <c r="G125" i="4"/>
  <c r="F125" i="4"/>
  <c r="E1016" i="4"/>
  <c r="G1016" i="4"/>
  <c r="F1016" i="4"/>
  <c r="E481" i="4"/>
  <c r="G481" i="4"/>
  <c r="F481" i="4"/>
  <c r="E82" i="4"/>
  <c r="H82" i="4" s="1"/>
  <c r="G82" i="4"/>
  <c r="F82" i="4"/>
  <c r="E44" i="4"/>
  <c r="G44" i="4"/>
  <c r="F44" i="4"/>
  <c r="E482" i="4"/>
  <c r="G482" i="4"/>
  <c r="F482" i="4"/>
  <c r="E119" i="4"/>
  <c r="G119" i="4"/>
  <c r="F119" i="4"/>
  <c r="E477" i="4"/>
  <c r="H477" i="4" s="1"/>
  <c r="G477" i="4"/>
  <c r="F477" i="4"/>
  <c r="E196" i="4"/>
  <c r="G196" i="4"/>
  <c r="F196" i="4"/>
  <c r="E796" i="4"/>
  <c r="G796" i="4"/>
  <c r="F796" i="4"/>
  <c r="E79" i="4"/>
  <c r="G79" i="4"/>
  <c r="F79" i="4"/>
  <c r="E144" i="4"/>
  <c r="H144" i="4" s="1"/>
  <c r="G144" i="4"/>
  <c r="F144" i="4"/>
  <c r="E29" i="4"/>
  <c r="G29" i="4"/>
  <c r="F29" i="4"/>
  <c r="H29" i="4" s="1"/>
  <c r="E188" i="4"/>
  <c r="G188" i="4"/>
  <c r="F188" i="4"/>
  <c r="E541" i="4"/>
  <c r="H541" i="4" s="1"/>
  <c r="G541" i="4"/>
  <c r="F541" i="4"/>
  <c r="E1023" i="4"/>
  <c r="H1023" i="4" s="1"/>
  <c r="G1023" i="4"/>
  <c r="F1023" i="4"/>
  <c r="E110" i="4"/>
  <c r="G110" i="4"/>
  <c r="F110" i="4"/>
  <c r="E516" i="4"/>
  <c r="G516" i="4"/>
  <c r="F516" i="4"/>
  <c r="E643" i="4"/>
  <c r="G643" i="4"/>
  <c r="F643" i="4"/>
  <c r="E863" i="4"/>
  <c r="H863" i="4" s="1"/>
  <c r="G863" i="4"/>
  <c r="F863" i="4"/>
  <c r="E285" i="4"/>
  <c r="G285" i="4"/>
  <c r="F285" i="4"/>
  <c r="E862" i="4"/>
  <c r="G862" i="4"/>
  <c r="F862" i="4"/>
  <c r="E658" i="4"/>
  <c r="G658" i="4"/>
  <c r="F658" i="4"/>
  <c r="E803" i="4"/>
  <c r="H803" i="4" s="1"/>
  <c r="G803" i="4"/>
  <c r="F803" i="4"/>
  <c r="E182" i="4"/>
  <c r="G182" i="4"/>
  <c r="F182" i="4"/>
  <c r="H182" i="4" s="1"/>
  <c r="E995" i="4"/>
  <c r="G995" i="4"/>
  <c r="F995" i="4"/>
  <c r="E47" i="4"/>
  <c r="G47" i="4"/>
  <c r="F47" i="4"/>
  <c r="E754" i="4"/>
  <c r="H754" i="4" s="1"/>
  <c r="G754" i="4"/>
  <c r="F754" i="4"/>
  <c r="E299" i="4"/>
  <c r="G299" i="4"/>
  <c r="F299" i="4"/>
  <c r="E708" i="4"/>
  <c r="G708" i="4"/>
  <c r="F708" i="4"/>
  <c r="E887" i="4"/>
  <c r="G887" i="4"/>
  <c r="F887" i="4"/>
  <c r="E1003" i="4"/>
  <c r="H1003" i="4" s="1"/>
  <c r="G1003" i="4"/>
  <c r="F1003" i="4"/>
  <c r="E799" i="4"/>
  <c r="G799" i="4"/>
  <c r="F799" i="4"/>
  <c r="H799" i="4" s="1"/>
  <c r="E806" i="4"/>
  <c r="G806" i="4"/>
  <c r="F806" i="4"/>
  <c r="E325" i="4"/>
  <c r="G325" i="4"/>
  <c r="F325" i="4"/>
  <c r="E472" i="4"/>
  <c r="H472" i="4" s="1"/>
  <c r="G472" i="4"/>
  <c r="F472" i="4"/>
  <c r="E571" i="4"/>
  <c r="G571" i="4"/>
  <c r="F571" i="4"/>
  <c r="E392" i="4"/>
  <c r="F392" i="4"/>
  <c r="G392" i="4"/>
  <c r="E36" i="4"/>
  <c r="G36" i="4"/>
  <c r="F36" i="4"/>
  <c r="E703" i="4"/>
  <c r="H703" i="4" s="1"/>
  <c r="G703" i="4"/>
  <c r="F703" i="4"/>
  <c r="E446" i="4"/>
  <c r="G446" i="4"/>
  <c r="F446" i="4"/>
  <c r="H446" i="4" s="1"/>
  <c r="E785" i="4"/>
  <c r="G785" i="4"/>
  <c r="F785" i="4"/>
  <c r="E867" i="4"/>
  <c r="G867" i="4"/>
  <c r="F867" i="4"/>
  <c r="E585" i="4"/>
  <c r="H585" i="4" s="1"/>
  <c r="G585" i="4"/>
  <c r="F585" i="4"/>
  <c r="E522" i="4"/>
  <c r="G522" i="4"/>
  <c r="F522" i="4"/>
  <c r="H522" i="4" s="1"/>
  <c r="E600" i="4"/>
  <c r="G600" i="4"/>
  <c r="F600" i="4"/>
  <c r="E767" i="4"/>
  <c r="G767" i="4"/>
  <c r="F767" i="4"/>
  <c r="E558" i="4"/>
  <c r="H558" i="4" s="1"/>
  <c r="G558" i="4"/>
  <c r="F558" i="4"/>
  <c r="E795" i="4"/>
  <c r="G795" i="4"/>
  <c r="F795" i="4"/>
  <c r="E963" i="4"/>
  <c r="G963" i="4"/>
  <c r="F963" i="4"/>
  <c r="E866" i="4"/>
  <c r="F866" i="4"/>
  <c r="G866" i="4"/>
  <c r="E426" i="4"/>
  <c r="H426" i="4" s="1"/>
  <c r="G426" i="4"/>
  <c r="F426" i="4"/>
  <c r="E332" i="4"/>
  <c r="G332" i="4"/>
  <c r="F332" i="4"/>
  <c r="H332" i="4" s="1"/>
  <c r="E179" i="4"/>
  <c r="G179" i="4"/>
  <c r="F179" i="4"/>
  <c r="E33" i="4"/>
  <c r="G33" i="4"/>
  <c r="F33" i="4"/>
  <c r="E855" i="4"/>
  <c r="H855" i="4" s="1"/>
  <c r="G855" i="4"/>
  <c r="F855" i="4"/>
  <c r="E918" i="4"/>
  <c r="G918" i="4"/>
  <c r="F918" i="4"/>
  <c r="E824" i="4"/>
  <c r="G824" i="4"/>
  <c r="F824" i="4"/>
  <c r="E640" i="4"/>
  <c r="G640" i="4"/>
  <c r="F640" i="4"/>
  <c r="E60" i="4"/>
  <c r="H60" i="4" s="1"/>
  <c r="G60" i="4"/>
  <c r="F60" i="4"/>
  <c r="E366" i="4"/>
  <c r="G366" i="4"/>
  <c r="F366" i="4"/>
  <c r="E263" i="4"/>
  <c r="G263" i="4"/>
  <c r="F263" i="4"/>
  <c r="E406" i="4"/>
  <c r="G406" i="4"/>
  <c r="F406" i="4"/>
  <c r="E48" i="4"/>
  <c r="H48" i="4" s="1"/>
  <c r="G48" i="4"/>
  <c r="F48" i="4"/>
  <c r="E870" i="4"/>
  <c r="G870" i="4"/>
  <c r="F870" i="4"/>
  <c r="H870" i="4" s="1"/>
  <c r="E465" i="4"/>
  <c r="G465" i="4"/>
  <c r="F465" i="4"/>
  <c r="E127" i="4"/>
  <c r="G127" i="4"/>
  <c r="F127" i="4"/>
  <c r="E134" i="4"/>
  <c r="H134" i="4" s="1"/>
  <c r="G134" i="4"/>
  <c r="F134" i="4"/>
  <c r="E460" i="4"/>
  <c r="G460" i="4"/>
  <c r="F460" i="4"/>
  <c r="H460" i="4" s="1"/>
  <c r="E582" i="4"/>
  <c r="G582" i="4"/>
  <c r="F582" i="4"/>
  <c r="E140" i="4"/>
  <c r="G140" i="4"/>
  <c r="F140" i="4"/>
  <c r="E1000" i="4"/>
  <c r="H1000" i="4" s="1"/>
  <c r="G1000" i="4"/>
  <c r="F1000" i="4"/>
  <c r="E833" i="4"/>
  <c r="G833" i="4"/>
  <c r="F833" i="4"/>
  <c r="H833" i="4" s="1"/>
  <c r="E420" i="4"/>
  <c r="G420" i="4"/>
  <c r="F420" i="4"/>
  <c r="E133" i="4"/>
  <c r="G133" i="4"/>
  <c r="F133" i="4"/>
  <c r="E716" i="4"/>
  <c r="H716" i="4" s="1"/>
  <c r="G716" i="4"/>
  <c r="F716" i="4"/>
  <c r="E455" i="4"/>
  <c r="G455" i="4"/>
  <c r="F455" i="4"/>
  <c r="H455" i="4" s="1"/>
  <c r="E554" i="4"/>
  <c r="G554" i="4"/>
  <c r="F554" i="4"/>
  <c r="E897" i="4"/>
  <c r="G897" i="4"/>
  <c r="F897" i="4"/>
  <c r="E792" i="4"/>
  <c r="G792" i="4"/>
  <c r="F792" i="4"/>
  <c r="E698" i="4"/>
  <c r="G698" i="4"/>
  <c r="F698" i="4"/>
  <c r="H698" i="4" s="1"/>
  <c r="E572" i="4"/>
  <c r="G572" i="4"/>
  <c r="F572" i="4"/>
  <c r="E371" i="4"/>
  <c r="G371" i="4"/>
  <c r="F371" i="4"/>
  <c r="E877" i="4"/>
  <c r="H877" i="4" s="1"/>
  <c r="G877" i="4"/>
  <c r="F877" i="4"/>
  <c r="E1010" i="4"/>
  <c r="F1010" i="4"/>
  <c r="G1010" i="4"/>
  <c r="E595" i="4"/>
  <c r="G595" i="4"/>
  <c r="F595" i="4"/>
  <c r="E838" i="4"/>
  <c r="G838" i="4"/>
  <c r="F838" i="4"/>
  <c r="E470" i="4"/>
  <c r="H470" i="4" s="1"/>
  <c r="G470" i="4"/>
  <c r="F470" i="4"/>
  <c r="E57" i="4"/>
  <c r="G57" i="4"/>
  <c r="F57" i="4"/>
  <c r="H57" i="4" s="1"/>
  <c r="E578" i="4"/>
  <c r="G578" i="4"/>
  <c r="F578" i="4"/>
  <c r="E247" i="4"/>
  <c r="G247" i="4"/>
  <c r="F247" i="4"/>
  <c r="E502" i="4"/>
  <c r="H502" i="4" s="1"/>
  <c r="G502" i="4"/>
  <c r="F502" i="4"/>
  <c r="E389" i="4"/>
  <c r="G389" i="4"/>
  <c r="F389" i="4"/>
  <c r="H389" i="4" s="1"/>
  <c r="E929" i="4"/>
  <c r="G929" i="4"/>
  <c r="F929" i="4"/>
  <c r="E320" i="4"/>
  <c r="F320" i="4"/>
  <c r="G320" i="4"/>
  <c r="E253" i="4"/>
  <c r="H253" i="4" s="1"/>
  <c r="G253" i="4"/>
  <c r="F253" i="4"/>
  <c r="E853" i="4"/>
  <c r="G853" i="4"/>
  <c r="F853" i="4"/>
  <c r="E278" i="4"/>
  <c r="G278" i="4"/>
  <c r="F278" i="4"/>
  <c r="E295" i="4"/>
  <c r="G295" i="4"/>
  <c r="F295" i="4"/>
  <c r="E214" i="4"/>
  <c r="H214" i="4" s="1"/>
  <c r="G214" i="4"/>
  <c r="F214" i="4"/>
  <c r="E72" i="4"/>
  <c r="G72" i="4"/>
  <c r="F72" i="4"/>
  <c r="H72" i="4" s="1"/>
  <c r="E122" i="4"/>
  <c r="G122" i="4"/>
  <c r="F122" i="4"/>
  <c r="E844" i="4"/>
  <c r="G844" i="4"/>
  <c r="F844" i="4"/>
  <c r="E692" i="4"/>
  <c r="H692" i="4" s="1"/>
  <c r="G692" i="4"/>
  <c r="F692" i="4"/>
  <c r="E270" i="4"/>
  <c r="G270" i="4"/>
  <c r="F270" i="4"/>
  <c r="H270" i="4" s="1"/>
  <c r="E46" i="4"/>
  <c r="G46" i="4"/>
  <c r="F46" i="4"/>
  <c r="E673" i="4"/>
  <c r="G673" i="4"/>
  <c r="F673" i="4"/>
  <c r="E347" i="4"/>
  <c r="H347" i="4" s="1"/>
  <c r="G347" i="4"/>
  <c r="F347" i="4"/>
  <c r="E180" i="4"/>
  <c r="G180" i="4"/>
  <c r="F180" i="4"/>
  <c r="H180" i="4" s="1"/>
  <c r="E441" i="4"/>
  <c r="G441" i="4"/>
  <c r="F441" i="4"/>
  <c r="E178" i="4"/>
  <c r="G178" i="4"/>
  <c r="F178" i="4"/>
  <c r="E818" i="4"/>
  <c r="H818" i="4" s="1"/>
  <c r="F818" i="4"/>
  <c r="G818" i="4"/>
  <c r="E339" i="4"/>
  <c r="G339" i="4"/>
  <c r="F339" i="4"/>
  <c r="H339" i="4" s="1"/>
  <c r="E916" i="4"/>
  <c r="G916" i="4"/>
  <c r="F916" i="4"/>
  <c r="E408" i="4"/>
  <c r="G408" i="4"/>
  <c r="F408" i="4"/>
  <c r="E777" i="4"/>
  <c r="H777" i="4" s="1"/>
  <c r="G777" i="4"/>
  <c r="F777" i="4"/>
  <c r="E410" i="4"/>
  <c r="F410" i="4"/>
  <c r="G410" i="4"/>
  <c r="H410" i="4" s="1"/>
  <c r="E399" i="4"/>
  <c r="G399" i="4"/>
  <c r="F399" i="4"/>
  <c r="E41" i="4"/>
  <c r="G41" i="4"/>
  <c r="F41" i="4"/>
  <c r="E341" i="4"/>
  <c r="H341" i="4" s="1"/>
  <c r="G341" i="4"/>
  <c r="F341" i="4"/>
  <c r="E912" i="4"/>
  <c r="G912" i="4"/>
  <c r="F912" i="4"/>
  <c r="E525" i="4"/>
  <c r="G525" i="4"/>
  <c r="F525" i="4"/>
  <c r="E241" i="4"/>
  <c r="G241" i="4"/>
  <c r="F241" i="4"/>
  <c r="E757" i="4"/>
  <c r="H757" i="4" s="1"/>
  <c r="G757" i="4"/>
  <c r="F757" i="4"/>
  <c r="E248" i="4"/>
  <c r="G248" i="4"/>
  <c r="F248" i="4"/>
  <c r="E735" i="4"/>
  <c r="G735" i="4"/>
  <c r="F735" i="4"/>
  <c r="E142" i="4"/>
  <c r="G142" i="4"/>
  <c r="F142" i="4"/>
  <c r="E648" i="4"/>
  <c r="H648" i="4" s="1"/>
  <c r="G648" i="4"/>
  <c r="F648" i="4"/>
  <c r="E900" i="4"/>
  <c r="G900" i="4"/>
  <c r="F900" i="4"/>
  <c r="H900" i="4" s="1"/>
  <c r="E331" i="4"/>
  <c r="G331" i="4"/>
  <c r="F331" i="4"/>
  <c r="E868" i="4"/>
  <c r="G868" i="4"/>
  <c r="F868" i="4"/>
  <c r="E109" i="4"/>
  <c r="H109" i="4" s="1"/>
  <c r="G109" i="4"/>
  <c r="F109" i="4"/>
  <c r="E969" i="4"/>
  <c r="G969" i="4"/>
  <c r="F969" i="4"/>
  <c r="H969" i="4" s="1"/>
  <c r="E976" i="4"/>
  <c r="G976" i="4"/>
  <c r="F976" i="4"/>
  <c r="E816" i="4"/>
  <c r="G816" i="4"/>
  <c r="F816" i="4"/>
  <c r="E293" i="4"/>
  <c r="H293" i="4" s="1"/>
  <c r="G293" i="4"/>
  <c r="F293" i="4"/>
  <c r="E1009" i="4"/>
  <c r="G1009" i="4"/>
  <c r="F1009" i="4"/>
  <c r="E873" i="4"/>
  <c r="G873" i="4"/>
  <c r="F873" i="4"/>
  <c r="E83" i="4"/>
  <c r="G83" i="4"/>
  <c r="F83" i="4"/>
  <c r="E904" i="4"/>
  <c r="H904" i="4" s="1"/>
  <c r="G904" i="4"/>
  <c r="F904" i="4"/>
  <c r="E598" i="4"/>
  <c r="G598" i="4"/>
  <c r="F598" i="4"/>
  <c r="H598" i="4" s="1"/>
  <c r="E336" i="4"/>
  <c r="G336" i="4"/>
  <c r="F336" i="4"/>
  <c r="E117" i="4"/>
  <c r="G117" i="4"/>
  <c r="F117" i="4"/>
  <c r="E741" i="4"/>
  <c r="H741" i="4" s="1"/>
  <c r="G741" i="4"/>
  <c r="F741" i="4"/>
  <c r="E839" i="4"/>
  <c r="G839" i="4"/>
  <c r="F839" i="4"/>
  <c r="E266" i="4"/>
  <c r="G266" i="4"/>
  <c r="F266" i="4"/>
  <c r="E807" i="4"/>
  <c r="G807" i="4"/>
  <c r="F807" i="4"/>
  <c r="E388" i="4"/>
  <c r="G388" i="4"/>
  <c r="F388" i="4"/>
  <c r="E488" i="4"/>
  <c r="G488" i="4"/>
  <c r="F488" i="4"/>
  <c r="E821" i="4"/>
  <c r="G821" i="4"/>
  <c r="F821" i="4"/>
  <c r="E45" i="4"/>
  <c r="G45" i="4"/>
  <c r="F45" i="4"/>
  <c r="E38" i="4"/>
  <c r="H38" i="4" s="1"/>
  <c r="G38" i="4"/>
  <c r="F38" i="4"/>
  <c r="E984" i="4"/>
  <c r="G984" i="4"/>
  <c r="F984" i="4"/>
  <c r="H984" i="4" s="1"/>
  <c r="E915" i="4"/>
  <c r="G915" i="4"/>
  <c r="F915" i="4"/>
  <c r="E980" i="4"/>
  <c r="G980" i="4"/>
  <c r="F980" i="4"/>
  <c r="E458" i="4"/>
  <c r="H458" i="4" s="1"/>
  <c r="G458" i="4"/>
  <c r="F458" i="4"/>
  <c r="E443" i="4"/>
  <c r="G443" i="4"/>
  <c r="F443" i="4"/>
  <c r="H443" i="4" s="1"/>
  <c r="E925" i="4"/>
  <c r="G925" i="4"/>
  <c r="F925" i="4"/>
  <c r="E428" i="4"/>
  <c r="F428" i="4"/>
  <c r="G428" i="4"/>
  <c r="E304" i="4"/>
  <c r="H304" i="4" s="1"/>
  <c r="G304" i="4"/>
  <c r="F304" i="4"/>
  <c r="E740" i="4"/>
  <c r="G740" i="4"/>
  <c r="F740" i="4"/>
  <c r="E211" i="4"/>
  <c r="G211" i="4"/>
  <c r="F211" i="4"/>
  <c r="E372" i="4"/>
  <c r="G372" i="4"/>
  <c r="F372" i="4"/>
  <c r="E498" i="4"/>
  <c r="H498" i="4" s="1"/>
  <c r="G498" i="4"/>
  <c r="F498" i="4"/>
  <c r="E935" i="4"/>
  <c r="G935" i="4"/>
  <c r="F935" i="4"/>
  <c r="H935" i="4" s="1"/>
  <c r="E492" i="4"/>
  <c r="G492" i="4"/>
  <c r="F492" i="4"/>
  <c r="E629" i="4"/>
  <c r="H629" i="4" s="1"/>
  <c r="G629" i="4"/>
  <c r="F629" i="4"/>
  <c r="E974" i="4"/>
  <c r="H974" i="4" s="1"/>
  <c r="F974" i="4"/>
  <c r="G974" i="4"/>
  <c r="E570" i="4"/>
  <c r="G570" i="4"/>
  <c r="F570" i="4"/>
  <c r="H570" i="4" s="1"/>
  <c r="E476" i="4"/>
  <c r="G476" i="4"/>
  <c r="F476" i="4"/>
  <c r="E914" i="4"/>
  <c r="F914" i="4"/>
  <c r="G914" i="4"/>
  <c r="E723" i="4"/>
  <c r="H723" i="4" s="1"/>
  <c r="G723" i="4"/>
  <c r="F723" i="4"/>
  <c r="E34" i="4"/>
  <c r="G34" i="4"/>
  <c r="F34" i="4"/>
  <c r="E62" i="4"/>
  <c r="G62" i="4"/>
  <c r="F62" i="4"/>
  <c r="E968" i="4"/>
  <c r="G968" i="4"/>
  <c r="F968" i="4"/>
  <c r="E997" i="4"/>
  <c r="G997" i="4"/>
  <c r="F997" i="4"/>
  <c r="E59" i="4"/>
  <c r="G59" i="4"/>
  <c r="F59" i="4"/>
  <c r="E510" i="4"/>
  <c r="G510" i="4"/>
  <c r="F510" i="4"/>
  <c r="E416" i="4"/>
  <c r="F416" i="4"/>
  <c r="G416" i="4"/>
  <c r="E986" i="4"/>
  <c r="H986" i="4" s="1"/>
  <c r="G986" i="4"/>
  <c r="F986" i="4"/>
  <c r="E99" i="4"/>
  <c r="G99" i="4"/>
  <c r="F99" i="4"/>
  <c r="H99" i="4" s="1"/>
  <c r="E50" i="4"/>
  <c r="G50" i="4"/>
  <c r="F50" i="4"/>
  <c r="E645" i="4"/>
  <c r="G645" i="4"/>
  <c r="F645" i="4"/>
  <c r="E569" i="4"/>
  <c r="H569" i="4" s="1"/>
  <c r="G569" i="4"/>
  <c r="F569" i="4"/>
  <c r="E314" i="4"/>
  <c r="G314" i="4"/>
  <c r="F314" i="4"/>
  <c r="H314" i="4" s="1"/>
  <c r="E770" i="4"/>
  <c r="G770" i="4"/>
  <c r="F770" i="4"/>
  <c r="E762" i="4"/>
  <c r="H762" i="4" s="1"/>
  <c r="G762" i="4"/>
  <c r="F762" i="4"/>
  <c r="E357" i="4"/>
  <c r="H357" i="4" s="1"/>
  <c r="G357" i="4"/>
  <c r="F357" i="4"/>
  <c r="E783" i="4"/>
  <c r="G783" i="4"/>
  <c r="F783" i="4"/>
  <c r="E508" i="4"/>
  <c r="G508" i="4"/>
  <c r="F508" i="4"/>
  <c r="E76" i="4"/>
  <c r="G76" i="4"/>
  <c r="F76" i="4"/>
  <c r="E290" i="4"/>
  <c r="H290" i="4" s="1"/>
  <c r="G290" i="4"/>
  <c r="F290" i="4"/>
  <c r="E932" i="4"/>
  <c r="G932" i="4"/>
  <c r="F932" i="4"/>
  <c r="H932" i="4" s="1"/>
  <c r="E599" i="4"/>
  <c r="G599" i="4"/>
  <c r="F599" i="4"/>
  <c r="E63" i="4"/>
  <c r="G63" i="4"/>
  <c r="F63" i="4"/>
  <c r="E639" i="4"/>
  <c r="H639" i="4" s="1"/>
  <c r="G639" i="4"/>
  <c r="F639" i="4"/>
  <c r="E687" i="4"/>
  <c r="G687" i="4"/>
  <c r="F687" i="4"/>
  <c r="H687" i="4" s="1"/>
  <c r="E158" i="4"/>
  <c r="G158" i="4"/>
  <c r="F158" i="4"/>
  <c r="E800" i="4"/>
  <c r="H800" i="4" s="1"/>
  <c r="G800" i="4"/>
  <c r="F800" i="4"/>
  <c r="E515" i="4"/>
  <c r="H515" i="4" s="1"/>
  <c r="G515" i="4"/>
  <c r="F515" i="4"/>
  <c r="E638" i="4"/>
  <c r="F638" i="4"/>
  <c r="G638" i="4"/>
  <c r="H638" i="4" s="1"/>
  <c r="E504" i="4"/>
  <c r="G504" i="4"/>
  <c r="F504" i="4"/>
  <c r="E979" i="4"/>
  <c r="G979" i="4"/>
  <c r="F979" i="4"/>
  <c r="E982" i="4"/>
  <c r="H982" i="4" s="1"/>
  <c r="G982" i="4"/>
  <c r="F982" i="4"/>
  <c r="E288" i="4"/>
  <c r="G288" i="4"/>
  <c r="F288" i="4"/>
  <c r="H288" i="4" s="1"/>
  <c r="E951" i="4"/>
  <c r="G951" i="4"/>
  <c r="F951" i="4"/>
  <c r="H951" i="4" s="1"/>
  <c r="E496" i="4"/>
  <c r="G496" i="4"/>
  <c r="F496" i="4"/>
  <c r="E606" i="4"/>
  <c r="H606" i="4" s="1"/>
  <c r="G606" i="4"/>
  <c r="F606" i="4"/>
  <c r="E706" i="4"/>
  <c r="G706" i="4"/>
  <c r="F706" i="4"/>
  <c r="H706" i="4" s="1"/>
  <c r="E66" i="4"/>
  <c r="G66" i="4"/>
  <c r="F66" i="4"/>
  <c r="E32" i="4"/>
  <c r="G32" i="4"/>
  <c r="F32" i="4"/>
  <c r="E644" i="4"/>
  <c r="H644" i="4" s="1"/>
  <c r="G644" i="4"/>
  <c r="F644" i="4"/>
  <c r="E240" i="4"/>
  <c r="G240" i="4"/>
  <c r="F240" i="4"/>
  <c r="H240" i="4" s="1"/>
  <c r="E1012" i="4"/>
  <c r="G1012" i="4"/>
  <c r="F1012" i="4"/>
  <c r="E305" i="4"/>
  <c r="G305" i="4"/>
  <c r="F305" i="4"/>
  <c r="E538" i="4"/>
  <c r="H538" i="4" s="1"/>
  <c r="G538" i="4"/>
  <c r="F538" i="4"/>
  <c r="E425" i="4"/>
  <c r="G425" i="4"/>
  <c r="F425" i="4"/>
  <c r="H425" i="4" s="1"/>
  <c r="E438" i="4"/>
  <c r="G438" i="4"/>
  <c r="F438" i="4"/>
  <c r="E573" i="4"/>
  <c r="G573" i="4"/>
  <c r="F573" i="4"/>
  <c r="E939" i="4"/>
  <c r="H939" i="4" s="1"/>
  <c r="G939" i="4"/>
  <c r="F939" i="4"/>
  <c r="E1004" i="4"/>
  <c r="G1004" i="4"/>
  <c r="F1004" i="4"/>
  <c r="H1004" i="4" s="1"/>
  <c r="E469" i="4"/>
  <c r="G469" i="4"/>
  <c r="F469" i="4"/>
  <c r="E95" i="4"/>
  <c r="H95" i="4" s="1"/>
  <c r="G95" i="4"/>
  <c r="F95" i="4"/>
  <c r="E808" i="4"/>
  <c r="H808" i="4" s="1"/>
  <c r="G808" i="4"/>
  <c r="F808" i="4"/>
  <c r="E565" i="4"/>
  <c r="G565" i="4"/>
  <c r="F565" i="4"/>
  <c r="E650" i="4"/>
  <c r="G650" i="4"/>
  <c r="F650" i="4"/>
  <c r="E765" i="4"/>
  <c r="G765" i="4"/>
  <c r="F765" i="4"/>
  <c r="E398" i="4"/>
  <c r="H398" i="4" s="1"/>
  <c r="G398" i="4"/>
  <c r="F398" i="4"/>
  <c r="E447" i="4"/>
  <c r="G447" i="4"/>
  <c r="F447" i="4"/>
  <c r="H447" i="4" s="1"/>
  <c r="E861" i="4"/>
  <c r="G861" i="4"/>
  <c r="F861" i="4"/>
  <c r="E864" i="4"/>
  <c r="G864" i="4"/>
  <c r="F864" i="4"/>
  <c r="E171" i="4"/>
  <c r="H171" i="4" s="1"/>
  <c r="G171" i="4"/>
  <c r="F171" i="4"/>
  <c r="E370" i="4"/>
  <c r="G370" i="4"/>
  <c r="F370" i="4"/>
  <c r="H370" i="4" s="1"/>
  <c r="E274" i="4"/>
  <c r="G274" i="4"/>
  <c r="F274" i="4"/>
  <c r="E116" i="4"/>
  <c r="G116" i="4"/>
  <c r="F116" i="4"/>
  <c r="E812" i="4"/>
  <c r="G812" i="4"/>
  <c r="F812" i="4"/>
  <c r="E531" i="4"/>
  <c r="G531" i="4"/>
  <c r="F531" i="4"/>
  <c r="H531" i="4" s="1"/>
  <c r="E272" i="4"/>
  <c r="G272" i="4"/>
  <c r="F272" i="4"/>
  <c r="E813" i="4"/>
  <c r="G813" i="4"/>
  <c r="F813" i="4"/>
  <c r="E434" i="4"/>
  <c r="H434" i="4" s="1"/>
  <c r="F434" i="4"/>
  <c r="G434" i="4"/>
  <c r="E164" i="4"/>
  <c r="G164" i="4"/>
  <c r="F164" i="4"/>
  <c r="H164" i="4" s="1"/>
  <c r="E559" i="4"/>
  <c r="G559" i="4"/>
  <c r="F559" i="4"/>
  <c r="E965" i="4"/>
  <c r="G965" i="4"/>
  <c r="F965" i="4"/>
  <c r="E589" i="4"/>
  <c r="H589" i="4" s="1"/>
  <c r="G589" i="4"/>
  <c r="F589" i="4"/>
  <c r="E495" i="4"/>
  <c r="G495" i="4"/>
  <c r="F495" i="4"/>
  <c r="H495" i="4" s="1"/>
  <c r="E321" i="4"/>
  <c r="G321" i="4"/>
  <c r="F321" i="4"/>
  <c r="E103" i="4"/>
  <c r="G103" i="4"/>
  <c r="F103" i="4"/>
  <c r="E682" i="4"/>
  <c r="H682" i="4" s="1"/>
  <c r="G682" i="4"/>
  <c r="F682" i="4"/>
  <c r="E367" i="4"/>
  <c r="G367" i="4"/>
  <c r="F367" i="4"/>
  <c r="E892" i="4"/>
  <c r="G892" i="4"/>
  <c r="F892" i="4"/>
  <c r="E528" i="4"/>
  <c r="G528" i="4"/>
  <c r="F528" i="4"/>
  <c r="E652" i="4"/>
  <c r="H652" i="4" s="1"/>
  <c r="G652" i="4"/>
  <c r="F652" i="4"/>
  <c r="E147" i="4"/>
  <c r="G147" i="4"/>
  <c r="F147" i="4"/>
  <c r="H147" i="4" s="1"/>
  <c r="E953" i="4"/>
  <c r="G953" i="4"/>
  <c r="F953" i="4"/>
  <c r="E613" i="4"/>
  <c r="G613" i="4"/>
  <c r="F613" i="4"/>
  <c r="E491" i="4"/>
  <c r="H491" i="4" s="1"/>
  <c r="G491" i="4"/>
  <c r="F491" i="4"/>
  <c r="E596" i="4"/>
  <c r="G596" i="4"/>
  <c r="F596" i="4"/>
  <c r="M991" i="4"/>
  <c r="E771" i="4"/>
  <c r="G771" i="4"/>
  <c r="F771" i="4"/>
  <c r="E794" i="4"/>
  <c r="G794" i="4"/>
  <c r="F794" i="4"/>
  <c r="H794" i="4" s="1"/>
  <c r="E743" i="4"/>
  <c r="G743" i="4"/>
  <c r="F743" i="4"/>
  <c r="E714" i="4"/>
  <c r="G714" i="4"/>
  <c r="F714" i="4"/>
  <c r="E620" i="4"/>
  <c r="G620" i="4"/>
  <c r="F620" i="4"/>
  <c r="E588" i="4"/>
  <c r="G588" i="4"/>
  <c r="F588" i="4"/>
  <c r="H588" i="4" s="1"/>
  <c r="E287" i="4"/>
  <c r="G287" i="4"/>
  <c r="F287" i="4"/>
  <c r="E881" i="4"/>
  <c r="G881" i="4"/>
  <c r="H881" i="4" s="1"/>
  <c r="F881" i="4"/>
  <c r="E847" i="4"/>
  <c r="G847" i="4"/>
  <c r="F847" i="4"/>
  <c r="E203" i="4"/>
  <c r="G203" i="4"/>
  <c r="F203" i="4"/>
  <c r="H203" i="4" s="1"/>
  <c r="E375" i="4"/>
  <c r="G375" i="4"/>
  <c r="F375" i="4"/>
  <c r="E843" i="4"/>
  <c r="G843" i="4"/>
  <c r="F843" i="4"/>
  <c r="E654" i="4"/>
  <c r="G654" i="4"/>
  <c r="F654" i="4"/>
  <c r="E560" i="4"/>
  <c r="G560" i="4"/>
  <c r="F560" i="4"/>
  <c r="H560" i="4" s="1"/>
  <c r="E328" i="4"/>
  <c r="G328" i="4"/>
  <c r="F328" i="4"/>
  <c r="E804" i="4"/>
  <c r="G804" i="4"/>
  <c r="H804" i="4" s="1"/>
  <c r="F804" i="4"/>
  <c r="E931" i="4"/>
  <c r="G931" i="4"/>
  <c r="F931" i="4"/>
  <c r="E849" i="4"/>
  <c r="G849" i="4"/>
  <c r="F849" i="4"/>
  <c r="H849" i="4" s="1"/>
  <c r="E815" i="4"/>
  <c r="G815" i="4"/>
  <c r="F815" i="4"/>
  <c r="E137" i="4"/>
  <c r="G137" i="4"/>
  <c r="H137" i="4" s="1"/>
  <c r="F137" i="4"/>
  <c r="E975" i="4"/>
  <c r="G975" i="4"/>
  <c r="F975" i="4"/>
  <c r="H975" i="4" s="1"/>
  <c r="E966" i="4"/>
  <c r="G966" i="4"/>
  <c r="F966" i="4"/>
  <c r="H966" i="4" s="1"/>
  <c r="E561" i="4"/>
  <c r="G561" i="4"/>
  <c r="F561" i="4"/>
  <c r="E1020" i="4"/>
  <c r="G1020" i="4"/>
  <c r="H1020" i="4" s="1"/>
  <c r="F1020" i="4"/>
  <c r="E725" i="4"/>
  <c r="G725" i="4"/>
  <c r="F725" i="4"/>
  <c r="E950" i="4"/>
  <c r="G950" i="4"/>
  <c r="F950" i="4"/>
  <c r="H950" i="4" s="1"/>
  <c r="E215" i="4"/>
  <c r="G215" i="4"/>
  <c r="F215" i="4"/>
  <c r="E280" i="4"/>
  <c r="G280" i="4"/>
  <c r="H280" i="4" s="1"/>
  <c r="F280" i="4"/>
  <c r="E191" i="4"/>
  <c r="G191" i="4"/>
  <c r="F191" i="4"/>
  <c r="E1025" i="4"/>
  <c r="F1025" i="4"/>
  <c r="G1025" i="4"/>
  <c r="H1025" i="4" s="1"/>
  <c r="E327" i="4"/>
  <c r="G327" i="4"/>
  <c r="F327" i="4"/>
  <c r="E364" i="4"/>
  <c r="G364" i="4"/>
  <c r="H364" i="4" s="1"/>
  <c r="F364" i="4"/>
  <c r="E207" i="4"/>
  <c r="G207" i="4"/>
  <c r="F207" i="4"/>
  <c r="E1028" i="4"/>
  <c r="G1028" i="4"/>
  <c r="F1028" i="4"/>
  <c r="H1028" i="4" s="1"/>
  <c r="E659" i="4"/>
  <c r="G659" i="4"/>
  <c r="F659" i="4"/>
  <c r="E996" i="4"/>
  <c r="G996" i="4"/>
  <c r="F996" i="4"/>
  <c r="E890" i="4"/>
  <c r="G890" i="4"/>
  <c r="F890" i="4"/>
  <c r="E368" i="4"/>
  <c r="F368" i="4"/>
  <c r="G368" i="4"/>
  <c r="H368" i="4" s="1"/>
  <c r="E238" i="4"/>
  <c r="G238" i="4"/>
  <c r="F238" i="4"/>
  <c r="E437" i="4"/>
  <c r="G437" i="4"/>
  <c r="H437" i="4" s="1"/>
  <c r="F437" i="4"/>
  <c r="E713" i="4"/>
  <c r="G713" i="4"/>
  <c r="F713" i="4"/>
  <c r="H713" i="4" s="1"/>
  <c r="E206" i="4"/>
  <c r="G206" i="4"/>
  <c r="F206" i="4"/>
  <c r="H206" i="4" s="1"/>
  <c r="E894" i="4"/>
  <c r="G894" i="4"/>
  <c r="F894" i="4"/>
  <c r="E886" i="4"/>
  <c r="G886" i="4"/>
  <c r="H886" i="4" s="1"/>
  <c r="F886" i="4"/>
  <c r="E128" i="4"/>
  <c r="G128" i="4"/>
  <c r="F128" i="4"/>
  <c r="E88" i="4"/>
  <c r="G88" i="4"/>
  <c r="F88" i="4"/>
  <c r="H88" i="4" s="1"/>
  <c r="E944" i="4"/>
  <c r="G944" i="4"/>
  <c r="F944" i="4"/>
  <c r="E445" i="4"/>
  <c r="G445" i="4"/>
  <c r="F445" i="4"/>
  <c r="E121" i="4"/>
  <c r="G121" i="4"/>
  <c r="F121" i="4"/>
  <c r="H121" i="4" s="1"/>
  <c r="E642" i="4"/>
  <c r="G642" i="4"/>
  <c r="F642" i="4"/>
  <c r="H642" i="4" s="1"/>
  <c r="E730" i="4"/>
  <c r="G730" i="4"/>
  <c r="F730" i="4"/>
  <c r="E832" i="4"/>
  <c r="G832" i="4"/>
  <c r="H832" i="4" s="1"/>
  <c r="F832" i="4"/>
  <c r="E523" i="4"/>
  <c r="G523" i="4"/>
  <c r="F523" i="4"/>
  <c r="H523" i="4" s="1"/>
  <c r="E30" i="4"/>
  <c r="G30" i="4"/>
  <c r="F30" i="4"/>
  <c r="H30" i="4" s="1"/>
  <c r="E411" i="4"/>
  <c r="G411" i="4"/>
  <c r="F411" i="4"/>
  <c r="E429" i="4"/>
  <c r="G429" i="4"/>
  <c r="F429" i="4"/>
  <c r="E163" i="4"/>
  <c r="G163" i="4"/>
  <c r="F163" i="4"/>
  <c r="E840" i="4"/>
  <c r="G840" i="4"/>
  <c r="F840" i="4"/>
  <c r="H840" i="4" s="1"/>
  <c r="E779" i="4"/>
  <c r="G779" i="4"/>
  <c r="F779" i="4"/>
  <c r="E71" i="4"/>
  <c r="G71" i="4"/>
  <c r="H71" i="4" s="1"/>
  <c r="F71" i="4"/>
  <c r="E159" i="4"/>
  <c r="G159" i="4"/>
  <c r="F159" i="4"/>
  <c r="E346" i="4"/>
  <c r="G346" i="4"/>
  <c r="F346" i="4"/>
  <c r="H346" i="4" s="1"/>
  <c r="E246" i="4"/>
  <c r="G246" i="4"/>
  <c r="F246" i="4"/>
  <c r="E363" i="4"/>
  <c r="G363" i="4"/>
  <c r="H363" i="4" s="1"/>
  <c r="F363" i="4"/>
  <c r="E335" i="4"/>
  <c r="G335" i="4"/>
  <c r="F335" i="4"/>
  <c r="E865" i="4"/>
  <c r="G865" i="4"/>
  <c r="F865" i="4"/>
  <c r="H865" i="4" s="1"/>
  <c r="E414" i="4"/>
  <c r="G414" i="4"/>
  <c r="F414" i="4"/>
  <c r="E586" i="4"/>
  <c r="G586" i="4"/>
  <c r="H586" i="4" s="1"/>
  <c r="F586" i="4"/>
  <c r="E473" i="4"/>
  <c r="G473" i="4"/>
  <c r="F473" i="4"/>
  <c r="E53" i="4"/>
  <c r="G53" i="4"/>
  <c r="F53" i="4"/>
  <c r="H53" i="4" s="1"/>
  <c r="E1018" i="4"/>
  <c r="G1018" i="4"/>
  <c r="F1018" i="4"/>
  <c r="E696" i="4"/>
  <c r="G696" i="4"/>
  <c r="F696" i="4"/>
  <c r="E231" i="4"/>
  <c r="G231" i="4"/>
  <c r="F231" i="4"/>
  <c r="E430" i="4"/>
  <c r="G430" i="4"/>
  <c r="F430" i="4"/>
  <c r="H430" i="4" s="1"/>
  <c r="E317" i="4"/>
  <c r="G317" i="4"/>
  <c r="F317" i="4"/>
  <c r="E579" i="4"/>
  <c r="G579" i="4"/>
  <c r="F579" i="4"/>
  <c r="E187" i="4"/>
  <c r="G187" i="4"/>
  <c r="F187" i="4"/>
  <c r="E303" i="4"/>
  <c r="G303" i="4"/>
  <c r="F303" i="4"/>
  <c r="H303" i="4" s="1"/>
  <c r="E989" i="4"/>
  <c r="G989" i="4"/>
  <c r="F989" i="4"/>
  <c r="E621" i="4"/>
  <c r="G621" i="4"/>
  <c r="H621" i="4" s="1"/>
  <c r="F621" i="4"/>
  <c r="E563" i="4"/>
  <c r="G563" i="4"/>
  <c r="F563" i="4"/>
  <c r="H563" i="4" s="1"/>
  <c r="E896" i="4"/>
  <c r="G896" i="4"/>
  <c r="F896" i="4"/>
  <c r="H896" i="4" s="1"/>
  <c r="E685" i="4"/>
  <c r="G685" i="4"/>
  <c r="F685" i="4"/>
  <c r="E817" i="4"/>
  <c r="G817" i="4"/>
  <c r="H817" i="4" s="1"/>
  <c r="F817" i="4"/>
  <c r="E597" i="4"/>
  <c r="G597" i="4"/>
  <c r="F597" i="4"/>
  <c r="E537" i="4"/>
  <c r="G537" i="4"/>
  <c r="F537" i="4"/>
  <c r="H537" i="4" s="1"/>
  <c r="E675" i="4"/>
  <c r="G675" i="4"/>
  <c r="F675" i="4"/>
  <c r="E913" i="4"/>
  <c r="G913" i="4"/>
  <c r="F913" i="4"/>
  <c r="E733" i="4"/>
  <c r="G733" i="4"/>
  <c r="F733" i="4"/>
  <c r="E564" i="4"/>
  <c r="G564" i="4"/>
  <c r="F564" i="4"/>
  <c r="H564" i="4" s="1"/>
  <c r="E656" i="4"/>
  <c r="G656" i="4"/>
  <c r="F656" i="4"/>
  <c r="E43" i="4"/>
  <c r="G43" i="4"/>
  <c r="H43" i="4" s="1"/>
  <c r="F43" i="4"/>
  <c r="E524" i="4"/>
  <c r="G524" i="4"/>
  <c r="F524" i="4"/>
  <c r="E1017" i="4"/>
  <c r="G1017" i="4"/>
  <c r="F1017" i="4"/>
  <c r="H1017" i="4" s="1"/>
  <c r="E387" i="4"/>
  <c r="G387" i="4"/>
  <c r="F387" i="4"/>
  <c r="E85" i="4"/>
  <c r="G85" i="4"/>
  <c r="H85" i="4" s="1"/>
  <c r="F85" i="4"/>
  <c r="E289" i="4"/>
  <c r="G289" i="4"/>
  <c r="F289" i="4"/>
  <c r="E78" i="4"/>
  <c r="G78" i="4"/>
  <c r="F78" i="4"/>
  <c r="H78" i="4" s="1"/>
  <c r="E547" i="4"/>
  <c r="G547" i="4"/>
  <c r="F547" i="4"/>
  <c r="E517" i="4"/>
  <c r="G517" i="4"/>
  <c r="H517" i="4" s="1"/>
  <c r="F517" i="4"/>
  <c r="E871" i="4"/>
  <c r="G871" i="4"/>
  <c r="F871" i="4"/>
  <c r="E108" i="4"/>
  <c r="G108" i="4"/>
  <c r="F108" i="4"/>
  <c r="H108" i="4" s="1"/>
  <c r="E758" i="4"/>
  <c r="G758" i="4"/>
  <c r="F758" i="4"/>
  <c r="E324" i="4"/>
  <c r="G324" i="4"/>
  <c r="F324" i="4"/>
  <c r="E312" i="4"/>
  <c r="G312" i="4"/>
  <c r="F312" i="4"/>
  <c r="E490" i="4"/>
  <c r="G490" i="4"/>
  <c r="F490" i="4"/>
  <c r="H490" i="4" s="1"/>
  <c r="L472" i="4"/>
  <c r="L871" i="4"/>
  <c r="L737" i="4"/>
  <c r="L448" i="4"/>
  <c r="E1005" i="4"/>
  <c r="H1005" i="4" s="1"/>
  <c r="G1005" i="4"/>
  <c r="F1005" i="4"/>
  <c r="E77" i="4"/>
  <c r="G77" i="4"/>
  <c r="F77" i="4"/>
  <c r="E352" i="4"/>
  <c r="G352" i="4"/>
  <c r="F352" i="4"/>
  <c r="E858" i="4"/>
  <c r="G858" i="4"/>
  <c r="F858" i="4"/>
  <c r="E764" i="4"/>
  <c r="G764" i="4"/>
  <c r="F764" i="4"/>
  <c r="E947" i="4"/>
  <c r="G947" i="4"/>
  <c r="F947" i="4"/>
  <c r="E51" i="4"/>
  <c r="G51" i="4"/>
  <c r="F51" i="4"/>
  <c r="E532" i="4"/>
  <c r="G532" i="4"/>
  <c r="F532" i="4"/>
  <c r="E168" i="4"/>
  <c r="G168" i="4"/>
  <c r="F168" i="4"/>
  <c r="E369" i="4"/>
  <c r="G369" i="4"/>
  <c r="F369" i="4"/>
  <c r="E435" i="4"/>
  <c r="G435" i="4"/>
  <c r="H435" i="4" s="1"/>
  <c r="F435" i="4"/>
  <c r="E567" i="4"/>
  <c r="G567" i="4"/>
  <c r="F567" i="4"/>
  <c r="E798" i="4"/>
  <c r="G798" i="4"/>
  <c r="F798" i="4"/>
  <c r="E704" i="4"/>
  <c r="G704" i="4"/>
  <c r="F704" i="4"/>
  <c r="E869" i="4"/>
  <c r="G869" i="4"/>
  <c r="H869" i="4" s="1"/>
  <c r="F869" i="4"/>
  <c r="E273" i="4"/>
  <c r="G273" i="4"/>
  <c r="F273" i="4"/>
  <c r="E292" i="4"/>
  <c r="G292" i="4"/>
  <c r="F292" i="4"/>
  <c r="E334" i="4"/>
  <c r="G334" i="4"/>
  <c r="F334" i="4"/>
  <c r="E959" i="4"/>
  <c r="G959" i="4"/>
  <c r="F959" i="4"/>
  <c r="E734" i="4"/>
  <c r="G734" i="4"/>
  <c r="F734" i="4"/>
  <c r="E957" i="4"/>
  <c r="H957" i="4" s="1"/>
  <c r="G957" i="4"/>
  <c r="F957" i="4"/>
  <c r="E763" i="4"/>
  <c r="G763" i="4"/>
  <c r="F763" i="4"/>
  <c r="E753" i="4"/>
  <c r="G753" i="4"/>
  <c r="F753" i="4"/>
  <c r="E615" i="4"/>
  <c r="G615" i="4"/>
  <c r="F615" i="4"/>
  <c r="E602" i="4"/>
  <c r="G602" i="4"/>
  <c r="F602" i="4"/>
  <c r="E301" i="4"/>
  <c r="G301" i="4"/>
  <c r="H301" i="4" s="1"/>
  <c r="F301" i="4"/>
  <c r="E450" i="4"/>
  <c r="G450" i="4"/>
  <c r="H450" i="4" s="1"/>
  <c r="F450" i="4"/>
  <c r="E501" i="4"/>
  <c r="G501" i="4"/>
  <c r="F501" i="4"/>
  <c r="E360" i="4"/>
  <c r="H360" i="4" s="1"/>
  <c r="G360" i="4"/>
  <c r="F360" i="4"/>
  <c r="E972" i="4"/>
  <c r="G972" i="4"/>
  <c r="F972" i="4"/>
  <c r="E468" i="4"/>
  <c r="G468" i="4"/>
  <c r="H468" i="4" s="1"/>
  <c r="F468" i="4"/>
  <c r="E150" i="4"/>
  <c r="G150" i="4"/>
  <c r="F150" i="4"/>
  <c r="E318" i="4"/>
  <c r="G318" i="4"/>
  <c r="F318" i="4"/>
  <c r="E381" i="4"/>
  <c r="G381" i="4"/>
  <c r="F381" i="4"/>
  <c r="E269" i="4"/>
  <c r="G269" i="4"/>
  <c r="H269" i="4" s="1"/>
  <c r="F269" i="4"/>
  <c r="E123" i="4"/>
  <c r="G123" i="4"/>
  <c r="F123" i="4"/>
  <c r="E624" i="4"/>
  <c r="H624" i="4" s="1"/>
  <c r="G624" i="4"/>
  <c r="F624" i="4"/>
  <c r="E608" i="4"/>
  <c r="G608" i="4"/>
  <c r="H608" i="4" s="1"/>
  <c r="F608" i="4"/>
  <c r="E395" i="4"/>
  <c r="G395" i="4"/>
  <c r="H395" i="4" s="1"/>
  <c r="F395" i="4"/>
  <c r="E436" i="4"/>
  <c r="G436" i="4"/>
  <c r="F436" i="4"/>
  <c r="E258" i="4"/>
  <c r="H258" i="4" s="1"/>
  <c r="G258" i="4"/>
  <c r="F258" i="4"/>
  <c r="E267" i="4"/>
  <c r="G267" i="4"/>
  <c r="F267" i="4"/>
  <c r="E823" i="4"/>
  <c r="G823" i="4"/>
  <c r="H823" i="4" s="1"/>
  <c r="F823" i="4"/>
  <c r="E175" i="4"/>
  <c r="G175" i="4"/>
  <c r="F175" i="4"/>
  <c r="E901" i="4"/>
  <c r="H901" i="4" s="1"/>
  <c r="G901" i="4"/>
  <c r="F901" i="4"/>
  <c r="E699" i="4"/>
  <c r="G699" i="4"/>
  <c r="F699" i="4"/>
  <c r="E345" i="4"/>
  <c r="G345" i="4"/>
  <c r="H345" i="4" s="1"/>
  <c r="F345" i="4"/>
  <c r="E625" i="4"/>
  <c r="G625" i="4"/>
  <c r="F625" i="4"/>
  <c r="E899" i="4"/>
  <c r="G899" i="4"/>
  <c r="F899" i="4"/>
  <c r="E954" i="4"/>
  <c r="G954" i="4"/>
  <c r="F954" i="4"/>
  <c r="E922" i="4"/>
  <c r="G922" i="4"/>
  <c r="H922" i="4" s="1"/>
  <c r="F922" i="4"/>
  <c r="E889" i="4"/>
  <c r="G889" i="4"/>
  <c r="F889" i="4"/>
  <c r="E489" i="4"/>
  <c r="G489" i="4"/>
  <c r="F489" i="4"/>
  <c r="E385" i="4"/>
  <c r="G385" i="4"/>
  <c r="H385" i="4" s="1"/>
  <c r="F385" i="4"/>
  <c r="E720" i="4"/>
  <c r="F720" i="4"/>
  <c r="H720" i="4" s="1"/>
  <c r="G720" i="4"/>
  <c r="E717" i="4"/>
  <c r="G717" i="4"/>
  <c r="F717" i="4"/>
  <c r="E374" i="4"/>
  <c r="H374" i="4" s="1"/>
  <c r="G374" i="4"/>
  <c r="F374" i="4"/>
  <c r="E494" i="4"/>
  <c r="G494" i="4"/>
  <c r="F494" i="4"/>
  <c r="E549" i="4"/>
  <c r="G549" i="4"/>
  <c r="H549" i="4" s="1"/>
  <c r="F549" i="4"/>
  <c r="E987" i="4"/>
  <c r="G987" i="4"/>
  <c r="F987" i="4"/>
  <c r="E402" i="4"/>
  <c r="H402" i="4" s="1"/>
  <c r="G402" i="4"/>
  <c r="F402" i="4"/>
  <c r="E574" i="4"/>
  <c r="G574" i="4"/>
  <c r="F574" i="4"/>
  <c r="E461" i="4"/>
  <c r="G461" i="4"/>
  <c r="H461" i="4" s="1"/>
  <c r="F461" i="4"/>
  <c r="E183" i="4"/>
  <c r="G183" i="4"/>
  <c r="F183" i="4"/>
  <c r="E257" i="4"/>
  <c r="H257" i="4" s="1"/>
  <c r="G257" i="4"/>
  <c r="F257" i="4"/>
  <c r="E185" i="4"/>
  <c r="G185" i="4"/>
  <c r="F185" i="4"/>
  <c r="E726" i="4"/>
  <c r="G726" i="4"/>
  <c r="H726" i="4" s="1"/>
  <c r="F726" i="4"/>
  <c r="E778" i="4"/>
  <c r="G778" i="4"/>
  <c r="F778" i="4"/>
  <c r="E228" i="4"/>
  <c r="G228" i="4"/>
  <c r="F228" i="4"/>
  <c r="E738" i="4"/>
  <c r="G738" i="4"/>
  <c r="H738" i="4" s="1"/>
  <c r="F738" i="4"/>
  <c r="E361" i="4"/>
  <c r="G361" i="4"/>
  <c r="H361" i="4" s="1"/>
  <c r="F361" i="4"/>
  <c r="E851" i="4"/>
  <c r="G851" i="4"/>
  <c r="F851" i="4"/>
  <c r="E462" i="4"/>
  <c r="H462" i="4" s="1"/>
  <c r="G462" i="4"/>
  <c r="F462" i="4"/>
  <c r="E622" i="4"/>
  <c r="G622" i="4"/>
  <c r="H622" i="4" s="1"/>
  <c r="F622" i="4"/>
  <c r="E509" i="4"/>
  <c r="G509" i="4"/>
  <c r="H509" i="4" s="1"/>
  <c r="F509" i="4"/>
  <c r="E198" i="4"/>
  <c r="G198" i="4"/>
  <c r="F198" i="4"/>
  <c r="E512" i="4"/>
  <c r="H512" i="4" s="1"/>
  <c r="G512" i="4"/>
  <c r="F512" i="4"/>
  <c r="E607" i="4"/>
  <c r="G607" i="4"/>
  <c r="F607" i="4"/>
  <c r="E971" i="4"/>
  <c r="G971" i="4"/>
  <c r="H971" i="4" s="1"/>
  <c r="F971" i="4"/>
  <c r="E448" i="4"/>
  <c r="G448" i="4"/>
  <c r="F448" i="4"/>
  <c r="E136" i="4"/>
  <c r="G136" i="4"/>
  <c r="F136" i="4"/>
  <c r="E383" i="4"/>
  <c r="G383" i="4"/>
  <c r="F383" i="4"/>
  <c r="E874" i="4"/>
  <c r="G874" i="4"/>
  <c r="H874" i="4" s="1"/>
  <c r="F874" i="4"/>
  <c r="E773" i="4"/>
  <c r="G773" i="4"/>
  <c r="F773" i="4"/>
  <c r="E828" i="4"/>
  <c r="G828" i="4"/>
  <c r="F828" i="4"/>
  <c r="E732" i="4"/>
  <c r="G732" i="4"/>
  <c r="F732" i="4"/>
  <c r="E1002" i="4"/>
  <c r="G1002" i="4"/>
  <c r="H1002" i="4" s="1"/>
  <c r="F1002" i="4"/>
  <c r="E908" i="4"/>
  <c r="G908" i="4"/>
  <c r="F908" i="4"/>
  <c r="E213" i="4"/>
  <c r="G213" i="4"/>
  <c r="F213" i="4"/>
  <c r="E87" i="4"/>
  <c r="G87" i="4"/>
  <c r="F87" i="4"/>
  <c r="E205" i="4"/>
  <c r="G205" i="4"/>
  <c r="F205" i="4"/>
  <c r="E343" i="4"/>
  <c r="G343" i="4"/>
  <c r="F343" i="4"/>
  <c r="E513" i="4"/>
  <c r="G513" i="4"/>
  <c r="F513" i="4"/>
  <c r="E829" i="4"/>
  <c r="G829" i="4"/>
  <c r="H829" i="4" s="1"/>
  <c r="F829" i="4"/>
  <c r="E614" i="4"/>
  <c r="G614" i="4"/>
  <c r="H614" i="4" s="1"/>
  <c r="F614" i="4"/>
  <c r="E942" i="4"/>
  <c r="G942" i="4"/>
  <c r="F942" i="4"/>
  <c r="E848" i="4"/>
  <c r="G848" i="4"/>
  <c r="F848" i="4"/>
  <c r="E981" i="4"/>
  <c r="G981" i="4"/>
  <c r="F981" i="4"/>
  <c r="E605" i="4"/>
  <c r="G605" i="4"/>
  <c r="H605" i="4" s="1"/>
  <c r="F605" i="4"/>
  <c r="E475" i="4"/>
  <c r="G475" i="4"/>
  <c r="F475" i="4"/>
  <c r="E933" i="4"/>
  <c r="H933" i="4" s="1"/>
  <c r="G933" i="4"/>
  <c r="F933" i="4"/>
  <c r="E542" i="4"/>
  <c r="G542" i="4"/>
  <c r="F542" i="4"/>
  <c r="E35" i="4"/>
  <c r="G35" i="4"/>
  <c r="F35" i="4"/>
  <c r="E651" i="4"/>
  <c r="G651" i="4"/>
  <c r="F651" i="4"/>
  <c r="E153" i="4"/>
  <c r="G153" i="4"/>
  <c r="F153" i="4"/>
  <c r="E204" i="4"/>
  <c r="G204" i="4"/>
  <c r="F204" i="4"/>
  <c r="E106" i="4"/>
  <c r="G106" i="4"/>
  <c r="F106" i="4"/>
  <c r="E791" i="4"/>
  <c r="G791" i="4"/>
  <c r="F791" i="4"/>
  <c r="E664" i="4"/>
  <c r="G664" i="4"/>
  <c r="F664" i="4"/>
  <c r="E690" i="4"/>
  <c r="G690" i="4"/>
  <c r="F690" i="4"/>
  <c r="E729" i="4"/>
  <c r="G729" i="4"/>
  <c r="H729" i="4" s="1"/>
  <c r="F729" i="4"/>
  <c r="E284" i="4"/>
  <c r="G284" i="4"/>
  <c r="F284" i="4"/>
  <c r="E736" i="4"/>
  <c r="G736" i="4"/>
  <c r="F736" i="4"/>
  <c r="E31" i="4"/>
  <c r="G31" i="4"/>
  <c r="F31" i="4"/>
  <c r="E636" i="4"/>
  <c r="G636" i="4"/>
  <c r="H636" i="4" s="1"/>
  <c r="F636" i="4"/>
  <c r="E546" i="4"/>
  <c r="G546" i="4"/>
  <c r="F546" i="4"/>
  <c r="E609" i="4"/>
  <c r="H609" i="4" s="1"/>
  <c r="G609" i="4"/>
  <c r="F609" i="4"/>
  <c r="E177" i="4"/>
  <c r="G177" i="4"/>
  <c r="H177" i="4" s="1"/>
  <c r="F177" i="4"/>
  <c r="E880" i="4"/>
  <c r="G880" i="4"/>
  <c r="H880" i="4" s="1"/>
  <c r="F880" i="4"/>
  <c r="E194" i="4"/>
  <c r="G194" i="4"/>
  <c r="F194" i="4"/>
  <c r="E836" i="4"/>
  <c r="H836" i="4" s="1"/>
  <c r="G836" i="4"/>
  <c r="F836" i="4"/>
  <c r="E539" i="4"/>
  <c r="G539" i="4"/>
  <c r="H539" i="4" s="1"/>
  <c r="F539" i="4"/>
  <c r="E962" i="4"/>
  <c r="F962" i="4"/>
  <c r="H962" i="4" s="1"/>
  <c r="G962" i="4"/>
  <c r="E552" i="4"/>
  <c r="G552" i="4"/>
  <c r="F552" i="4"/>
  <c r="E378" i="4"/>
  <c r="H378" i="4" s="1"/>
  <c r="G378" i="4"/>
  <c r="F378" i="4"/>
  <c r="E379" i="4"/>
  <c r="G379" i="4"/>
  <c r="F379" i="4"/>
  <c r="E407" i="4"/>
  <c r="G407" i="4"/>
  <c r="H407" i="4" s="1"/>
  <c r="F407" i="4"/>
  <c r="E819" i="4"/>
  <c r="G819" i="4"/>
  <c r="F819" i="4"/>
  <c r="E842" i="4"/>
  <c r="H842" i="4" s="1"/>
  <c r="G842" i="4"/>
  <c r="F842" i="4"/>
  <c r="E693" i="4"/>
  <c r="G693" i="4"/>
  <c r="F693" i="4"/>
  <c r="E350" i="4"/>
  <c r="F350" i="4"/>
  <c r="H350" i="4" s="1"/>
  <c r="G350" i="4"/>
  <c r="E557" i="4"/>
  <c r="G557" i="4"/>
  <c r="F557" i="4"/>
  <c r="E943" i="4"/>
  <c r="H943" i="4" s="1"/>
  <c r="G943" i="4"/>
  <c r="F943" i="4"/>
  <c r="E223" i="4"/>
  <c r="G223" i="4"/>
  <c r="F223" i="4"/>
  <c r="E96" i="4"/>
  <c r="G96" i="4"/>
  <c r="H96" i="4" s="1"/>
  <c r="F96" i="4"/>
  <c r="E790" i="4"/>
  <c r="G790" i="4"/>
  <c r="F790" i="4"/>
  <c r="E533" i="4"/>
  <c r="H533" i="4" s="1"/>
  <c r="G533" i="4"/>
  <c r="F533" i="4"/>
  <c r="E302" i="4"/>
  <c r="G302" i="4"/>
  <c r="H302" i="4" s="1"/>
  <c r="F302" i="4"/>
  <c r="E309" i="4"/>
  <c r="G309" i="4"/>
  <c r="H309" i="4" s="1"/>
  <c r="F309" i="4"/>
  <c r="E232" i="4"/>
  <c r="G232" i="4"/>
  <c r="F232" i="4"/>
  <c r="E784" i="4"/>
  <c r="H784" i="4" s="1"/>
  <c r="G784" i="4"/>
  <c r="F784" i="4"/>
  <c r="E826" i="4"/>
  <c r="G826" i="4"/>
  <c r="F826" i="4"/>
  <c r="E484" i="4"/>
  <c r="G484" i="4"/>
  <c r="H484" i="4" s="1"/>
  <c r="F484" i="4"/>
  <c r="E702" i="4"/>
  <c r="G702" i="4"/>
  <c r="F702" i="4"/>
  <c r="E766" i="4"/>
  <c r="H766" i="4" s="1"/>
  <c r="G766" i="4"/>
  <c r="F766" i="4"/>
  <c r="E316" i="4"/>
  <c r="G316" i="4"/>
  <c r="H316" i="4" s="1"/>
  <c r="F316" i="4"/>
  <c r="E186" i="4"/>
  <c r="G186" i="4"/>
  <c r="H186" i="4" s="1"/>
  <c r="F186" i="4"/>
  <c r="E936" i="4"/>
  <c r="G936" i="4"/>
  <c r="F936" i="4"/>
  <c r="E787" i="4"/>
  <c r="G787" i="4"/>
  <c r="F787" i="4"/>
  <c r="E1026" i="4"/>
  <c r="F1026" i="4"/>
  <c r="G1026" i="4"/>
  <c r="E970" i="4"/>
  <c r="G970" i="4"/>
  <c r="H970" i="4" s="1"/>
  <c r="F970" i="4"/>
  <c r="E888" i="4"/>
  <c r="G888" i="4"/>
  <c r="F888" i="4"/>
  <c r="E1015" i="4"/>
  <c r="H1015" i="4" s="1"/>
  <c r="G1015" i="4"/>
  <c r="F1015" i="4"/>
  <c r="E64" i="4"/>
  <c r="G64" i="4"/>
  <c r="F64" i="4"/>
  <c r="E217" i="4"/>
  <c r="G217" i="4"/>
  <c r="H217" i="4" s="1"/>
  <c r="F217" i="4"/>
  <c r="E750" i="4"/>
  <c r="G750" i="4"/>
  <c r="F750" i="4"/>
  <c r="E802" i="4"/>
  <c r="H802" i="4" s="1"/>
  <c r="G802" i="4"/>
  <c r="F802" i="4"/>
  <c r="E891" i="4"/>
  <c r="G891" i="4"/>
  <c r="H891" i="4" s="1"/>
  <c r="F891" i="4"/>
  <c r="E67" i="4"/>
  <c r="G67" i="4"/>
  <c r="H67" i="4" s="1"/>
  <c r="F67" i="4"/>
  <c r="E221" i="4"/>
  <c r="G221" i="4"/>
  <c r="F221" i="4"/>
  <c r="E860" i="4"/>
  <c r="H860" i="4" s="1"/>
  <c r="G860" i="4"/>
  <c r="F860" i="4"/>
  <c r="E423" i="4"/>
  <c r="G423" i="4"/>
  <c r="H423" i="4" s="1"/>
  <c r="F423" i="4"/>
  <c r="E189" i="4"/>
  <c r="G189" i="4"/>
  <c r="H189" i="4" s="1"/>
  <c r="F189" i="4"/>
  <c r="E575" i="4"/>
  <c r="G575" i="4"/>
  <c r="F575" i="4"/>
  <c r="E313" i="4"/>
  <c r="G313" i="4"/>
  <c r="F313" i="4"/>
  <c r="E941" i="4"/>
  <c r="G941" i="4"/>
  <c r="F941" i="4"/>
  <c r="E827" i="4"/>
  <c r="G827" i="4"/>
  <c r="H827" i="4" s="1"/>
  <c r="F827" i="4"/>
  <c r="E235" i="4"/>
  <c r="G235" i="4"/>
  <c r="F235" i="4"/>
  <c r="E105" i="4"/>
  <c r="H105" i="4" s="1"/>
  <c r="G105" i="4"/>
  <c r="F105" i="4"/>
  <c r="E451" i="4"/>
  <c r="G451" i="4"/>
  <c r="F451" i="4"/>
  <c r="E670" i="4"/>
  <c r="G670" i="4"/>
  <c r="H670" i="4" s="1"/>
  <c r="F670" i="4"/>
  <c r="E412" i="4"/>
  <c r="G412" i="4"/>
  <c r="F412" i="4"/>
  <c r="E910" i="4"/>
  <c r="H910" i="4" s="1"/>
  <c r="G910" i="4"/>
  <c r="F910" i="4"/>
  <c r="E619" i="4"/>
  <c r="G619" i="4"/>
  <c r="H619" i="4" s="1"/>
  <c r="F619" i="4"/>
  <c r="E647" i="4"/>
  <c r="G647" i="4"/>
  <c r="H647" i="4" s="1"/>
  <c r="F647" i="4"/>
  <c r="E926" i="4"/>
  <c r="G926" i="4"/>
  <c r="F926" i="4"/>
  <c r="E852" i="4"/>
  <c r="H852" i="4" s="1"/>
  <c r="G852" i="4"/>
  <c r="F852" i="4"/>
  <c r="E665" i="4"/>
  <c r="G665" i="4"/>
  <c r="F665" i="4"/>
  <c r="H665" i="4" s="1"/>
  <c r="E486" i="4"/>
  <c r="G486" i="4"/>
  <c r="H486" i="4" s="1"/>
  <c r="F486" i="4"/>
  <c r="E511" i="4"/>
  <c r="G511" i="4"/>
  <c r="F511" i="4"/>
  <c r="E776" i="4"/>
  <c r="H776" i="4" s="1"/>
  <c r="G776" i="4"/>
  <c r="F776" i="4"/>
  <c r="E507" i="4"/>
  <c r="G507" i="4"/>
  <c r="F507" i="4"/>
  <c r="E744" i="4"/>
  <c r="G744" i="4"/>
  <c r="H744" i="4" s="1"/>
  <c r="F744" i="4"/>
  <c r="E184" i="4"/>
  <c r="G184" i="4"/>
  <c r="F184" i="4"/>
  <c r="E814" i="4"/>
  <c r="H814" i="4" s="1"/>
  <c r="G814" i="4"/>
  <c r="F814" i="4"/>
  <c r="E382" i="4"/>
  <c r="G382" i="4"/>
  <c r="F382" i="4"/>
  <c r="E333" i="4"/>
  <c r="G333" i="4"/>
  <c r="H333" i="4" s="1"/>
  <c r="F333" i="4"/>
  <c r="E820" i="4"/>
  <c r="G820" i="4"/>
  <c r="F820" i="4"/>
  <c r="E457" i="4"/>
  <c r="H457" i="4" s="1"/>
  <c r="G457" i="4"/>
  <c r="F457" i="4"/>
  <c r="E439" i="4"/>
  <c r="H439" i="4" s="1"/>
  <c r="G439" i="4"/>
  <c r="F439" i="4"/>
  <c r="E28" i="4"/>
  <c r="G28" i="4"/>
  <c r="H28" i="4" s="1"/>
  <c r="F28" i="4"/>
  <c r="E646" i="4"/>
  <c r="G646" i="4"/>
  <c r="F646" i="4"/>
  <c r="E84" i="4"/>
  <c r="H84" i="4" s="1"/>
  <c r="G84" i="4"/>
  <c r="F84" i="4"/>
  <c r="E250" i="4"/>
  <c r="G250" i="4"/>
  <c r="F250" i="4"/>
  <c r="E500" i="4"/>
  <c r="G500" i="4"/>
  <c r="H500" i="4" s="1"/>
  <c r="F500" i="4"/>
  <c r="E661" i="4"/>
  <c r="G661" i="4"/>
  <c r="F661" i="4"/>
  <c r="E162" i="4"/>
  <c r="H162" i="4" s="1"/>
  <c r="G162" i="4"/>
  <c r="F162" i="4"/>
  <c r="E444" i="4"/>
  <c r="G444" i="4"/>
  <c r="F444" i="4"/>
  <c r="E543" i="4"/>
  <c r="G543" i="4"/>
  <c r="H543" i="4" s="1"/>
  <c r="F543" i="4"/>
  <c r="E61" i="4"/>
  <c r="G61" i="4"/>
  <c r="F61" i="4"/>
  <c r="E739" i="4"/>
  <c r="H739" i="4" s="1"/>
  <c r="G739" i="4"/>
  <c r="F739" i="4"/>
  <c r="E52" i="4"/>
  <c r="G52" i="4"/>
  <c r="H52" i="4" s="1"/>
  <c r="F52" i="4"/>
  <c r="E878" i="4"/>
  <c r="G878" i="4"/>
  <c r="H878" i="4" s="1"/>
  <c r="F878" i="4"/>
  <c r="E700" i="4"/>
  <c r="G700" i="4"/>
  <c r="F700" i="4"/>
  <c r="E242" i="4"/>
  <c r="H242" i="4" s="1"/>
  <c r="G242" i="4"/>
  <c r="F242" i="4"/>
  <c r="E487" i="4"/>
  <c r="G487" i="4"/>
  <c r="F487" i="4"/>
  <c r="E657" i="4"/>
  <c r="G657" i="4"/>
  <c r="H657" i="4" s="1"/>
  <c r="F657" i="4"/>
  <c r="E677" i="4"/>
  <c r="G677" i="4"/>
  <c r="F677" i="4"/>
  <c r="E769" i="4"/>
  <c r="H769" i="4" s="1"/>
  <c r="G769" i="4"/>
  <c r="F769" i="4"/>
  <c r="E86" i="4"/>
  <c r="G86" i="4"/>
  <c r="F86" i="4"/>
  <c r="E992" i="4"/>
  <c r="F992" i="4"/>
  <c r="H992" i="4" s="1"/>
  <c r="G992" i="4"/>
  <c r="E212" i="4"/>
  <c r="G212" i="4"/>
  <c r="F212" i="4"/>
  <c r="E737" i="4"/>
  <c r="H737" i="4" s="1"/>
  <c r="G737" i="4"/>
  <c r="F737" i="4"/>
  <c r="E691" i="4"/>
  <c r="G691" i="4"/>
  <c r="F691" i="4"/>
  <c r="E37" i="4"/>
  <c r="G37" i="4"/>
  <c r="F37" i="4"/>
  <c r="E875" i="4"/>
  <c r="G875" i="4"/>
  <c r="F875" i="4"/>
  <c r="E876" i="4"/>
  <c r="G876" i="4"/>
  <c r="F876" i="4"/>
  <c r="E149" i="4"/>
  <c r="G149" i="4"/>
  <c r="F149" i="4"/>
  <c r="E391" i="4"/>
  <c r="F391" i="4"/>
  <c r="H391" i="4" s="1"/>
  <c r="G391" i="4"/>
  <c r="E418" i="4"/>
  <c r="G418" i="4"/>
  <c r="F418" i="4"/>
  <c r="E544" i="4"/>
  <c r="G544" i="4"/>
  <c r="F544" i="4"/>
  <c r="E676" i="4"/>
  <c r="G676" i="4"/>
  <c r="F676" i="4"/>
  <c r="E653" i="4"/>
  <c r="G653" i="4"/>
  <c r="H653" i="4" s="1"/>
  <c r="F653" i="4"/>
  <c r="E906" i="4"/>
  <c r="G906" i="4"/>
  <c r="F906" i="4"/>
  <c r="E265" i="4"/>
  <c r="H265" i="4" s="1"/>
  <c r="G265" i="4"/>
  <c r="F265" i="4"/>
  <c r="E433" i="4"/>
  <c r="F433" i="4"/>
  <c r="G433" i="4"/>
  <c r="E340" i="4"/>
  <c r="G340" i="4"/>
  <c r="H340" i="4" s="1"/>
  <c r="F340" i="4"/>
  <c r="E854" i="4"/>
  <c r="G854" i="4"/>
  <c r="F854" i="4"/>
  <c r="E424" i="4"/>
  <c r="H424" i="4" s="1"/>
  <c r="G424" i="4"/>
  <c r="F424" i="4"/>
  <c r="E786" i="4"/>
  <c r="G786" i="4"/>
  <c r="H786" i="4" s="1"/>
  <c r="F786" i="4"/>
  <c r="E837" i="4"/>
  <c r="G837" i="4"/>
  <c r="H837" i="4" s="1"/>
  <c r="F837" i="4"/>
  <c r="E349" i="4"/>
  <c r="G349" i="4"/>
  <c r="F349" i="4"/>
  <c r="E617" i="4"/>
  <c r="H617" i="4" s="1"/>
  <c r="G617" i="4"/>
  <c r="F617" i="4"/>
  <c r="E255" i="4"/>
  <c r="G255" i="4"/>
  <c r="F255" i="4"/>
  <c r="E155" i="4"/>
  <c r="G155" i="4"/>
  <c r="H155" i="4" s="1"/>
  <c r="F155" i="4"/>
  <c r="E683" i="4"/>
  <c r="G683" i="4"/>
  <c r="F683" i="4"/>
  <c r="E113" i="4"/>
  <c r="G113" i="4"/>
  <c r="F113" i="4"/>
  <c r="E576" i="4"/>
  <c r="H576" i="4" s="1"/>
  <c r="G576" i="4"/>
  <c r="F576" i="4"/>
  <c r="E68" i="4"/>
  <c r="G68" i="4"/>
  <c r="H68" i="4" s="1"/>
  <c r="F68" i="4"/>
  <c r="E679" i="4"/>
  <c r="F679" i="4"/>
  <c r="G679" i="4"/>
  <c r="E587" i="4"/>
  <c r="H587" i="4" s="1"/>
  <c r="G587" i="4"/>
  <c r="F587" i="4"/>
  <c r="E400" i="4"/>
  <c r="G400" i="4"/>
  <c r="F400" i="4"/>
  <c r="E254" i="4"/>
  <c r="G254" i="4"/>
  <c r="H254" i="4" s="1"/>
  <c r="F254" i="4"/>
  <c r="E281" i="4"/>
  <c r="G281" i="4"/>
  <c r="F281" i="4"/>
  <c r="E199" i="4"/>
  <c r="H199" i="4" s="1"/>
  <c r="G199" i="4"/>
  <c r="F199" i="4"/>
  <c r="E89" i="4"/>
  <c r="G89" i="4"/>
  <c r="H89" i="4" s="1"/>
  <c r="F89" i="4"/>
  <c r="E415" i="4"/>
  <c r="G415" i="4"/>
  <c r="H415" i="4" s="1"/>
  <c r="F415" i="4"/>
  <c r="E431" i="4"/>
  <c r="G431" i="4"/>
  <c r="F431" i="4"/>
  <c r="E780" i="4"/>
  <c r="H780" i="4" s="1"/>
  <c r="G780" i="4"/>
  <c r="F780" i="4"/>
  <c r="E695" i="4"/>
  <c r="G695" i="4"/>
  <c r="F695" i="4"/>
  <c r="E663" i="4"/>
  <c r="G663" i="4"/>
  <c r="H663" i="4" s="1"/>
  <c r="F663" i="4"/>
  <c r="E330" i="4"/>
  <c r="G330" i="4"/>
  <c r="F330" i="4"/>
  <c r="E562" i="4"/>
  <c r="H562" i="4" s="1"/>
  <c r="G562" i="4"/>
  <c r="F562" i="4"/>
  <c r="E449" i="4"/>
  <c r="G449" i="4"/>
  <c r="F449" i="4"/>
  <c r="E351" i="4"/>
  <c r="G351" i="4"/>
  <c r="H351" i="4" s="1"/>
  <c r="F351" i="4"/>
  <c r="E129" i="4"/>
  <c r="G129" i="4"/>
  <c r="F129" i="4"/>
  <c r="E846" i="4"/>
  <c r="H846" i="4" s="1"/>
  <c r="G846" i="4"/>
  <c r="F846" i="4"/>
  <c r="E990" i="4"/>
  <c r="H990" i="4" s="1"/>
  <c r="F990" i="4"/>
  <c r="G990" i="4"/>
  <c r="E946" i="4"/>
  <c r="G946" i="4"/>
  <c r="H946" i="4" s="1"/>
  <c r="F946" i="4"/>
  <c r="E75" i="4"/>
  <c r="G75" i="4"/>
  <c r="F75" i="4"/>
  <c r="E452" i="4"/>
  <c r="F452" i="4"/>
  <c r="G452" i="4"/>
  <c r="E1007" i="4"/>
  <c r="G1007" i="4"/>
  <c r="H1007" i="4" s="1"/>
  <c r="F1007" i="4"/>
  <c r="E249" i="4"/>
  <c r="G249" i="4"/>
  <c r="H249" i="4" s="1"/>
  <c r="F249" i="4"/>
  <c r="E138" i="4"/>
  <c r="G138" i="4"/>
  <c r="F138" i="4"/>
  <c r="E282" i="4"/>
  <c r="H282" i="4" s="1"/>
  <c r="G282" i="4"/>
  <c r="F282" i="4"/>
  <c r="E1008" i="4"/>
  <c r="G1008" i="4"/>
  <c r="F1008" i="4"/>
  <c r="E173" i="4"/>
  <c r="G173" i="4"/>
  <c r="H173" i="4" s="1"/>
  <c r="F173" i="4"/>
  <c r="E917" i="4"/>
  <c r="G917" i="4"/>
  <c r="F917" i="4"/>
  <c r="E306" i="4"/>
  <c r="H306" i="4" s="1"/>
  <c r="G306" i="4"/>
  <c r="F306" i="4"/>
  <c r="E98" i="4"/>
  <c r="G98" i="4"/>
  <c r="H98" i="4" s="1"/>
  <c r="F98" i="4"/>
  <c r="E1006" i="4"/>
  <c r="G1006" i="4"/>
  <c r="H1006" i="4" s="1"/>
  <c r="F1006" i="4"/>
  <c r="E124" i="4"/>
  <c r="G124" i="4"/>
  <c r="F124" i="4"/>
  <c r="E921" i="4"/>
  <c r="H921" i="4" s="1"/>
  <c r="G921" i="4"/>
  <c r="F921" i="4"/>
  <c r="E442" i="4"/>
  <c r="G442" i="4"/>
  <c r="F442" i="4"/>
  <c r="E454" i="4"/>
  <c r="G454" i="4"/>
  <c r="H454" i="4" s="1"/>
  <c r="F454" i="4"/>
  <c r="E277" i="4"/>
  <c r="G277" i="4"/>
  <c r="F277" i="4"/>
  <c r="E365" i="4"/>
  <c r="H365" i="4" s="1"/>
  <c r="G365" i="4"/>
  <c r="F365" i="4"/>
  <c r="E209" i="4"/>
  <c r="G209" i="4"/>
  <c r="H209" i="4" s="1"/>
  <c r="F209" i="4"/>
  <c r="E760" i="4"/>
  <c r="G760" i="4"/>
  <c r="H760" i="4" s="1"/>
  <c r="F760" i="4"/>
  <c r="E1021" i="4"/>
  <c r="G1021" i="4"/>
  <c r="F1021" i="4"/>
  <c r="E985" i="4"/>
  <c r="H985" i="4" s="1"/>
  <c r="G985" i="4"/>
  <c r="F985" i="4"/>
  <c r="E243" i="4"/>
  <c r="G243" i="4"/>
  <c r="F243" i="4"/>
  <c r="E903" i="4"/>
  <c r="G903" i="4"/>
  <c r="H903" i="4" s="1"/>
  <c r="F903" i="4"/>
  <c r="E945" i="4"/>
  <c r="G945" i="4"/>
  <c r="F945" i="4"/>
  <c r="E373" i="4"/>
  <c r="H373" i="4" s="1"/>
  <c r="G373" i="4"/>
  <c r="F373" i="4"/>
  <c r="E930" i="4"/>
  <c r="G930" i="4"/>
  <c r="F930" i="4"/>
  <c r="E256" i="4"/>
  <c r="G256" i="4"/>
  <c r="H256" i="4" s="1"/>
  <c r="F256" i="4"/>
  <c r="E252" i="4"/>
  <c r="G252" i="4"/>
  <c r="F252" i="4"/>
  <c r="E893" i="4"/>
  <c r="G893" i="4"/>
  <c r="F893" i="4"/>
  <c r="E440" i="4"/>
  <c r="F440" i="4"/>
  <c r="H440" i="4" s="1"/>
  <c r="G440" i="4"/>
  <c r="E139" i="4"/>
  <c r="G139" i="4"/>
  <c r="H139" i="4" s="1"/>
  <c r="F139" i="4"/>
  <c r="E937" i="4"/>
  <c r="G937" i="4"/>
  <c r="F937" i="4"/>
  <c r="E69" i="4"/>
  <c r="H69" i="4" s="1"/>
  <c r="G69" i="4"/>
  <c r="F69" i="4"/>
  <c r="E991" i="4"/>
  <c r="G991" i="4"/>
  <c r="F991" i="4"/>
  <c r="E781" i="4"/>
  <c r="G781" i="4"/>
  <c r="H781" i="4" s="1"/>
  <c r="F781" i="4"/>
  <c r="E883" i="4"/>
  <c r="G883" i="4"/>
  <c r="F883" i="4"/>
  <c r="E236" i="4"/>
  <c r="G236" i="4"/>
  <c r="F236" i="4"/>
  <c r="E909" i="4"/>
  <c r="G909" i="4"/>
  <c r="F909" i="4"/>
  <c r="E157" i="4"/>
  <c r="G157" i="4"/>
  <c r="H157" i="4" s="1"/>
  <c r="F157" i="4"/>
  <c r="E172" i="4"/>
  <c r="G172" i="4"/>
  <c r="F172" i="4"/>
  <c r="E1011" i="4"/>
  <c r="G1011" i="4"/>
  <c r="F1011" i="4"/>
  <c r="E603" i="4"/>
  <c r="G603" i="4"/>
  <c r="F603" i="4"/>
  <c r="E940" i="4"/>
  <c r="G940" i="4"/>
  <c r="H940" i="4" s="1"/>
  <c r="F940" i="4"/>
  <c r="E583" i="4"/>
  <c r="G583" i="4"/>
  <c r="F583" i="4"/>
  <c r="E518" i="4"/>
  <c r="H518" i="4" s="1"/>
  <c r="G518" i="4"/>
  <c r="F518" i="4"/>
  <c r="E983" i="4"/>
  <c r="G983" i="4"/>
  <c r="F983" i="4"/>
  <c r="E924" i="4"/>
  <c r="G924" i="4"/>
  <c r="H924" i="4" s="1"/>
  <c r="F924" i="4"/>
  <c r="E655" i="4"/>
  <c r="G655" i="4"/>
  <c r="F655" i="4"/>
  <c r="E466" i="4"/>
  <c r="G466" i="4"/>
  <c r="F466" i="4"/>
  <c r="E577" i="4"/>
  <c r="F577" i="4"/>
  <c r="H577" i="4" s="1"/>
  <c r="G577" i="4"/>
  <c r="E132" i="4"/>
  <c r="G132" i="4"/>
  <c r="H132" i="4" s="1"/>
  <c r="F132" i="4"/>
  <c r="E805" i="4"/>
  <c r="G805" i="4"/>
  <c r="F805" i="4"/>
  <c r="E688" i="4"/>
  <c r="G688" i="4"/>
  <c r="F688" i="4"/>
  <c r="E1014" i="4"/>
  <c r="G1014" i="4"/>
  <c r="F1014" i="4"/>
  <c r="E358" i="4"/>
  <c r="G358" i="4"/>
  <c r="H358" i="4" s="1"/>
  <c r="F358" i="4"/>
  <c r="E493" i="4"/>
  <c r="G493" i="4"/>
  <c r="F493" i="4"/>
  <c r="E809" i="4"/>
  <c r="G809" i="4"/>
  <c r="F809" i="4"/>
  <c r="E354" i="4"/>
  <c r="G354" i="4"/>
  <c r="F354" i="4"/>
  <c r="E417" i="4"/>
  <c r="G417" i="4"/>
  <c r="H417" i="4" s="1"/>
  <c r="F417" i="4"/>
  <c r="E297" i="4"/>
  <c r="G297" i="4"/>
  <c r="F297" i="4"/>
  <c r="E70" i="4"/>
  <c r="G70" i="4"/>
  <c r="F70" i="4"/>
  <c r="E845" i="4"/>
  <c r="G845" i="4"/>
  <c r="F845" i="4"/>
  <c r="E54" i="4"/>
  <c r="G54" i="4"/>
  <c r="H54" i="4" s="1"/>
  <c r="F54" i="4"/>
  <c r="E307" i="4"/>
  <c r="G307" i="4"/>
  <c r="F307" i="4"/>
  <c r="E239" i="4"/>
  <c r="H239" i="4" s="1"/>
  <c r="G239" i="4"/>
  <c r="F239" i="4"/>
  <c r="E999" i="4"/>
  <c r="H999" i="4" s="1"/>
  <c r="G999" i="4"/>
  <c r="F999" i="4"/>
  <c r="E261" i="4"/>
  <c r="G261" i="4"/>
  <c r="H261" i="4" s="1"/>
  <c r="F261" i="4"/>
  <c r="E514" i="4"/>
  <c r="G514" i="4"/>
  <c r="F514" i="4"/>
  <c r="E401" i="4"/>
  <c r="H401" i="4" s="1"/>
  <c r="G401" i="4"/>
  <c r="F401" i="4"/>
  <c r="E712" i="4"/>
  <c r="G712" i="4"/>
  <c r="F712" i="4"/>
  <c r="E751" i="4"/>
  <c r="G751" i="4"/>
  <c r="H751" i="4" s="1"/>
  <c r="F751" i="4"/>
  <c r="E623" i="4"/>
  <c r="G623" i="4"/>
  <c r="F623" i="4"/>
  <c r="E165" i="4"/>
  <c r="H165" i="4" s="1"/>
  <c r="G165" i="4"/>
  <c r="F165" i="4"/>
  <c r="E422" i="4"/>
  <c r="H422" i="4" s="1"/>
  <c r="G422" i="4"/>
  <c r="F422" i="4"/>
  <c r="E131" i="4"/>
  <c r="G131" i="4"/>
  <c r="H131" i="4" s="1"/>
  <c r="F131" i="4"/>
  <c r="E666" i="4"/>
  <c r="G666" i="4"/>
  <c r="F666" i="4"/>
  <c r="E742" i="4"/>
  <c r="H742" i="4" s="1"/>
  <c r="G742" i="4"/>
  <c r="F742" i="4"/>
  <c r="E710" i="4"/>
  <c r="H710" i="4" s="1"/>
  <c r="G710" i="4"/>
  <c r="F710" i="4"/>
  <c r="E74" i="4"/>
  <c r="G74" i="4"/>
  <c r="H74" i="4" s="1"/>
  <c r="F74" i="4"/>
  <c r="E521" i="4"/>
  <c r="G521" i="4"/>
  <c r="F521" i="4"/>
  <c r="E548" i="4"/>
  <c r="H548" i="4" s="1"/>
  <c r="G548" i="4"/>
  <c r="F548" i="4"/>
  <c r="E1027" i="4"/>
  <c r="H1027" i="4" s="1"/>
  <c r="G1027" i="4"/>
  <c r="F1027" i="4"/>
  <c r="E268" i="4"/>
  <c r="G268" i="4"/>
  <c r="H268" i="4" s="1"/>
  <c r="F268" i="4"/>
  <c r="E1024" i="4"/>
  <c r="G1024" i="4"/>
  <c r="F1024" i="4"/>
  <c r="E789" i="4"/>
  <c r="H789" i="4" s="1"/>
  <c r="G789" i="4"/>
  <c r="F789" i="4"/>
  <c r="E90" i="4"/>
  <c r="G90" i="4"/>
  <c r="H90" i="4" s="1"/>
  <c r="F90" i="4"/>
  <c r="E294" i="4"/>
  <c r="G294" i="4"/>
  <c r="H294" i="4" s="1"/>
  <c r="F294" i="4"/>
  <c r="E499" i="4"/>
  <c r="G499" i="4"/>
  <c r="F499" i="4"/>
  <c r="E479" i="4"/>
  <c r="H479" i="4" s="1"/>
  <c r="G479" i="4"/>
  <c r="F479" i="4"/>
  <c r="E697" i="4"/>
  <c r="G697" i="4"/>
  <c r="F697" i="4"/>
  <c r="E394" i="4"/>
  <c r="G394" i="4"/>
  <c r="H394" i="4" s="1"/>
  <c r="F394" i="4"/>
  <c r="E902" i="4"/>
  <c r="G902" i="4"/>
  <c r="F902" i="4"/>
  <c r="E884" i="4"/>
  <c r="G884" i="4"/>
  <c r="F884" i="4"/>
  <c r="E234" i="4"/>
  <c r="G234" i="4"/>
  <c r="H234" i="4" s="1"/>
  <c r="F234" i="4"/>
  <c r="E323" i="4"/>
  <c r="G323" i="4"/>
  <c r="H323" i="4" s="1"/>
  <c r="F323" i="4"/>
  <c r="E952" i="4"/>
  <c r="G952" i="4"/>
  <c r="F952" i="4"/>
  <c r="E483" i="4"/>
  <c r="H483" i="4" s="1"/>
  <c r="G483" i="4"/>
  <c r="F483" i="4"/>
  <c r="E634" i="4"/>
  <c r="G634" i="4"/>
  <c r="H634" i="4" s="1"/>
  <c r="F634" i="4"/>
  <c r="E551" i="4"/>
  <c r="G551" i="4"/>
  <c r="H551" i="4" s="1"/>
  <c r="F551" i="4"/>
  <c r="E160" i="4"/>
  <c r="G160" i="4"/>
  <c r="F160" i="4"/>
  <c r="E707" i="4"/>
  <c r="H707" i="4" s="1"/>
  <c r="G707" i="4"/>
  <c r="F707" i="4"/>
  <c r="E233" i="4"/>
  <c r="G233" i="4"/>
  <c r="F233" i="4"/>
  <c r="E151" i="4"/>
  <c r="G151" i="4"/>
  <c r="H151" i="4" s="1"/>
  <c r="F151" i="4"/>
  <c r="E711" i="4"/>
  <c r="G711" i="4"/>
  <c r="F711" i="4"/>
  <c r="L730" i="4"/>
  <c r="L403" i="4"/>
  <c r="L395" i="4"/>
  <c r="L940" i="4"/>
  <c r="L564" i="4"/>
  <c r="L879" i="4"/>
  <c r="M879" i="4" s="1"/>
  <c r="L217" i="4"/>
  <c r="L178" i="4"/>
  <c r="L850" i="4"/>
  <c r="M850" i="4" s="1"/>
  <c r="L945" i="4"/>
  <c r="L814" i="4"/>
  <c r="L585" i="4"/>
  <c r="L414" i="4"/>
  <c r="M414" i="4" s="1"/>
  <c r="L202" i="4"/>
  <c r="L407" i="4"/>
  <c r="L664" i="4"/>
  <c r="L240" i="4"/>
  <c r="L623" i="4"/>
  <c r="L881" i="4"/>
  <c r="L206" i="4"/>
  <c r="L127" i="4"/>
  <c r="L214" i="4"/>
  <c r="L153" i="4"/>
  <c r="L864" i="4"/>
  <c r="L74" i="4"/>
  <c r="M74" i="4" s="1"/>
  <c r="L134" i="4"/>
  <c r="L272" i="4"/>
  <c r="L218" i="4"/>
  <c r="L548" i="4"/>
  <c r="M548" i="4" s="1"/>
  <c r="L999" i="4"/>
  <c r="M999" i="4" s="1"/>
  <c r="L249" i="4"/>
  <c r="M249" i="4" s="1"/>
  <c r="L398" i="4"/>
  <c r="M398" i="4" s="1"/>
  <c r="L589" i="4"/>
  <c r="M589" i="4" s="1"/>
  <c r="L781" i="4"/>
  <c r="L96" i="4"/>
  <c r="L635" i="4"/>
  <c r="L503" i="4"/>
  <c r="L675" i="4"/>
  <c r="L324" i="4"/>
  <c r="L351" i="4"/>
  <c r="M351" i="4" s="1"/>
  <c r="L426" i="4"/>
  <c r="M39" i="4"/>
  <c r="P39" i="4" s="1"/>
  <c r="H573" i="4"/>
  <c r="L618" i="4"/>
  <c r="M618" i="4" s="1"/>
  <c r="L691" i="4"/>
  <c r="L552" i="4"/>
  <c r="L116" i="4"/>
  <c r="L878" i="4"/>
  <c r="L875" i="4"/>
  <c r="M875" i="4" s="1"/>
  <c r="L171" i="4"/>
  <c r="L440" i="4"/>
  <c r="M440" i="4" s="1"/>
  <c r="L92" i="4"/>
  <c r="L829" i="4"/>
  <c r="L596" i="4"/>
  <c r="L660" i="4"/>
  <c r="M660" i="4" s="1"/>
  <c r="L1026" i="4"/>
  <c r="L103" i="4"/>
  <c r="L657" i="4"/>
  <c r="L428" i="4"/>
  <c r="L59" i="4"/>
  <c r="L288" i="4"/>
  <c r="M288" i="4" s="1"/>
  <c r="L908" i="4"/>
  <c r="H813" i="4"/>
  <c r="M105" i="4"/>
  <c r="P105" i="4" s="1"/>
  <c r="P991" i="4"/>
  <c r="L241" i="4"/>
  <c r="L988" i="4"/>
  <c r="L498" i="4"/>
  <c r="L318" i="4"/>
  <c r="L923" i="4"/>
  <c r="H305" i="4"/>
  <c r="L563" i="4"/>
  <c r="L115" i="4"/>
  <c r="L554" i="4"/>
  <c r="L806" i="4"/>
  <c r="L733" i="4"/>
  <c r="L109" i="4"/>
  <c r="L640" i="4"/>
  <c r="H847" i="4"/>
  <c r="L837" i="4"/>
  <c r="L368" i="4"/>
  <c r="L484" i="4"/>
  <c r="M484" i="4" s="1"/>
  <c r="L782" i="4"/>
  <c r="L978" i="4"/>
  <c r="H556" i="4"/>
  <c r="H480" i="4"/>
  <c r="H482" i="4"/>
  <c r="H127" i="4"/>
  <c r="H188" i="4"/>
  <c r="M811" i="4"/>
  <c r="H55" i="4"/>
  <c r="M689" i="4"/>
  <c r="P689" i="4" s="1"/>
  <c r="M382" i="4"/>
  <c r="L260" i="4"/>
  <c r="L601" i="4"/>
  <c r="M601" i="4" s="1"/>
  <c r="L261" i="4"/>
  <c r="L901" i="4"/>
  <c r="L731" i="4"/>
  <c r="L417" i="4"/>
  <c r="M417" i="4" s="1"/>
  <c r="L719" i="4"/>
  <c r="L738" i="4"/>
  <c r="L820" i="4"/>
  <c r="L787" i="4"/>
  <c r="L334" i="4"/>
  <c r="L505" i="4"/>
  <c r="L920" i="4"/>
  <c r="L757" i="4"/>
  <c r="L546" i="4"/>
  <c r="L248" i="4"/>
  <c r="L624" i="4"/>
  <c r="L45" i="4"/>
  <c r="L625" i="4"/>
  <c r="L136" i="4"/>
  <c r="L284" i="4"/>
  <c r="L285" i="4"/>
  <c r="L138" i="4"/>
  <c r="M138" i="4" s="1"/>
  <c r="L268" i="4"/>
  <c r="L420" i="4"/>
  <c r="L97" i="4"/>
  <c r="L818" i="4"/>
  <c r="L195" i="4"/>
  <c r="L566" i="4"/>
  <c r="L708" i="4"/>
  <c r="L573" i="4"/>
  <c r="L394" i="4"/>
  <c r="M394" i="4" s="1"/>
  <c r="L230" i="4"/>
  <c r="L682" i="4"/>
  <c r="L78" i="4"/>
  <c r="L181" i="4"/>
  <c r="M181" i="4" s="1"/>
  <c r="L36" i="4"/>
  <c r="L810" i="4"/>
  <c r="M810" i="4" s="1"/>
  <c r="L416" i="4"/>
  <c r="M416" i="4" s="1"/>
  <c r="L865" i="4"/>
  <c r="L392" i="4"/>
  <c r="L936" i="4"/>
  <c r="L579" i="4"/>
  <c r="L565" i="4"/>
  <c r="L114" i="4"/>
  <c r="L925" i="4"/>
  <c r="L439" i="4"/>
  <c r="M439" i="4" s="1"/>
  <c r="L873" i="4"/>
  <c r="M873" i="4" s="1"/>
  <c r="L215" i="4"/>
  <c r="L491" i="4"/>
  <c r="L374" i="4"/>
  <c r="M374" i="4" s="1"/>
  <c r="L196" i="4"/>
  <c r="L858" i="4"/>
  <c r="L167" i="4"/>
  <c r="L768" i="4"/>
  <c r="L95" i="4"/>
  <c r="L257" i="4"/>
  <c r="L245" i="4"/>
  <c r="L221" i="4"/>
  <c r="L701" i="4"/>
  <c r="L739" i="4"/>
  <c r="L906" i="4"/>
  <c r="L720" i="4"/>
  <c r="L915" i="4"/>
  <c r="L742" i="4"/>
  <c r="L516" i="4"/>
  <c r="L307" i="4"/>
  <c r="L495" i="4"/>
  <c r="L1024" i="4"/>
  <c r="M1024" i="4" s="1"/>
  <c r="L808" i="4"/>
  <c r="L575" i="4"/>
  <c r="M575" i="4" s="1"/>
  <c r="L335" i="4"/>
  <c r="L137" i="4"/>
  <c r="L851" i="4"/>
  <c r="L981" i="4"/>
  <c r="L807" i="4"/>
  <c r="L588" i="4"/>
  <c r="L391" i="4"/>
  <c r="L840" i="4"/>
  <c r="L207" i="4"/>
  <c r="L987" i="4"/>
  <c r="M987" i="4" s="1"/>
  <c r="L258" i="4"/>
  <c r="L1003" i="4"/>
  <c r="M1003" i="4" s="1"/>
  <c r="L290" i="4"/>
  <c r="M290" i="4" s="1"/>
  <c r="L653" i="4"/>
  <c r="L286" i="4"/>
  <c r="L209" i="4"/>
  <c r="L485" i="4"/>
  <c r="L895" i="4"/>
  <c r="L827" i="4"/>
  <c r="L54" i="4"/>
  <c r="L813" i="4"/>
  <c r="L486" i="4"/>
  <c r="L308" i="4"/>
  <c r="L598" i="4"/>
  <c r="M598" i="4" s="1"/>
  <c r="L608" i="4"/>
  <c r="L592" i="4"/>
  <c r="M592" i="4" s="1"/>
  <c r="L856" i="4"/>
  <c r="L613" i="4"/>
  <c r="L526" i="4"/>
  <c r="L1008" i="4"/>
  <c r="L555" i="4"/>
  <c r="L582" i="4"/>
  <c r="L755" i="4"/>
  <c r="L839" i="4"/>
  <c r="L930" i="4"/>
  <c r="L888" i="4"/>
  <c r="L868" i="4"/>
  <c r="M868" i="4" s="1"/>
  <c r="L1006" i="4"/>
  <c r="L697" i="4"/>
  <c r="M697" i="4" s="1"/>
  <c r="L219" i="4"/>
  <c r="L636" i="4"/>
  <c r="L451" i="4"/>
  <c r="L156" i="4"/>
  <c r="L135" i="4"/>
  <c r="L848" i="4"/>
  <c r="L703" i="4"/>
  <c r="L545" i="4"/>
  <c r="L620" i="4"/>
  <c r="L106" i="4"/>
  <c r="M106" i="4" s="1"/>
  <c r="L132" i="4"/>
  <c r="L360" i="4"/>
  <c r="L297" i="4"/>
  <c r="L543" i="4"/>
  <c r="L380" i="4"/>
  <c r="L626" i="4"/>
  <c r="L337" i="4"/>
  <c r="L984" i="4"/>
  <c r="L934" i="4"/>
  <c r="L61" i="4"/>
  <c r="L121" i="4"/>
  <c r="M121" i="4" s="1"/>
  <c r="L774" i="4"/>
  <c r="L452" i="4"/>
  <c r="L52" i="4"/>
  <c r="L645" i="4"/>
  <c r="L348" i="4"/>
  <c r="L345" i="4"/>
  <c r="L480" i="4"/>
  <c r="L477" i="4"/>
  <c r="L432" i="4"/>
  <c r="L468" i="4"/>
  <c r="L342" i="4"/>
  <c r="L783" i="4"/>
  <c r="L352" i="4"/>
  <c r="M352" i="4" s="1"/>
  <c r="L557" i="4"/>
  <c r="L887" i="4"/>
  <c r="M887" i="4" s="1"/>
  <c r="L577" i="4"/>
  <c r="L549" i="4"/>
  <c r="L421" i="4"/>
  <c r="L182" i="4"/>
  <c r="L349" i="4"/>
  <c r="L367" i="4"/>
  <c r="L860" i="4"/>
  <c r="L203" i="4"/>
  <c r="L717" i="4"/>
  <c r="L208" i="4"/>
  <c r="M208" i="4" s="1"/>
  <c r="L175" i="4"/>
  <c r="L192" i="4"/>
  <c r="L151" i="4"/>
  <c r="L436" i="4"/>
  <c r="L418" i="4"/>
  <c r="L173" i="4"/>
  <c r="L113" i="4"/>
  <c r="L542" i="4"/>
  <c r="L160" i="4"/>
  <c r="L220" i="4"/>
  <c r="L594" i="4"/>
  <c r="L385" i="4"/>
  <c r="L64" i="4"/>
  <c r="L977" i="4"/>
  <c r="L932" i="4"/>
  <c r="L684" i="4"/>
  <c r="L476" i="4"/>
  <c r="L148" i="4"/>
  <c r="L35" i="4"/>
  <c r="L358" i="4"/>
  <c r="M358" i="4" s="1"/>
  <c r="L57" i="4"/>
  <c r="L666" i="4"/>
  <c r="L474" i="4"/>
  <c r="L168" i="4"/>
  <c r="L31" i="4"/>
  <c r="M31" i="4" s="1"/>
  <c r="L37" i="4"/>
  <c r="L721" i="4"/>
  <c r="L277" i="4"/>
  <c r="L913" i="4"/>
  <c r="L688" i="4"/>
  <c r="M688" i="4" s="1"/>
  <c r="L431" i="4"/>
  <c r="L269" i="4"/>
  <c r="L643" i="4"/>
  <c r="L274" i="4"/>
  <c r="L197" i="4"/>
  <c r="M197" i="4" s="1"/>
  <c r="L764" i="4"/>
  <c r="M764" i="4" s="1"/>
  <c r="L751" i="4"/>
  <c r="L838" i="4"/>
  <c r="L652" i="4"/>
  <c r="L948" i="4"/>
  <c r="L442" i="4"/>
  <c r="L264" i="4"/>
  <c r="L801" i="4"/>
  <c r="L556" i="4"/>
  <c r="L372" i="4"/>
  <c r="L567" i="4"/>
  <c r="L892" i="4"/>
  <c r="L441" i="4"/>
  <c r="L970" i="4"/>
  <c r="L530" i="4"/>
  <c r="L763" i="4"/>
  <c r="M763" i="4" s="1"/>
  <c r="L891" i="4"/>
  <c r="L707" i="4"/>
  <c r="L955" i="4"/>
  <c r="L612" i="4"/>
  <c r="L609" i="4"/>
  <c r="L370" i="4"/>
  <c r="L184" i="4"/>
  <c r="L296" i="4"/>
  <c r="M296" i="4" s="1"/>
  <c r="L621" i="4"/>
  <c r="L152" i="4"/>
  <c r="L69" i="4"/>
  <c r="L819" i="4"/>
  <c r="M819" i="4" s="1"/>
  <c r="L251" i="4"/>
  <c r="L990" i="4"/>
  <c r="L375" i="4"/>
  <c r="L762" i="4"/>
  <c r="L816" i="4"/>
  <c r="M816" i="4" s="1"/>
  <c r="L75" i="4"/>
  <c r="M75" i="4" s="1"/>
  <c r="L538" i="4"/>
  <c r="L280" i="4"/>
  <c r="L124" i="4"/>
  <c r="L327" i="4"/>
  <c r="L995" i="4"/>
  <c r="M995" i="4" s="1"/>
  <c r="L162" i="4"/>
  <c r="L273" i="4"/>
  <c r="L599" i="4"/>
  <c r="L759" i="4"/>
  <c r="L339" i="4"/>
  <c r="L712" i="4"/>
  <c r="M712" i="4" s="1"/>
  <c r="L1018" i="4"/>
  <c r="L100" i="4"/>
  <c r="L994" i="4"/>
  <c r="M994" i="4" s="1"/>
  <c r="L670" i="4"/>
  <c r="L222" i="4"/>
  <c r="L772" i="4"/>
  <c r="L159" i="4"/>
  <c r="L889" i="4"/>
  <c r="L157" i="4"/>
  <c r="L460" i="4"/>
  <c r="L777" i="4"/>
  <c r="L390" i="4"/>
  <c r="L983" i="4"/>
  <c r="L942" i="4"/>
  <c r="M942" i="4" s="1"/>
  <c r="L256" i="4"/>
  <c r="L791" i="4"/>
  <c r="M791" i="4" s="1"/>
  <c r="L527" i="4"/>
  <c r="L775" i="4"/>
  <c r="L300" i="4"/>
  <c r="L680" i="4"/>
  <c r="L363" i="4"/>
  <c r="L872" i="4"/>
  <c r="L282" i="4"/>
  <c r="L490" i="4"/>
  <c r="L812" i="4"/>
  <c r="L902" i="4"/>
  <c r="L366" i="4"/>
  <c r="L780" i="4"/>
  <c r="L715" i="4"/>
  <c r="L210" i="4"/>
  <c r="L962" i="4"/>
  <c r="L941" i="4"/>
  <c r="L189" i="4"/>
  <c r="L80" i="4"/>
  <c r="L754" i="4"/>
  <c r="L329" i="4"/>
  <c r="M329" i="4" s="1"/>
  <c r="L590" i="4"/>
  <c r="L46" i="4"/>
  <c r="L119" i="4"/>
  <c r="M119" i="4" s="1"/>
  <c r="L1028" i="4"/>
  <c r="L323" i="4"/>
  <c r="L275" i="4"/>
  <c r="L263" i="4"/>
  <c r="M263" i="4" s="1"/>
  <c r="L523" i="4"/>
  <c r="L463" i="4"/>
  <c r="L982" i="4"/>
  <c r="L611" i="4"/>
  <c r="L765" i="4"/>
  <c r="L861" i="4"/>
  <c r="L633" i="4"/>
  <c r="L383" i="4"/>
  <c r="M383" i="4" s="1"/>
  <c r="L185" i="4"/>
  <c r="M185" i="4" s="1"/>
  <c r="L610" i="4"/>
  <c r="L863" i="4"/>
  <c r="L690" i="4"/>
  <c r="L454" i="4"/>
  <c r="L259" i="4"/>
  <c r="L747" i="4"/>
  <c r="L578" i="4"/>
  <c r="L926" i="4"/>
  <c r="L702" i="4"/>
  <c r="L443" i="4"/>
  <c r="L281" i="4"/>
  <c r="L216" i="4"/>
  <c r="L855" i="4"/>
  <c r="L450" i="4"/>
  <c r="M450" i="4" s="1"/>
  <c r="L172" i="4"/>
  <c r="L897" i="4"/>
  <c r="L70" i="4"/>
  <c r="L665" i="4"/>
  <c r="L67" i="4"/>
  <c r="L343" i="4"/>
  <c r="M343" i="4" s="1"/>
  <c r="L1007" i="4"/>
  <c r="L980" i="4"/>
  <c r="L102" i="4"/>
  <c r="M102" i="4" s="1"/>
  <c r="L204" i="4"/>
  <c r="L912" i="4"/>
  <c r="L600" i="4"/>
  <c r="L815" i="4"/>
  <c r="L694" i="4"/>
  <c r="L663" i="4"/>
  <c r="L236" i="4"/>
  <c r="L354" i="4"/>
  <c r="L931" i="4"/>
  <c r="L919" i="4"/>
  <c r="L745" i="4"/>
  <c r="L243" i="4"/>
  <c r="M243" i="4" s="1"/>
  <c r="L822" i="4"/>
  <c r="L237" i="4"/>
  <c r="L904" i="4"/>
  <c r="L1015" i="4"/>
  <c r="L974" i="4"/>
  <c r="L975" i="4"/>
  <c r="L954" i="4"/>
  <c r="L462" i="4"/>
  <c r="L831" i="4"/>
  <c r="L292" i="4"/>
  <c r="L766" i="4"/>
  <c r="L727" i="4"/>
  <c r="L714" i="4"/>
  <c r="L509" i="4"/>
  <c r="L884" i="4"/>
  <c r="L784" i="4"/>
  <c r="L489" i="4"/>
  <c r="L671" i="4"/>
  <c r="L294" i="4"/>
  <c r="L247" i="4"/>
  <c r="L583" i="4"/>
  <c r="L805" i="4"/>
  <c r="L47" i="4"/>
  <c r="L298" i="4"/>
  <c r="L262" i="4"/>
  <c r="L271" i="4"/>
  <c r="L235" i="4"/>
  <c r="L177" i="4"/>
  <c r="L200" i="4"/>
  <c r="L894" i="4"/>
  <c r="L704" i="4"/>
  <c r="L456" i="4"/>
  <c r="L239" i="4"/>
  <c r="L149" i="4"/>
  <c r="L198" i="4"/>
  <c r="L706" i="4"/>
  <c r="L518" i="4"/>
  <c r="L229" i="4"/>
  <c r="L91" i="4"/>
  <c r="L393" i="4"/>
  <c r="L790" i="4"/>
  <c r="L769" i="4"/>
  <c r="L531" i="4"/>
  <c r="L299" i="4"/>
  <c r="L101" i="4"/>
  <c r="L1021" i="4"/>
  <c r="L164" i="4"/>
  <c r="L224" i="4"/>
  <c r="L951" i="4"/>
  <c r="L740" i="4"/>
  <c r="L547" i="4"/>
  <c r="L521" i="4"/>
  <c r="L929" i="4"/>
  <c r="L199" i="4"/>
  <c r="L33" i="4"/>
  <c r="L695" i="4"/>
  <c r="L387" i="4"/>
  <c r="L867" i="4"/>
  <c r="L444" i="4"/>
  <c r="L776" i="4"/>
  <c r="L404" i="4"/>
  <c r="L960" i="4"/>
  <c r="L519" i="4"/>
  <c r="L669" i="4"/>
  <c r="L344" i="4"/>
  <c r="L561" i="4"/>
  <c r="L558" i="4"/>
  <c r="L924" i="4"/>
  <c r="L795" i="4"/>
  <c r="L973" i="4"/>
  <c r="L364" i="4"/>
  <c r="L724" i="4"/>
  <c r="L42" i="4"/>
  <c r="L800" i="4"/>
  <c r="L678" i="4"/>
  <c r="L328" i="4"/>
  <c r="L779" i="4"/>
  <c r="L126" i="4"/>
  <c r="L63" i="4"/>
  <c r="L458" i="4"/>
  <c r="L166" i="4"/>
  <c r="L616" i="4"/>
  <c r="L551" i="4"/>
  <c r="L169" i="4"/>
  <c r="L396" i="4"/>
  <c r="L963" i="4"/>
  <c r="L833" i="4"/>
  <c r="L163" i="4"/>
  <c r="L502" i="4"/>
  <c r="L655" i="4"/>
  <c r="L619" i="4"/>
  <c r="L607" i="4"/>
  <c r="L1001" i="4"/>
  <c r="L965" i="4"/>
  <c r="L836" i="4"/>
  <c r="M836" i="4" s="1"/>
  <c r="L479" i="4"/>
  <c r="M479" i="4" s="1"/>
  <c r="L736" i="4"/>
  <c r="L534" i="4"/>
  <c r="L231" i="4"/>
  <c r="M231" i="4" s="1"/>
  <c r="L83" i="4"/>
  <c r="L539" i="4"/>
  <c r="L718" i="4"/>
  <c r="L537" i="4"/>
  <c r="L313" i="4"/>
  <c r="L482" i="4"/>
  <c r="L893" i="4"/>
  <c r="L180" i="4"/>
  <c r="L802" i="4"/>
  <c r="L606" i="4"/>
  <c r="L330" i="4"/>
  <c r="L143" i="4"/>
  <c r="L967" i="4"/>
  <c r="L1014" i="4"/>
  <c r="L825" i="4"/>
  <c r="L968" i="4"/>
  <c r="L794" i="4"/>
  <c r="L574" i="4"/>
  <c r="L379" i="4"/>
  <c r="L377" i="4"/>
  <c r="L785" i="4"/>
  <c r="L55" i="4"/>
  <c r="L854" i="4"/>
  <c r="L650" i="4"/>
  <c r="M336" i="4"/>
  <c r="M276" i="4"/>
  <c r="M640" i="4"/>
  <c r="L629" i="4"/>
  <c r="L499" i="4"/>
  <c r="L238" i="4"/>
  <c r="L457" i="4"/>
  <c r="M457" i="4" s="1"/>
  <c r="L186" i="4"/>
  <c r="L933" i="4"/>
  <c r="L250" i="4"/>
  <c r="L964" i="4"/>
  <c r="M964" i="4" s="1"/>
  <c r="L520" i="4"/>
  <c r="L427" i="4"/>
  <c r="L898" i="4"/>
  <c r="L841" i="4"/>
  <c r="L581" i="4"/>
  <c r="L1002" i="4"/>
  <c r="L141" i="4"/>
  <c r="L726" i="4"/>
  <c r="M726" i="4" s="1"/>
  <c r="L94" i="4"/>
  <c r="L989" i="4"/>
  <c r="L700" i="4"/>
  <c r="M700" i="4" s="1"/>
  <c r="L661" i="4"/>
  <c r="L305" i="4"/>
  <c r="L522" i="4"/>
  <c r="L604" i="4"/>
  <c r="L437" i="4"/>
  <c r="L371" i="4"/>
  <c r="L729" i="4"/>
  <c r="L644" i="4"/>
  <c r="M644" i="4" s="1"/>
  <c r="L997" i="4"/>
  <c r="M997" i="4" s="1"/>
  <c r="L750" i="4"/>
  <c r="L603" i="4"/>
  <c r="L986" i="4"/>
  <c r="L373" i="4"/>
  <c r="H120" i="4"/>
  <c r="M423" i="4"/>
  <c r="M738" i="4"/>
  <c r="M903" i="4"/>
  <c r="H883" i="4"/>
  <c r="M187" i="4"/>
  <c r="P187" i="4" s="1"/>
  <c r="M917" i="4"/>
  <c r="M641" i="4"/>
  <c r="P338" i="4"/>
  <c r="M725" i="4"/>
  <c r="M233" i="4"/>
  <c r="M505" i="4"/>
  <c r="H93" i="4"/>
  <c r="M331" i="4"/>
  <c r="M256" i="4"/>
  <c r="M978" i="4"/>
  <c r="M501" i="4"/>
  <c r="M547" i="4"/>
  <c r="M719" i="4"/>
  <c r="L686" i="4"/>
  <c r="L683" i="4"/>
  <c r="L321" i="4"/>
  <c r="L51" i="4"/>
  <c r="L760" i="4"/>
  <c r="L748" i="4"/>
  <c r="L99" i="4"/>
  <c r="L939" i="4"/>
  <c r="L81" i="4"/>
  <c r="L541" i="4"/>
  <c r="L866" i="4"/>
  <c r="L79" i="4"/>
  <c r="M79" i="4" s="1"/>
  <c r="L88" i="4"/>
  <c r="L129" i="4"/>
  <c r="L252" i="4"/>
  <c r="L188" i="4"/>
  <c r="L170" i="4"/>
  <c r="L470" i="4"/>
  <c r="L770" i="4"/>
  <c r="L996" i="4"/>
  <c r="L647" i="4"/>
  <c r="L796" i="4"/>
  <c r="L406" i="4"/>
  <c r="L315" i="4"/>
  <c r="L993" i="4"/>
  <c r="L445" i="4"/>
  <c r="L483" i="4"/>
  <c r="L108" i="4"/>
  <c r="L104" i="4"/>
  <c r="L447" i="4"/>
  <c r="L254" i="4"/>
  <c r="L803" i="4"/>
  <c r="L278" i="4"/>
  <c r="L1019" i="4"/>
  <c r="L896" i="4"/>
  <c r="L870" i="4"/>
  <c r="L540" i="4"/>
  <c r="L944" i="4"/>
  <c r="L710" i="4"/>
  <c r="L183" i="4"/>
  <c r="L84" i="4"/>
  <c r="L397" i="4"/>
  <c r="L732" i="4"/>
  <c r="L267" i="4"/>
  <c r="L615" i="4"/>
  <c r="L938" i="4"/>
  <c r="L510" i="4"/>
  <c r="L679" i="4"/>
  <c r="L325" i="4"/>
  <c r="L481" i="4"/>
  <c r="L744" i="4"/>
  <c r="L587" i="4"/>
  <c r="L515" i="4"/>
  <c r="L921" i="4"/>
  <c r="L799" i="4"/>
  <c r="L853" i="4"/>
  <c r="L553" i="4"/>
  <c r="L672" i="4"/>
  <c r="L49" i="4"/>
  <c r="L946" i="4"/>
  <c r="L535" i="4"/>
  <c r="L73" i="4"/>
  <c r="L301" i="4"/>
  <c r="L226" i="4"/>
  <c r="L961" i="4"/>
  <c r="L662" i="4"/>
  <c r="L638" i="4"/>
  <c r="L957" i="4"/>
  <c r="L234" i="4"/>
  <c r="L972" i="4"/>
  <c r="L410" i="4"/>
  <c r="L435" i="4"/>
  <c r="L422" i="4"/>
  <c r="L320" i="4"/>
  <c r="L572" i="4"/>
  <c r="L464" i="4"/>
  <c r="L388" i="4"/>
  <c r="L692" i="4"/>
  <c r="L656" i="4"/>
  <c r="L1000" i="4"/>
  <c r="L886" i="4"/>
  <c r="L1027" i="4"/>
  <c r="L536" i="4"/>
  <c r="L1010" i="4"/>
  <c r="L709" i="4"/>
  <c r="L496" i="4"/>
  <c r="L900" i="4"/>
  <c r="L828" i="4"/>
  <c r="L890" i="4"/>
  <c r="L174" i="4"/>
  <c r="L291" i="4"/>
  <c r="L637" i="4"/>
  <c r="L429" i="4"/>
  <c r="L471" i="4"/>
  <c r="L654" i="4"/>
  <c r="L369" i="4"/>
  <c r="L76" i="4"/>
  <c r="L227" i="4"/>
  <c r="L1005" i="4"/>
  <c r="L133" i="4"/>
  <c r="L28" i="4"/>
  <c r="L466" i="4"/>
  <c r="L48" i="4"/>
  <c r="L433" i="4"/>
  <c r="L145" i="4"/>
  <c r="L500" i="4"/>
  <c r="L668" i="4"/>
  <c r="L424" i="4"/>
  <c r="L40" i="4"/>
  <c r="L1020" i="4"/>
  <c r="L798" i="4"/>
  <c r="L508" i="4"/>
  <c r="L746" i="4"/>
  <c r="L514" i="4"/>
  <c r="L804" i="4"/>
  <c r="L877" i="4"/>
  <c r="L465" i="4"/>
  <c r="L597" i="4"/>
  <c r="L412" i="4"/>
  <c r="L786" i="4"/>
  <c r="L817" i="4"/>
  <c r="L658" i="4"/>
  <c r="L346" i="4"/>
  <c r="L569" i="4"/>
  <c r="L507" i="4"/>
  <c r="L874" i="4"/>
  <c r="L213" i="4"/>
  <c r="L832" i="4"/>
  <c r="L72" i="4"/>
  <c r="L883" i="4"/>
  <c r="L568" i="4"/>
  <c r="L928" i="4"/>
  <c r="L852" i="4"/>
  <c r="L504" i="4"/>
  <c r="L723" i="4"/>
  <c r="L120" i="4"/>
  <c r="L562" i="4"/>
  <c r="L580" i="4"/>
  <c r="L693" i="4"/>
  <c r="L525" i="4"/>
  <c r="L937" i="4"/>
  <c r="L880" i="4"/>
  <c r="L340" i="4"/>
  <c r="L876" i="4"/>
  <c r="L909" i="4"/>
  <c r="L544" i="4"/>
  <c r="L673" i="4"/>
  <c r="L646" i="4"/>
  <c r="L778" i="4"/>
  <c r="L947" i="4"/>
  <c r="L117" i="4"/>
  <c r="L823" i="4"/>
  <c r="L842" i="4"/>
  <c r="L830" i="4"/>
  <c r="L381" i="4"/>
  <c r="L698" i="4"/>
  <c r="L265" i="4"/>
  <c r="L835" i="4"/>
  <c r="L918" i="4"/>
  <c r="L788" i="4"/>
  <c r="L529" i="4"/>
  <c r="L628" i="4"/>
  <c r="L140" i="4"/>
  <c r="M608" i="4"/>
  <c r="H763" i="4"/>
  <c r="M923" i="4"/>
  <c r="H725" i="4"/>
  <c r="H179" i="4"/>
  <c r="H798" i="4"/>
  <c r="H474" i="4"/>
  <c r="L123" i="4"/>
  <c r="M762" i="4"/>
  <c r="L528" i="4"/>
  <c r="M843" i="4"/>
  <c r="H219" i="4"/>
  <c r="L53" i="4"/>
  <c r="L862" i="4"/>
  <c r="L304" i="4"/>
  <c r="H908" i="4"/>
  <c r="M136" i="4"/>
  <c r="M399" i="4"/>
  <c r="H384" i="4"/>
  <c r="M801" i="4"/>
  <c r="L550" i="4"/>
  <c r="L201" i="4"/>
  <c r="M686" i="4"/>
  <c r="L639" i="4"/>
  <c r="L943" i="4"/>
  <c r="L144" i="4"/>
  <c r="L430" i="4"/>
  <c r="L705" i="4"/>
  <c r="L659" i="4"/>
  <c r="L969" i="4"/>
  <c r="M1007" i="4"/>
  <c r="M914" i="4"/>
  <c r="M280" i="4"/>
  <c r="M585" i="4"/>
  <c r="M743" i="4"/>
  <c r="M337" i="4"/>
  <c r="M438" i="4"/>
  <c r="M992" i="4"/>
  <c r="M864" i="4"/>
  <c r="M35" i="4"/>
  <c r="M488" i="4"/>
  <c r="M339" i="4"/>
  <c r="M115" i="4"/>
  <c r="M86" i="4"/>
  <c r="M604" i="4"/>
  <c r="M390" i="4"/>
  <c r="M684" i="4"/>
  <c r="M354" i="4"/>
  <c r="M517" i="4"/>
  <c r="M240" i="4"/>
  <c r="M334" i="4"/>
  <c r="M635" i="4"/>
  <c r="M135" i="4"/>
  <c r="M122" i="4"/>
  <c r="M487" i="4"/>
  <c r="M214" i="4"/>
  <c r="M455" i="4"/>
  <c r="M927" i="4"/>
  <c r="M627" i="4"/>
  <c r="M699" i="4"/>
  <c r="M834" i="4"/>
  <c r="M971" i="4"/>
  <c r="M462" i="4"/>
  <c r="M211" i="4"/>
  <c r="M205" i="4"/>
  <c r="M573" i="4"/>
  <c r="M66" i="4"/>
  <c r="M30" i="4"/>
  <c r="M789" i="4"/>
  <c r="M309" i="4"/>
  <c r="M809" i="4"/>
  <c r="M110" i="4"/>
  <c r="M755" i="4"/>
  <c r="M869" i="4"/>
  <c r="M503" i="4"/>
  <c r="M402" i="4"/>
  <c r="M976" i="4"/>
  <c r="M448" i="4"/>
  <c r="M154" i="4"/>
  <c r="M621" i="4"/>
  <c r="M847" i="4"/>
  <c r="M60" i="4"/>
  <c r="M922" i="4"/>
  <c r="M415" i="4"/>
  <c r="M32" i="4"/>
  <c r="M519" i="4"/>
  <c r="M401" i="4"/>
  <c r="M856" i="4"/>
  <c r="M116" i="4"/>
  <c r="M179" i="4"/>
  <c r="M344" i="4"/>
  <c r="M632" i="4"/>
  <c r="M793" i="4"/>
  <c r="M306" i="4"/>
  <c r="M355" i="4"/>
  <c r="M1016" i="4"/>
  <c r="M71" i="4"/>
  <c r="M924" i="4"/>
  <c r="M781" i="4"/>
  <c r="M958" i="4"/>
  <c r="M279" i="4"/>
  <c r="M303" i="4"/>
  <c r="M365" i="4"/>
  <c r="M953" i="4"/>
  <c r="M361" i="4"/>
  <c r="M737" i="4"/>
  <c r="M428" i="4"/>
  <c r="M631" i="4"/>
  <c r="M289" i="4"/>
  <c r="M734" i="4"/>
  <c r="P734" i="4" s="1"/>
  <c r="M242" i="4"/>
  <c r="M565" i="4"/>
  <c r="M735" i="4"/>
  <c r="M131" i="4"/>
  <c r="M882" i="4"/>
  <c r="M661" i="4"/>
  <c r="M782" i="4"/>
  <c r="M29" i="4"/>
  <c r="M595" i="4"/>
  <c r="M293" i="4"/>
  <c r="M176" i="4"/>
  <c r="M314" i="4"/>
  <c r="M326" i="4"/>
  <c r="M62" i="4"/>
  <c r="M332" i="4"/>
  <c r="M252" i="4"/>
  <c r="M312" i="4"/>
  <c r="M283" i="4"/>
  <c r="M490" i="4"/>
  <c r="M1004" i="4"/>
  <c r="M767" i="4"/>
  <c r="M950" i="4"/>
  <c r="M95" i="4"/>
  <c r="M513" i="4"/>
  <c r="M664" i="4"/>
  <c r="M888" i="4"/>
  <c r="M727" i="4"/>
  <c r="M1018" i="4"/>
  <c r="M349" i="4"/>
  <c r="M722" i="4"/>
  <c r="M775" i="4"/>
  <c r="H235" i="4"/>
  <c r="M407" i="4"/>
  <c r="M554" i="4"/>
  <c r="M210" i="4"/>
  <c r="M511" i="4"/>
  <c r="M717" i="4"/>
  <c r="M612" i="4"/>
  <c r="M579" i="4"/>
  <c r="M431" i="4"/>
  <c r="M324" i="4"/>
  <c r="M362" i="4"/>
  <c r="M59" i="4"/>
  <c r="M594" i="4"/>
  <c r="M37" i="4"/>
  <c r="M42" i="4"/>
  <c r="M911" i="4"/>
  <c r="M272" i="4"/>
  <c r="M625" i="4"/>
  <c r="M459" i="4"/>
  <c r="M113" i="4"/>
  <c r="M977" i="4"/>
  <c r="M945" i="4"/>
  <c r="M269" i="4"/>
  <c r="M881" i="4"/>
  <c r="M395" i="4"/>
  <c r="M446" i="4"/>
  <c r="M506" i="4"/>
  <c r="P423" i="4"/>
  <c r="M713" i="4"/>
  <c r="P713" i="4" s="1"/>
  <c r="M295" i="4"/>
  <c r="M88" i="4"/>
  <c r="M768" i="4"/>
  <c r="M752" i="4"/>
  <c r="M676" i="4"/>
  <c r="M68" i="4"/>
  <c r="M491" i="4"/>
  <c r="M270" i="4"/>
  <c r="M716" i="4"/>
  <c r="M319" i="4"/>
  <c r="M221" i="4"/>
  <c r="M696" i="4"/>
  <c r="M469" i="4"/>
  <c r="M871" i="4"/>
  <c r="M56" i="4"/>
  <c r="M359" i="4"/>
  <c r="M634" i="4"/>
  <c r="M87" i="4"/>
  <c r="M642" i="4"/>
  <c r="M38" i="4"/>
  <c r="M1012" i="4"/>
  <c r="M602" i="4"/>
  <c r="M952" i="4"/>
  <c r="M34" i="4"/>
  <c r="M576" i="4"/>
  <c r="P212" i="4"/>
  <c r="M186" i="4"/>
  <c r="M1017" i="4"/>
  <c r="P1017" i="4" s="1"/>
  <c r="M1013" i="4"/>
  <c r="M473" i="4"/>
  <c r="M449" i="4"/>
  <c r="M758" i="4"/>
  <c r="M128" i="4"/>
  <c r="M617" i="4"/>
  <c r="M419" i="4"/>
  <c r="M675" i="4"/>
  <c r="M824" i="4"/>
  <c r="M532" i="4"/>
  <c r="M979" i="4"/>
  <c r="M218" i="4"/>
  <c r="M112" i="4"/>
  <c r="M384" i="4"/>
  <c r="M593" i="4"/>
  <c r="M472" i="4"/>
  <c r="M171" i="4"/>
  <c r="M310" i="4"/>
  <c r="M356" i="4"/>
  <c r="M266" i="4"/>
  <c r="M846" i="4"/>
  <c r="M584" i="4"/>
  <c r="M605" i="4"/>
  <c r="M905" i="4"/>
  <c r="M134" i="4"/>
  <c r="M620" i="4"/>
  <c r="M146" i="4"/>
  <c r="M703" i="4"/>
  <c r="M648" i="4"/>
  <c r="M223" i="4"/>
  <c r="M522" i="4"/>
  <c r="M139" i="4"/>
  <c r="M191" i="4"/>
  <c r="M571" i="4"/>
  <c r="M161" i="4"/>
  <c r="M512" i="4"/>
  <c r="M69" i="4"/>
  <c r="M400" i="4"/>
  <c r="M1022" i="4"/>
  <c r="M771" i="4"/>
  <c r="M67" i="4"/>
  <c r="M863" i="4"/>
  <c r="M926" i="4"/>
  <c r="M578" i="4"/>
  <c r="M281" i="4"/>
  <c r="M346" i="4"/>
  <c r="M1028" i="4"/>
  <c r="M275" i="4"/>
  <c r="M754" i="4"/>
  <c r="M216" i="4"/>
  <c r="M77" i="4"/>
  <c r="M347" i="4"/>
  <c r="P347" i="4" s="1"/>
  <c r="M611" i="4"/>
  <c r="M316" i="4"/>
  <c r="M130" i="4"/>
  <c r="M409" i="4"/>
  <c r="M736" i="4"/>
  <c r="M998" i="4"/>
  <c r="M165" i="4"/>
  <c r="M761" i="4"/>
  <c r="M756" i="4"/>
  <c r="M253" i="4"/>
  <c r="M311" i="4"/>
  <c r="M949" i="4"/>
  <c r="M711" i="4"/>
  <c r="M44" i="4"/>
  <c r="M493" i="4"/>
  <c r="M1023" i="4"/>
  <c r="M287" i="4"/>
  <c r="M408" i="4"/>
  <c r="M857" i="4"/>
  <c r="M255" i="4"/>
  <c r="M85" i="4"/>
  <c r="M150" i="4"/>
  <c r="H920" i="4"/>
  <c r="H451" i="4"/>
  <c r="H445" i="4"/>
  <c r="M910" i="4"/>
  <c r="M467" i="4"/>
  <c r="P728" i="4"/>
  <c r="H650" i="4"/>
  <c r="H438" i="4"/>
  <c r="M907" i="4"/>
  <c r="M378" i="4"/>
  <c r="H322" i="4"/>
  <c r="H433" i="4"/>
  <c r="H36" i="4"/>
  <c r="M193" i="4"/>
  <c r="M389" i="4"/>
  <c r="H944" i="4"/>
  <c r="H554" i="4"/>
  <c r="H493" i="4"/>
  <c r="H954" i="4"/>
  <c r="H748" i="4"/>
  <c r="H646" i="4"/>
  <c r="M570" i="4"/>
  <c r="H466" i="4"/>
  <c r="M533" i="4"/>
  <c r="M425" i="4"/>
  <c r="M385" i="4"/>
  <c r="M667" i="4"/>
  <c r="H145" i="4"/>
  <c r="H623" i="4"/>
  <c r="H841" i="4"/>
  <c r="H103" i="4"/>
  <c r="M840" i="4"/>
  <c r="H114" i="4"/>
  <c r="M1011" i="4"/>
  <c r="H1008" i="4"/>
  <c r="M906" i="4"/>
  <c r="M225" i="4"/>
  <c r="H976" i="4"/>
  <c r="M41" i="4"/>
  <c r="M207" i="4"/>
  <c r="M985" i="4"/>
  <c r="H811" i="4"/>
  <c r="H44" i="4"/>
  <c r="M335" i="4"/>
  <c r="M495" i="4"/>
  <c r="M125" i="4"/>
  <c r="M701" i="4"/>
  <c r="H465" i="4"/>
  <c r="H989" i="4"/>
  <c r="H125" i="4"/>
  <c r="H330" i="4"/>
  <c r="M559" i="4"/>
  <c r="H677" i="4"/>
  <c r="H579" i="4"/>
  <c r="H338" i="4"/>
  <c r="M147" i="4"/>
  <c r="M651" i="4"/>
  <c r="M916" i="4"/>
  <c r="M322" i="4"/>
  <c r="M685" i="4"/>
  <c r="M497" i="4"/>
  <c r="M353" i="4"/>
  <c r="H65" i="4"/>
  <c r="H299" i="4"/>
  <c r="H702" i="4"/>
  <c r="M317" i="4"/>
  <c r="M89" i="4"/>
  <c r="M50" i="4"/>
  <c r="M966" i="4"/>
  <c r="M826" i="4"/>
  <c r="M1025" i="4"/>
  <c r="M849" i="4"/>
  <c r="M82" i="4"/>
  <c r="H279" i="4"/>
  <c r="H184" i="4"/>
  <c r="H756" i="4"/>
  <c r="H937" i="4"/>
  <c r="H607" i="4"/>
  <c r="H872" i="4"/>
  <c r="M155" i="4"/>
  <c r="M194" i="4"/>
  <c r="M898" i="4"/>
  <c r="M630" i="4"/>
  <c r="M681" i="4"/>
  <c r="M959" i="4"/>
  <c r="M90" i="4"/>
  <c r="M773" i="4"/>
  <c r="M93" i="4"/>
  <c r="M586" i="4"/>
  <c r="M614" i="4"/>
  <c r="H672" i="4"/>
  <c r="H478" i="4"/>
  <c r="H295" i="4"/>
  <c r="H918" i="4"/>
  <c r="H685" i="4"/>
  <c r="H715" i="4"/>
  <c r="H873" i="4"/>
  <c r="M475" i="4"/>
  <c r="M753" i="4"/>
  <c r="M244" i="4"/>
  <c r="M845" i="4"/>
  <c r="M899" i="4"/>
  <c r="H160" i="4"/>
  <c r="H377" i="4"/>
  <c r="H271" i="4"/>
  <c r="H397" i="4"/>
  <c r="H111" i="4"/>
  <c r="M246" i="4"/>
  <c r="M844" i="4"/>
  <c r="H664" i="4"/>
  <c r="H977" i="4"/>
  <c r="H187" i="4"/>
  <c r="H405" i="4"/>
  <c r="H1001" i="4"/>
  <c r="H906" i="4"/>
  <c r="H812" i="4"/>
  <c r="H399" i="4"/>
  <c r="H961" i="4"/>
  <c r="H467" i="4"/>
  <c r="H193" i="4"/>
  <c r="H231" i="4"/>
  <c r="H927" i="4"/>
  <c r="H122" i="4"/>
  <c r="M142" i="4"/>
  <c r="H633" i="4"/>
  <c r="H427" i="4"/>
  <c r="H696" i="4"/>
  <c r="H33" i="4"/>
  <c r="M341" i="4"/>
  <c r="M65" i="4"/>
  <c r="H882" i="4"/>
  <c r="H386" i="4"/>
  <c r="H501" i="4"/>
  <c r="H898" i="4"/>
  <c r="H331" i="4"/>
  <c r="H727" i="4"/>
  <c r="H857" i="4"/>
  <c r="H941" i="4"/>
  <c r="H1014" i="4"/>
  <c r="H973" i="4"/>
  <c r="H661" i="4"/>
  <c r="H526" i="4"/>
  <c r="H175" i="4"/>
  <c r="H717" i="4"/>
  <c r="H888" i="4"/>
  <c r="H988" i="4"/>
  <c r="H599" i="4"/>
  <c r="H575" i="4"/>
  <c r="H154" i="4"/>
  <c r="H546" i="4"/>
  <c r="H390" i="4"/>
  <c r="H344" i="4"/>
  <c r="H557" i="4"/>
  <c r="H169" i="4"/>
  <c r="H688" i="4"/>
  <c r="H40" i="4"/>
  <c r="P453" i="4"/>
  <c r="H613" i="4"/>
  <c r="H117" i="4"/>
  <c r="H260" i="4"/>
  <c r="H749" i="4"/>
  <c r="H740" i="4"/>
  <c r="H889" i="4"/>
  <c r="H810" i="4"/>
  <c r="H112" i="4"/>
  <c r="H246" i="4"/>
  <c r="H743" i="4"/>
  <c r="H276" i="4"/>
  <c r="H284" i="4"/>
  <c r="H172" i="4"/>
  <c r="H635" i="4"/>
  <c r="H761" i="4"/>
  <c r="H220" i="4"/>
  <c r="H978" i="4"/>
  <c r="H194" i="4"/>
  <c r="H142" i="4"/>
  <c r="H232" i="4"/>
  <c r="H356" i="4"/>
  <c r="H325" i="4"/>
  <c r="H328" i="4"/>
  <c r="H218" i="4"/>
  <c r="H216" i="4"/>
  <c r="H824" i="4"/>
  <c r="H792" i="4"/>
  <c r="H336" i="4"/>
  <c r="H348" i="4"/>
  <c r="H884" i="4"/>
  <c r="H767" i="4"/>
  <c r="H376" i="4"/>
  <c r="H620" i="4"/>
  <c r="H597" i="4"/>
  <c r="H996" i="4"/>
  <c r="H632" i="4"/>
  <c r="H905" i="4"/>
  <c r="H601" i="4"/>
  <c r="H695" i="4"/>
  <c r="H420" i="4"/>
  <c r="H561" i="4"/>
  <c r="H289" i="4"/>
  <c r="H773" i="4"/>
  <c r="H868" i="4"/>
  <c r="H929" i="4"/>
  <c r="H191" i="4"/>
  <c r="H259" i="4"/>
  <c r="H1026" i="4"/>
  <c r="H58" i="4"/>
  <c r="H327" i="4"/>
  <c r="H983" i="4"/>
  <c r="H699" i="4"/>
  <c r="H775" i="4"/>
  <c r="H174" i="4"/>
  <c r="H778" i="4"/>
  <c r="H312" i="4"/>
  <c r="H91" i="4"/>
  <c r="H494" i="4"/>
  <c r="H851" i="4"/>
  <c r="H850" i="4"/>
  <c r="H46" i="4"/>
  <c r="H272" i="4"/>
  <c r="H730" i="4"/>
  <c r="H32" i="4"/>
  <c r="H785" i="4"/>
  <c r="H181" i="4"/>
  <c r="H318" i="4"/>
  <c r="H894" i="4"/>
  <c r="H202" i="4"/>
  <c r="H489" i="4"/>
  <c r="H934" i="4"/>
  <c r="H469" i="4"/>
  <c r="H529" i="4"/>
  <c r="H448" i="4"/>
  <c r="H809" i="4"/>
  <c r="H612" i="4"/>
  <c r="H503" i="4"/>
  <c r="H382" i="4"/>
  <c r="H349" i="4"/>
  <c r="H1012" i="4"/>
  <c r="H329" i="4"/>
  <c r="H167" i="4"/>
  <c r="H774" i="4"/>
  <c r="H222" i="4"/>
  <c r="H948" i="4"/>
  <c r="H158" i="4"/>
  <c r="H431" i="4"/>
  <c r="H925" i="4"/>
  <c r="H31" i="4"/>
  <c r="H354" i="4"/>
  <c r="H930" i="4"/>
  <c r="H525" i="4"/>
  <c r="H324" i="4"/>
  <c r="H459" i="4"/>
  <c r="H230" i="4"/>
  <c r="H50" i="4"/>
  <c r="H645" i="4"/>
  <c r="H514" i="4"/>
  <c r="H190" i="4"/>
  <c r="H731" i="4"/>
  <c r="H779" i="4"/>
  <c r="H371" i="4"/>
  <c r="H255" i="4"/>
  <c r="H61" i="4"/>
  <c r="H571" i="4"/>
  <c r="H476" i="4"/>
  <c r="H610" i="4"/>
  <c r="H310" i="4"/>
  <c r="H497" i="4"/>
  <c r="H972" i="4"/>
  <c r="H115" i="4"/>
  <c r="H590" i="4"/>
  <c r="H673" i="4"/>
  <c r="H659" i="4"/>
  <c r="H718" i="4"/>
  <c r="H403" i="4"/>
  <c r="H545" i="4"/>
  <c r="H444" i="4"/>
  <c r="H603" i="4"/>
  <c r="H507" i="4"/>
  <c r="H582" i="4"/>
  <c r="H583" i="4"/>
  <c r="H488" i="4"/>
  <c r="H140" i="4"/>
  <c r="H241" i="4"/>
  <c r="H952" i="4"/>
  <c r="H917" i="4"/>
  <c r="H684" i="4"/>
  <c r="H248" i="4"/>
  <c r="H473" i="4"/>
  <c r="H412" i="4"/>
  <c r="H787" i="4"/>
  <c r="H595" i="4"/>
  <c r="H765" i="4"/>
  <c r="H335" i="4"/>
  <c r="H129" i="4"/>
  <c r="H936" i="4"/>
  <c r="H136" i="4"/>
  <c r="H947" i="4"/>
  <c r="H92" i="4"/>
  <c r="H815" i="4"/>
  <c r="H875" i="4"/>
  <c r="H675" i="4"/>
  <c r="H750" i="4"/>
  <c r="H138" i="4"/>
  <c r="H656" i="4"/>
  <c r="H790" i="4"/>
  <c r="H864" i="4"/>
  <c r="H994" i="4"/>
  <c r="H124" i="4"/>
  <c r="H690" i="4"/>
  <c r="H245" i="4"/>
  <c r="H508" i="4"/>
  <c r="H286" i="4"/>
  <c r="H953" i="4"/>
  <c r="H618" i="4"/>
  <c r="H524" i="4"/>
  <c r="H658" i="4"/>
  <c r="H359" i="4"/>
  <c r="H285" i="4"/>
  <c r="H1021" i="4"/>
  <c r="H429" i="4"/>
  <c r="H150" i="4"/>
  <c r="H471" i="4"/>
  <c r="H287" i="4"/>
  <c r="H197" i="4"/>
  <c r="H885" i="4"/>
  <c r="H630" i="4"/>
  <c r="H143" i="4"/>
  <c r="H861" i="4"/>
  <c r="H552" i="4"/>
  <c r="H676" i="4"/>
  <c r="H890" i="4"/>
  <c r="H499" i="4"/>
  <c r="H980" i="4"/>
  <c r="H669" i="4"/>
  <c r="H223" i="4"/>
  <c r="H283" i="4"/>
  <c r="H130" i="4"/>
  <c r="H215" i="4"/>
  <c r="H955" i="4"/>
  <c r="H66" i="4"/>
  <c r="H178" i="4"/>
  <c r="H913" i="4"/>
  <c r="H375" i="4"/>
  <c r="H654" i="4"/>
  <c r="H236" i="4"/>
  <c r="H694" i="4"/>
  <c r="H210" i="4"/>
  <c r="H49" i="4"/>
  <c r="H755" i="4"/>
  <c r="H408" i="4"/>
  <c r="H572" i="4"/>
  <c r="H797" i="4"/>
  <c r="H247" i="4"/>
  <c r="H409" i="4"/>
  <c r="H47" i="4"/>
  <c r="H923" i="4"/>
  <c r="H432" i="4"/>
  <c r="H496" i="4"/>
  <c r="H381" i="4"/>
  <c r="H826" i="4"/>
  <c r="H83" i="4"/>
  <c r="H436" i="4"/>
  <c r="H227" i="4"/>
  <c r="H196" i="4"/>
  <c r="H897" i="4"/>
  <c r="H995" i="4"/>
  <c r="H229" i="4"/>
  <c r="H942" i="4"/>
  <c r="H367" i="4"/>
  <c r="H263" i="4"/>
  <c r="H848" i="4"/>
  <c r="H406" i="4"/>
  <c r="H683" i="4"/>
  <c r="H70" i="4"/>
  <c r="H965" i="4"/>
  <c r="H679" i="4"/>
  <c r="H693" i="4"/>
  <c r="H839" i="4"/>
  <c r="H899" i="4"/>
  <c r="H212" i="4"/>
  <c r="H931" i="4"/>
  <c r="H264" i="4"/>
  <c r="H419" i="4"/>
  <c r="H442" i="4"/>
  <c r="H845" i="4"/>
  <c r="H912" i="4"/>
  <c r="H170" i="4"/>
  <c r="H414" i="4"/>
  <c r="H320" i="4"/>
  <c r="H565" i="4"/>
  <c r="H387" i="4"/>
  <c r="H671" i="4"/>
  <c r="H505" i="4"/>
  <c r="H274" i="4"/>
  <c r="H79" i="4"/>
  <c r="H821" i="4"/>
  <c r="H862" i="4"/>
  <c r="H568" i="4"/>
  <c r="H307" i="4"/>
  <c r="H641" i="4"/>
  <c r="H266" i="4"/>
  <c r="H86" i="4"/>
  <c r="H511" i="4"/>
  <c r="H416" i="4"/>
  <c r="H681" i="4"/>
  <c r="H238" i="4"/>
  <c r="H297" i="4"/>
  <c r="H148" i="4"/>
  <c r="H627" i="4"/>
  <c r="H578" i="4"/>
  <c r="H666" i="4"/>
  <c r="H277" i="4"/>
  <c r="H892" i="4"/>
  <c r="H317" i="4"/>
  <c r="H945" i="4"/>
  <c r="H116" i="4"/>
  <c r="H504" i="4"/>
  <c r="H233" i="4"/>
  <c r="H822" i="4"/>
  <c r="H979" i="4"/>
  <c r="H281" i="4"/>
  <c r="H528" i="4"/>
  <c r="H660" i="4"/>
  <c r="H724" i="4"/>
  <c r="H655" i="4"/>
  <c r="H559" i="4"/>
  <c r="H296" i="4"/>
  <c r="H211" i="4"/>
  <c r="H485" i="4"/>
  <c r="H680" i="4"/>
  <c r="H519" i="4"/>
  <c r="H649" i="4"/>
  <c r="H867" i="4"/>
  <c r="H807" i="4"/>
  <c r="H782" i="4"/>
  <c r="H831" i="4"/>
  <c r="H637" i="4"/>
  <c r="H819" i="4"/>
  <c r="H102" i="4"/>
  <c r="H75" i="4"/>
  <c r="H893" i="4"/>
  <c r="H342" i="4"/>
  <c r="H735" i="4"/>
  <c r="H843" i="4"/>
  <c r="H964" i="4"/>
  <c r="H854" i="4"/>
  <c r="H267" i="4"/>
  <c r="H758" i="4"/>
  <c r="H721" i="4"/>
  <c r="H793" i="4"/>
  <c r="H733" i="4"/>
  <c r="H1022" i="4"/>
  <c r="H747" i="4"/>
  <c r="H63" i="4"/>
  <c r="H926" i="4"/>
  <c r="H700" i="4"/>
  <c r="H34" i="4"/>
  <c r="H62" i="4"/>
  <c r="H487" i="4"/>
  <c r="H392" i="4"/>
  <c r="H968" i="4"/>
  <c r="H452" i="4"/>
  <c r="H198" i="4"/>
  <c r="H871" i="4"/>
  <c r="H643" i="4"/>
  <c r="H221" i="4"/>
  <c r="H383" i="4"/>
  <c r="H313" i="4"/>
  <c r="H428" i="4"/>
  <c r="H252" i="4"/>
  <c r="H1018" i="4"/>
  <c r="H94" i="4"/>
  <c r="H686" i="4"/>
  <c r="H393" i="4"/>
  <c r="H251" i="4"/>
  <c r="H838" i="4"/>
  <c r="H113" i="4"/>
  <c r="H45" i="4"/>
  <c r="H278" i="4"/>
  <c r="H379" i="4"/>
  <c r="H250" i="4"/>
  <c r="H547" i="4"/>
  <c r="H628" i="4"/>
  <c r="H600" i="4"/>
  <c r="H534" i="4"/>
  <c r="H110" i="4"/>
  <c r="H1016" i="4"/>
  <c r="H705" i="4"/>
  <c r="H574" i="4"/>
  <c r="H596" i="4"/>
  <c r="H708" i="4"/>
  <c r="H411" i="4"/>
  <c r="H133" i="4"/>
  <c r="H262" i="4"/>
  <c r="H752" i="4"/>
  <c r="H441" i="4"/>
  <c r="H421" i="4"/>
  <c r="H166" i="4"/>
  <c r="H128" i="4"/>
  <c r="H400" i="4"/>
  <c r="H321" i="4"/>
  <c r="H719" i="4"/>
  <c r="H1024" i="4"/>
  <c r="H915" i="4"/>
  <c r="H963" i="4"/>
  <c r="H866" i="4"/>
  <c r="H42" i="4"/>
  <c r="H41" i="4"/>
  <c r="H225" i="4"/>
  <c r="H806" i="4"/>
  <c r="H783" i="4"/>
  <c r="H805" i="4"/>
  <c r="H916" i="4"/>
  <c r="H123" i="4"/>
  <c r="H712" i="4"/>
  <c r="H625" i="4"/>
  <c r="H820" i="4"/>
  <c r="H689" i="4"/>
  <c r="H830" i="4"/>
  <c r="H207" i="4"/>
  <c r="H711" i="4"/>
  <c r="H772" i="4"/>
  <c r="H759" i="4"/>
  <c r="H163" i="4"/>
  <c r="H746" i="4"/>
  <c r="H76" i="4"/>
  <c r="H736" i="4"/>
  <c r="H1010" i="4"/>
  <c r="H228" i="4"/>
  <c r="H372" i="4"/>
  <c r="H796" i="4"/>
  <c r="H159" i="4"/>
  <c r="H521" i="4"/>
  <c r="H987" i="4"/>
  <c r="H887" i="4"/>
  <c r="H902" i="4"/>
  <c r="H183" i="4"/>
  <c r="H593" i="4"/>
  <c r="H185" i="4"/>
  <c r="H64" i="4"/>
  <c r="H640" i="4"/>
  <c r="H449" i="4"/>
  <c r="H844" i="4"/>
  <c r="H879" i="4"/>
  <c r="H1009" i="4"/>
  <c r="H853" i="4"/>
  <c r="H697" i="4"/>
  <c r="H770" i="4"/>
  <c r="M687" i="4" l="1"/>
  <c r="M461" i="4"/>
  <c r="N413" i="4"/>
  <c r="N749" i="4"/>
  <c r="O413" i="4"/>
  <c r="N405" i="4"/>
  <c r="O749" i="4"/>
  <c r="O405" i="4"/>
  <c r="N687" i="4"/>
  <c r="M821" i="4"/>
  <c r="M741" i="4"/>
  <c r="M190" i="4"/>
  <c r="P190" i="4" s="1"/>
  <c r="M935" i="4"/>
  <c r="N935" i="4"/>
  <c r="N228" i="4"/>
  <c r="M228" i="4"/>
  <c r="N741" i="4"/>
  <c r="P975" i="5"/>
  <c r="P1012" i="5"/>
  <c r="P939" i="5"/>
  <c r="P890" i="5"/>
  <c r="P926" i="5"/>
  <c r="P769" i="5"/>
  <c r="P681" i="5"/>
  <c r="P574" i="5"/>
  <c r="P656" i="5"/>
  <c r="P650" i="5"/>
  <c r="P458" i="5"/>
  <c r="P544" i="5"/>
  <c r="P489" i="5"/>
  <c r="P367" i="5"/>
  <c r="P305" i="5"/>
  <c r="P310" i="5"/>
  <c r="P162" i="5"/>
  <c r="P79" i="5"/>
  <c r="P195" i="5"/>
  <c r="P94" i="5"/>
  <c r="P43" i="5"/>
  <c r="H980" i="5"/>
  <c r="H928" i="5"/>
  <c r="H863" i="5"/>
  <c r="H853" i="5"/>
  <c r="H817" i="5"/>
  <c r="H782" i="5"/>
  <c r="H325" i="5"/>
  <c r="H421" i="5"/>
  <c r="H402" i="5"/>
  <c r="H373" i="5"/>
  <c r="H106" i="5"/>
  <c r="H186" i="5"/>
  <c r="H219" i="5"/>
  <c r="H269" i="5"/>
  <c r="H167" i="5"/>
  <c r="H84" i="5"/>
  <c r="H171" i="5"/>
  <c r="P987" i="5"/>
  <c r="P856" i="5"/>
  <c r="P849" i="5"/>
  <c r="P924" i="5"/>
  <c r="P840" i="5"/>
  <c r="P793" i="5"/>
  <c r="P693" i="5"/>
  <c r="P586" i="5"/>
  <c r="P680" i="5"/>
  <c r="P581" i="5"/>
  <c r="P509" i="5"/>
  <c r="P479" i="5"/>
  <c r="P522" i="5"/>
  <c r="P385" i="5"/>
  <c r="P448" i="5"/>
  <c r="P352" i="5"/>
  <c r="P174" i="5"/>
  <c r="P91" i="5"/>
  <c r="P205" i="5"/>
  <c r="P106" i="5"/>
  <c r="P31" i="5"/>
  <c r="H1011" i="5"/>
  <c r="H1028" i="5"/>
  <c r="H897" i="5"/>
  <c r="H871" i="5"/>
  <c r="H718" i="5"/>
  <c r="H796" i="5"/>
  <c r="H447" i="5"/>
  <c r="H363" i="5"/>
  <c r="H206" i="5"/>
  <c r="H89" i="5"/>
  <c r="H175" i="5"/>
  <c r="H38" i="5"/>
  <c r="P960" i="5"/>
  <c r="P933" i="5"/>
  <c r="P1009" i="5"/>
  <c r="P813" i="5"/>
  <c r="P884" i="5"/>
  <c r="P734" i="5"/>
  <c r="P583" i="5"/>
  <c r="P721" i="5"/>
  <c r="P672" i="5"/>
  <c r="P548" i="5"/>
  <c r="P576" i="5"/>
  <c r="P414" i="5"/>
  <c r="P411" i="5"/>
  <c r="P434" i="5"/>
  <c r="P374" i="5"/>
  <c r="P258" i="5"/>
  <c r="P207" i="5"/>
  <c r="P259" i="5"/>
  <c r="P128" i="5"/>
  <c r="P57" i="5"/>
  <c r="P143" i="5"/>
  <c r="H946" i="5"/>
  <c r="H969" i="5"/>
  <c r="H948" i="5"/>
  <c r="H807" i="5"/>
  <c r="P954" i="5"/>
  <c r="P1027" i="5"/>
  <c r="P1001" i="5"/>
  <c r="P807" i="5"/>
  <c r="P857" i="5"/>
  <c r="P912" i="5"/>
  <c r="P577" i="5"/>
  <c r="P718" i="5"/>
  <c r="P666" i="5"/>
  <c r="P674" i="5"/>
  <c r="P563" i="5"/>
  <c r="P408" i="5"/>
  <c r="P405" i="5"/>
  <c r="P425" i="5"/>
  <c r="P365" i="5"/>
  <c r="P252" i="5"/>
  <c r="P201" i="5"/>
  <c r="P253" i="5"/>
  <c r="P122" i="5"/>
  <c r="P51" i="5"/>
  <c r="P137" i="5"/>
  <c r="H938" i="5"/>
  <c r="H926" i="5"/>
  <c r="H933" i="5"/>
  <c r="H801" i="5"/>
  <c r="H749" i="5"/>
  <c r="H861" i="5"/>
  <c r="H643" i="5"/>
  <c r="H628" i="5"/>
  <c r="H576" i="5"/>
  <c r="H588" i="5"/>
  <c r="H532" i="5"/>
  <c r="H437" i="5"/>
  <c r="H456" i="5"/>
  <c r="H304" i="5"/>
  <c r="H349" i="5"/>
  <c r="H256" i="5"/>
  <c r="H235" i="5"/>
  <c r="H237" i="5"/>
  <c r="H138" i="5"/>
  <c r="H170" i="5"/>
  <c r="H81" i="5"/>
  <c r="P948" i="5"/>
  <c r="P1003" i="5"/>
  <c r="P989" i="5"/>
  <c r="P801" i="5"/>
  <c r="P822" i="5"/>
  <c r="P823" i="5"/>
  <c r="P571" i="5"/>
  <c r="P712" i="5"/>
  <c r="P660" i="5"/>
  <c r="P590" i="5"/>
  <c r="P532" i="5"/>
  <c r="P402" i="5"/>
  <c r="P399" i="5"/>
  <c r="P416" i="5"/>
  <c r="P356" i="5"/>
  <c r="P246" i="5"/>
  <c r="P303" i="5"/>
  <c r="P239" i="5"/>
  <c r="P116" i="5"/>
  <c r="P45" i="5"/>
  <c r="P131" i="5"/>
  <c r="H934" i="5"/>
  <c r="H898" i="5"/>
  <c r="H908" i="5"/>
  <c r="H795" i="5"/>
  <c r="H746" i="5"/>
  <c r="H792" i="5"/>
  <c r="H637" i="5"/>
  <c r="H624" i="5"/>
  <c r="H563" i="5"/>
  <c r="H546" i="5"/>
  <c r="H525" i="5"/>
  <c r="H431" i="5"/>
  <c r="H452" i="5"/>
  <c r="H298" i="5"/>
  <c r="H340" i="5"/>
  <c r="H250" i="5"/>
  <c r="H229" i="5"/>
  <c r="H225" i="5"/>
  <c r="H132" i="5"/>
  <c r="H164" i="5"/>
  <c r="H75" i="5"/>
  <c r="P942" i="5"/>
  <c r="P985" i="5"/>
  <c r="P997" i="5"/>
  <c r="P795" i="5"/>
  <c r="P816" i="5"/>
  <c r="P775" i="5"/>
  <c r="P565" i="5"/>
  <c r="P706" i="5"/>
  <c r="P654" i="5"/>
  <c r="P585" i="5"/>
  <c r="P662" i="5"/>
  <c r="P396" i="5"/>
  <c r="P393" i="5"/>
  <c r="P407" i="5"/>
  <c r="P347" i="5"/>
  <c r="P240" i="5"/>
  <c r="P298" i="5"/>
  <c r="P227" i="5"/>
  <c r="P110" i="5"/>
  <c r="P39" i="5"/>
  <c r="P125" i="5"/>
  <c r="H1024" i="5"/>
  <c r="H892" i="5"/>
  <c r="H899" i="5"/>
  <c r="H789" i="5"/>
  <c r="H733" i="5"/>
  <c r="H787" i="5"/>
  <c r="H631" i="5"/>
  <c r="H591" i="5"/>
  <c r="H670" i="5"/>
  <c r="H529" i="5"/>
  <c r="H508" i="5"/>
  <c r="H425" i="5"/>
  <c r="H446" i="5"/>
  <c r="H292" i="5"/>
  <c r="H331" i="5"/>
  <c r="H244" i="5"/>
  <c r="H223" i="5"/>
  <c r="H213" i="5"/>
  <c r="H126" i="5"/>
  <c r="H158" i="5"/>
  <c r="H69" i="5"/>
  <c r="P936" i="5"/>
  <c r="P967" i="5"/>
  <c r="P983" i="5"/>
  <c r="P789" i="5"/>
  <c r="P810" i="5"/>
  <c r="P757" i="5"/>
  <c r="P559" i="5"/>
  <c r="P700" i="5"/>
  <c r="P648" i="5"/>
  <c r="P572" i="5"/>
  <c r="P653" i="5"/>
  <c r="P390" i="5"/>
  <c r="P387" i="5"/>
  <c r="P398" i="5"/>
  <c r="P338" i="5"/>
  <c r="P234" i="5"/>
  <c r="P283" i="5"/>
  <c r="P215" i="5"/>
  <c r="P104" i="5"/>
  <c r="P33" i="5"/>
  <c r="P119" i="5"/>
  <c r="H1022" i="5"/>
  <c r="H886" i="5"/>
  <c r="H877" i="5"/>
  <c r="H783" i="5"/>
  <c r="H723" i="5"/>
  <c r="H731" i="5"/>
  <c r="H625" i="5"/>
  <c r="H586" i="5"/>
  <c r="H651" i="5"/>
  <c r="H521" i="5"/>
  <c r="H498" i="5"/>
  <c r="H419" i="5"/>
  <c r="H440" i="5"/>
  <c r="H286" i="5"/>
  <c r="H322" i="5"/>
  <c r="H238" i="5"/>
  <c r="H217" i="5"/>
  <c r="H204" i="5"/>
  <c r="H120" i="5"/>
  <c r="H152" i="5"/>
  <c r="P1023" i="5"/>
  <c r="P892" i="5"/>
  <c r="P878" i="5"/>
  <c r="P902" i="5"/>
  <c r="H129" i="5"/>
  <c r="P1028" i="5"/>
  <c r="P1024" i="5"/>
  <c r="P915" i="5"/>
  <c r="P777" i="5"/>
  <c r="P798" i="5"/>
  <c r="P720" i="5"/>
  <c r="P733" i="5"/>
  <c r="P375" i="5"/>
  <c r="P380" i="5"/>
  <c r="P320" i="5"/>
  <c r="P222" i="5"/>
  <c r="P388" i="5"/>
  <c r="P193" i="5"/>
  <c r="H108" i="5"/>
  <c r="H140" i="5"/>
  <c r="H51" i="5"/>
  <c r="P1022" i="5"/>
  <c r="P995" i="5"/>
  <c r="P903" i="5"/>
  <c r="P771" i="5"/>
  <c r="P792" i="5"/>
  <c r="P714" i="5"/>
  <c r="P717" i="5"/>
  <c r="P682" i="5"/>
  <c r="P216" i="5"/>
  <c r="P361" i="5"/>
  <c r="P187" i="5"/>
  <c r="P101" i="5"/>
  <c r="H975" i="5"/>
  <c r="H958" i="5"/>
  <c r="H985" i="5"/>
  <c r="H765" i="5"/>
  <c r="H870" i="5"/>
  <c r="H821" i="5"/>
  <c r="H607" i="5"/>
  <c r="H295" i="5"/>
  <c r="H220" i="5"/>
  <c r="H296" i="5"/>
  <c r="H185" i="5"/>
  <c r="H102" i="5"/>
  <c r="H134" i="5"/>
  <c r="H45" i="5"/>
  <c r="P1016" i="5"/>
  <c r="P977" i="5"/>
  <c r="P893" i="5"/>
  <c r="P765" i="5"/>
  <c r="P786" i="5"/>
  <c r="P964" i="5"/>
  <c r="P839" i="5"/>
  <c r="P676" i="5"/>
  <c r="P519" i="5"/>
  <c r="P363" i="5"/>
  <c r="P362" i="5"/>
  <c r="P309" i="5"/>
  <c r="P210" i="5"/>
  <c r="P334" i="5"/>
  <c r="P181" i="5"/>
  <c r="P95" i="5"/>
  <c r="H973" i="5"/>
  <c r="H941" i="5"/>
  <c r="H956" i="5"/>
  <c r="H759" i="5"/>
  <c r="H438" i="5"/>
  <c r="H214" i="5"/>
  <c r="H287" i="5"/>
  <c r="H179" i="5"/>
  <c r="H96" i="5"/>
  <c r="H128" i="5"/>
  <c r="H39" i="5"/>
  <c r="P1010" i="5"/>
  <c r="P950" i="5"/>
  <c r="P885" i="5"/>
  <c r="P759" i="5"/>
  <c r="P780" i="5"/>
  <c r="P790" i="5"/>
  <c r="P751" i="5"/>
  <c r="P670" i="5"/>
  <c r="P732" i="5"/>
  <c r="P906" i="5"/>
  <c r="P830" i="5"/>
  <c r="P622" i="5"/>
  <c r="P584" i="5"/>
  <c r="P620" i="5"/>
  <c r="P536" i="5"/>
  <c r="P629" i="5"/>
  <c r="P665" i="5"/>
  <c r="P439" i="5"/>
  <c r="P440" i="5"/>
  <c r="P265" i="5"/>
  <c r="P206" i="5"/>
  <c r="P127" i="5"/>
  <c r="P247" i="5"/>
  <c r="P142" i="5"/>
  <c r="P28" i="5"/>
  <c r="H940" i="5"/>
  <c r="H955" i="5"/>
  <c r="H902" i="5"/>
  <c r="H904" i="5"/>
  <c r="H811" i="5"/>
  <c r="H683" i="5"/>
  <c r="H804" i="5"/>
  <c r="H663" i="5"/>
  <c r="H721" i="5"/>
  <c r="H620" i="5"/>
  <c r="H466" i="5"/>
  <c r="H341" i="5"/>
  <c r="H362" i="5"/>
  <c r="H409" i="5"/>
  <c r="H417" i="5"/>
  <c r="H364" i="5"/>
  <c r="H242" i="5"/>
  <c r="H125" i="5"/>
  <c r="H42" i="5"/>
  <c r="H74" i="5"/>
  <c r="H67" i="5"/>
  <c r="P945" i="5"/>
  <c r="P943" i="5"/>
  <c r="P887" i="5"/>
  <c r="P809" i="5"/>
  <c r="P837" i="5"/>
  <c r="P691" i="5"/>
  <c r="P651" i="5"/>
  <c r="P808" i="5"/>
  <c r="P569" i="5"/>
  <c r="P527" i="5"/>
  <c r="P503" i="5"/>
  <c r="P495" i="5"/>
  <c r="P445" i="5"/>
  <c r="P322" i="5"/>
  <c r="P275" i="5"/>
  <c r="P248" i="5"/>
  <c r="P132" i="5"/>
  <c r="P244" i="5"/>
  <c r="P165" i="5"/>
  <c r="P64" i="5"/>
  <c r="H1026" i="5"/>
  <c r="H1023" i="5"/>
  <c r="H858" i="5"/>
  <c r="H883" i="5"/>
  <c r="H820" i="5"/>
  <c r="H924" i="5"/>
  <c r="H726" i="5"/>
  <c r="H823" i="5"/>
  <c r="H590" i="5"/>
  <c r="H587" i="5"/>
  <c r="H465" i="5"/>
  <c r="H652" i="5"/>
  <c r="H518" i="5"/>
  <c r="H424" i="5"/>
  <c r="H387" i="5"/>
  <c r="H339" i="5"/>
  <c r="H203" i="5"/>
  <c r="H172" i="5"/>
  <c r="H47" i="5"/>
  <c r="H133" i="5"/>
  <c r="H195" i="5"/>
  <c r="H99" i="5"/>
  <c r="P1025" i="5"/>
  <c r="P927" i="5"/>
  <c r="P879" i="5"/>
  <c r="P803" i="5"/>
  <c r="P833" i="5"/>
  <c r="P685" i="5"/>
  <c r="P645" i="5"/>
  <c r="P742" i="5"/>
  <c r="P555" i="5"/>
  <c r="P668" i="5"/>
  <c r="P494" i="5"/>
  <c r="P486" i="5"/>
  <c r="P436" i="5"/>
  <c r="P313" i="5"/>
  <c r="P269" i="5"/>
  <c r="P368" i="5"/>
  <c r="P126" i="5"/>
  <c r="P241" i="5"/>
  <c r="P159" i="5"/>
  <c r="P58" i="5"/>
  <c r="H1020" i="5"/>
  <c r="H1019" i="5"/>
  <c r="H854" i="5"/>
  <c r="H843" i="5"/>
  <c r="H816" i="5"/>
  <c r="H852" i="5"/>
  <c r="H790" i="5"/>
  <c r="H725" i="5"/>
  <c r="H578" i="5"/>
  <c r="H574" i="5"/>
  <c r="H459" i="5"/>
  <c r="H611" i="5"/>
  <c r="H497" i="5"/>
  <c r="H415" i="5"/>
  <c r="H378" i="5"/>
  <c r="H393" i="5"/>
  <c r="H284" i="5"/>
  <c r="H166" i="5"/>
  <c r="H41" i="5"/>
  <c r="H127" i="5"/>
  <c r="H189" i="5"/>
  <c r="H34" i="5"/>
  <c r="P1019" i="5"/>
  <c r="P921" i="5"/>
  <c r="P866" i="5"/>
  <c r="P797" i="5"/>
  <c r="P824" i="5"/>
  <c r="P679" i="5"/>
  <c r="P639" i="5"/>
  <c r="P716" i="5"/>
  <c r="P549" i="5"/>
  <c r="P578" i="5"/>
  <c r="P485" i="5"/>
  <c r="P477" i="5"/>
  <c r="P427" i="5"/>
  <c r="P308" i="5"/>
  <c r="P295" i="5"/>
  <c r="P341" i="5"/>
  <c r="P120" i="5"/>
  <c r="P229" i="5"/>
  <c r="P153" i="5"/>
  <c r="P250" i="5"/>
  <c r="H1014" i="5"/>
  <c r="H1005" i="5"/>
  <c r="H987" i="5"/>
  <c r="H1013" i="5"/>
  <c r="H812" i="5"/>
  <c r="H839" i="5"/>
  <c r="H768" i="5"/>
  <c r="H715" i="5"/>
  <c r="H568" i="5"/>
  <c r="H561" i="5"/>
  <c r="H700" i="5"/>
  <c r="H515" i="5"/>
  <c r="H488" i="5"/>
  <c r="H406" i="5"/>
  <c r="H369" i="5"/>
  <c r="H382" i="5"/>
  <c r="H275" i="5"/>
  <c r="H160" i="5"/>
  <c r="H35" i="5"/>
  <c r="H121" i="5"/>
  <c r="H183" i="5"/>
  <c r="H44" i="5"/>
  <c r="P1013" i="5"/>
  <c r="P918" i="5"/>
  <c r="P928" i="5"/>
  <c r="P791" i="5"/>
  <c r="P818" i="5"/>
  <c r="P673" i="5"/>
  <c r="P618" i="5"/>
  <c r="P513" i="5"/>
  <c r="P493" i="5"/>
  <c r="P360" i="5"/>
  <c r="P357" i="5"/>
  <c r="P353" i="5"/>
  <c r="P455" i="5"/>
  <c r="P204" i="5"/>
  <c r="P262" i="5"/>
  <c r="P175" i="5"/>
  <c r="P74" i="5"/>
  <c r="P190" i="5"/>
  <c r="P89" i="5"/>
  <c r="H960" i="5"/>
  <c r="H939" i="5"/>
  <c r="H943" i="5"/>
  <c r="H753" i="5"/>
  <c r="H803" i="5"/>
  <c r="H736" i="5"/>
  <c r="H595" i="5"/>
  <c r="H708" i="5"/>
  <c r="H646" i="5"/>
  <c r="H544" i="5"/>
  <c r="H468" i="5"/>
  <c r="H389" i="5"/>
  <c r="H410" i="5"/>
  <c r="H429" i="5"/>
  <c r="H283" i="5"/>
  <c r="H208" i="5"/>
  <c r="H278" i="5"/>
  <c r="H173" i="5"/>
  <c r="H90" i="5"/>
  <c r="H122" i="5"/>
  <c r="H33" i="5"/>
  <c r="P1004" i="5"/>
  <c r="P935" i="5"/>
  <c r="P870" i="5"/>
  <c r="P753" i="5"/>
  <c r="P774" i="5"/>
  <c r="P784" i="5"/>
  <c r="P710" i="5"/>
  <c r="P664" i="5"/>
  <c r="P612" i="5"/>
  <c r="P507" i="5"/>
  <c r="P487" i="5"/>
  <c r="P354" i="5"/>
  <c r="P351" i="5"/>
  <c r="P344" i="5"/>
  <c r="P442" i="5"/>
  <c r="P386" i="5"/>
  <c r="P377" i="5"/>
  <c r="P169" i="5"/>
  <c r="P68" i="5"/>
  <c r="P184" i="5"/>
  <c r="P83" i="5"/>
  <c r="H947" i="5"/>
  <c r="H920" i="5"/>
  <c r="H929" i="5"/>
  <c r="H1004" i="5"/>
  <c r="H781" i="5"/>
  <c r="H719" i="5"/>
  <c r="H589" i="5"/>
  <c r="H672" i="5"/>
  <c r="H642" i="5"/>
  <c r="H729" i="5"/>
  <c r="H633" i="5"/>
  <c r="H383" i="5"/>
  <c r="H404" i="5"/>
  <c r="H420" i="5"/>
  <c r="H277" i="5"/>
  <c r="H202" i="5"/>
  <c r="P633" i="5"/>
  <c r="P713" i="5"/>
  <c r="P543" i="5"/>
  <c r="P534" i="5"/>
  <c r="P476" i="5"/>
  <c r="P468" i="5"/>
  <c r="P418" i="5"/>
  <c r="P302" i="5"/>
  <c r="P288" i="5"/>
  <c r="P314" i="5"/>
  <c r="P114" i="5"/>
  <c r="P217" i="5"/>
  <c r="P147" i="5"/>
  <c r="P235" i="5"/>
  <c r="H1008" i="5"/>
  <c r="H1001" i="5"/>
  <c r="H976" i="5"/>
  <c r="H891" i="5"/>
  <c r="H769" i="5"/>
  <c r="H802" i="5"/>
  <c r="H764" i="5"/>
  <c r="H818" i="5"/>
  <c r="H757" i="5"/>
  <c r="H555" i="5"/>
  <c r="H675" i="5"/>
  <c r="H513" i="5"/>
  <c r="H479" i="5"/>
  <c r="H397" i="5"/>
  <c r="H360" i="5"/>
  <c r="H355" i="5"/>
  <c r="H299" i="5"/>
  <c r="H154" i="5"/>
  <c r="H115" i="5"/>
  <c r="H177" i="5"/>
  <c r="H116" i="5"/>
  <c r="P947" i="5"/>
  <c r="P908" i="5"/>
  <c r="P920" i="5"/>
  <c r="P785" i="5"/>
  <c r="P812" i="5"/>
  <c r="P667" i="5"/>
  <c r="P627" i="5"/>
  <c r="P707" i="5"/>
  <c r="P537" i="5"/>
  <c r="P515" i="5"/>
  <c r="P467" i="5"/>
  <c r="P456" i="5"/>
  <c r="P409" i="5"/>
  <c r="P296" i="5"/>
  <c r="P279" i="5"/>
  <c r="P266" i="5"/>
  <c r="P108" i="5"/>
  <c r="P236" i="5"/>
  <c r="P141" i="5"/>
  <c r="P223" i="5"/>
  <c r="H1002" i="5"/>
  <c r="H983" i="5"/>
  <c r="H961" i="5"/>
  <c r="H989" i="5"/>
  <c r="H751" i="5"/>
  <c r="H798" i="5"/>
  <c r="H747" i="5"/>
  <c r="H808" i="5"/>
  <c r="H706" i="5"/>
  <c r="H712" i="5"/>
  <c r="H638" i="5"/>
  <c r="H511" i="5"/>
  <c r="H470" i="5"/>
  <c r="H388" i="5"/>
  <c r="H351" i="5"/>
  <c r="H328" i="5"/>
  <c r="H282" i="5"/>
  <c r="H148" i="5"/>
  <c r="H85" i="5"/>
  <c r="H109" i="5"/>
  <c r="P966" i="5"/>
  <c r="P955" i="5"/>
  <c r="P919" i="5"/>
  <c r="P819" i="5"/>
  <c r="P910" i="5"/>
  <c r="P817" i="5"/>
  <c r="P589" i="5"/>
  <c r="P727" i="5"/>
  <c r="P678" i="5"/>
  <c r="H692" i="5"/>
  <c r="H711" i="5"/>
  <c r="H530" i="5"/>
  <c r="H495" i="5"/>
  <c r="H528" i="5"/>
  <c r="H499" i="5"/>
  <c r="H314" i="5"/>
  <c r="H432" i="5"/>
  <c r="H345" i="5"/>
  <c r="H233" i="5"/>
  <c r="H58" i="5"/>
  <c r="H77" i="5"/>
  <c r="H163" i="5"/>
  <c r="H246" i="5"/>
  <c r="H49" i="5"/>
  <c r="P969" i="5"/>
  <c r="P1000" i="5"/>
  <c r="P1007" i="5"/>
  <c r="P842" i="5"/>
  <c r="P938" i="5"/>
  <c r="P752" i="5"/>
  <c r="P675" i="5"/>
  <c r="P568" i="5"/>
  <c r="P832" i="5"/>
  <c r="P570" i="5"/>
  <c r="P449" i="5"/>
  <c r="P526" i="5"/>
  <c r="P480" i="5"/>
  <c r="P358" i="5"/>
  <c r="P299" i="5"/>
  <c r="P301" i="5"/>
  <c r="P156" i="5"/>
  <c r="P73" i="5"/>
  <c r="P189" i="5"/>
  <c r="P88" i="5"/>
  <c r="P52" i="5"/>
  <c r="H964" i="5"/>
  <c r="H923" i="5"/>
  <c r="H832" i="5"/>
  <c r="H851" i="5"/>
  <c r="H815" i="5"/>
  <c r="H791" i="5"/>
  <c r="H686" i="5"/>
  <c r="H658" i="5"/>
  <c r="H653" i="5"/>
  <c r="H489" i="5"/>
  <c r="H519" i="5"/>
  <c r="H490" i="5"/>
  <c r="H451" i="5"/>
  <c r="H423" i="5"/>
  <c r="H336" i="5"/>
  <c r="H227" i="5"/>
  <c r="H196" i="5"/>
  <c r="H71" i="5"/>
  <c r="H157" i="5"/>
  <c r="H207" i="5"/>
  <c r="H228" i="5"/>
  <c r="P963" i="5"/>
  <c r="P991" i="5"/>
  <c r="P979" i="5"/>
  <c r="P835" i="5"/>
  <c r="P909" i="5"/>
  <c r="P709" i="5"/>
  <c r="P669" i="5"/>
  <c r="P562" i="5"/>
  <c r="P641" i="5"/>
  <c r="P557" i="5"/>
  <c r="P528" i="5"/>
  <c r="P512" i="5"/>
  <c r="P599" i="5"/>
  <c r="P349" i="5"/>
  <c r="P293" i="5"/>
  <c r="P289" i="5"/>
  <c r="P150" i="5"/>
  <c r="P67" i="5"/>
  <c r="P183" i="5"/>
  <c r="P82" i="5"/>
  <c r="P46" i="5"/>
  <c r="H954" i="5"/>
  <c r="H900" i="5"/>
  <c r="H995" i="5"/>
  <c r="H849" i="5"/>
  <c r="H770" i="5"/>
  <c r="H744" i="5"/>
  <c r="H680" i="5"/>
  <c r="H629" i="5"/>
  <c r="H615" i="5"/>
  <c r="H483" i="5"/>
  <c r="H517" i="5"/>
  <c r="H481" i="5"/>
  <c r="H448" i="5"/>
  <c r="H414" i="5"/>
  <c r="H327" i="5"/>
  <c r="H221" i="5"/>
  <c r="H190" i="5"/>
  <c r="H65" i="5"/>
  <c r="H151" i="5"/>
  <c r="H240" i="5"/>
  <c r="H80" i="5"/>
  <c r="P957" i="5"/>
  <c r="P1006" i="5"/>
  <c r="P959" i="5"/>
  <c r="P821" i="5"/>
  <c r="P863" i="5"/>
  <c r="P703" i="5"/>
  <c r="P663" i="5"/>
  <c r="P758" i="5"/>
  <c r="P588" i="5"/>
  <c r="P542" i="5"/>
  <c r="P524" i="5"/>
  <c r="P510" i="5"/>
  <c r="P533" i="5"/>
  <c r="P340" i="5"/>
  <c r="P287" i="5"/>
  <c r="P260" i="5"/>
  <c r="P144" i="5"/>
  <c r="P61" i="5"/>
  <c r="P177" i="5"/>
  <c r="P76" i="5"/>
  <c r="P40" i="5"/>
  <c r="H936" i="5"/>
  <c r="H887" i="5"/>
  <c r="H937" i="5"/>
  <c r="H827" i="5"/>
  <c r="H752" i="5"/>
  <c r="H738" i="5"/>
  <c r="H674" i="5"/>
  <c r="H627" i="5"/>
  <c r="H612" i="5"/>
  <c r="H477" i="5"/>
  <c r="H457" i="5"/>
  <c r="H472" i="5"/>
  <c r="H442" i="5"/>
  <c r="H405" i="5"/>
  <c r="H318" i="5"/>
  <c r="H215" i="5"/>
  <c r="H184" i="5"/>
  <c r="H59" i="5"/>
  <c r="H145" i="5"/>
  <c r="P1002" i="5"/>
  <c r="P911" i="5"/>
  <c r="P883" i="5"/>
  <c r="P891" i="5"/>
  <c r="P962" i="5"/>
  <c r="P799" i="5"/>
  <c r="P625" i="5"/>
  <c r="P836" i="5"/>
  <c r="P736" i="5"/>
  <c r="P715" i="5"/>
  <c r="P466" i="5"/>
  <c r="P462" i="5"/>
  <c r="P550" i="5"/>
  <c r="P346" i="5"/>
  <c r="P437" i="5"/>
  <c r="P277" i="5"/>
  <c r="P249" i="5"/>
  <c r="P66" i="5"/>
  <c r="P170" i="5"/>
  <c r="P99" i="5"/>
  <c r="P185" i="5"/>
  <c r="H1012" i="5"/>
  <c r="H952" i="5"/>
  <c r="H847" i="5"/>
  <c r="H885" i="5"/>
  <c r="H876" i="5"/>
  <c r="H814" i="5"/>
  <c r="H691" i="5"/>
  <c r="H788" i="5"/>
  <c r="H705" i="5"/>
  <c r="H549" i="5"/>
  <c r="H585" i="5"/>
  <c r="H494" i="5"/>
  <c r="H543" i="5"/>
  <c r="P688" i="5"/>
  <c r="P636" i="5"/>
  <c r="P531" i="5"/>
  <c r="P529" i="5"/>
  <c r="P378" i="5"/>
  <c r="P92" i="5"/>
  <c r="P221" i="5"/>
  <c r="P107" i="5"/>
  <c r="H991" i="5"/>
  <c r="H1016" i="5"/>
  <c r="H856" i="5"/>
  <c r="H771" i="5"/>
  <c r="H889" i="5"/>
  <c r="H826" i="5"/>
  <c r="H613" i="5"/>
  <c r="H560" i="5"/>
  <c r="H562" i="5"/>
  <c r="H583" i="5"/>
  <c r="H486" i="5"/>
  <c r="H407" i="5"/>
  <c r="H428" i="5"/>
  <c r="H274" i="5"/>
  <c r="H301" i="5"/>
  <c r="H226" i="5"/>
  <c r="H313" i="5"/>
  <c r="H191" i="5"/>
  <c r="P630" i="5"/>
  <c r="P525" i="5"/>
  <c r="P517" i="5"/>
  <c r="P372" i="5"/>
  <c r="P369" i="5"/>
  <c r="P371" i="5"/>
  <c r="P446" i="5"/>
  <c r="P86" i="5"/>
  <c r="P209" i="5"/>
  <c r="H556" i="5"/>
  <c r="H547" i="5"/>
  <c r="H570" i="5"/>
  <c r="H480" i="5"/>
  <c r="H401" i="5"/>
  <c r="H422" i="5"/>
  <c r="H268" i="5"/>
  <c r="P624" i="5"/>
  <c r="P499" i="5"/>
  <c r="P366" i="5"/>
  <c r="P80" i="5"/>
  <c r="P196" i="5"/>
  <c r="H805" i="5"/>
  <c r="H748" i="5"/>
  <c r="H601" i="5"/>
  <c r="H694" i="5"/>
  <c r="H650" i="5"/>
  <c r="H551" i="5"/>
  <c r="H474" i="5"/>
  <c r="H395" i="5"/>
  <c r="H416" i="5"/>
  <c r="H289" i="5"/>
  <c r="H704" i="5"/>
  <c r="H571" i="5"/>
  <c r="H540" i="5"/>
  <c r="H506" i="5"/>
  <c r="H605" i="5"/>
  <c r="H326" i="5"/>
  <c r="H294" i="5"/>
  <c r="H245" i="5"/>
  <c r="H754" i="5"/>
  <c r="H745" i="5"/>
  <c r="H649" i="5"/>
  <c r="H632" i="5"/>
  <c r="H593" i="5"/>
  <c r="H610" i="5"/>
  <c r="H538" i="5"/>
  <c r="H443" i="5"/>
  <c r="H460" i="5"/>
  <c r="H310" i="5"/>
  <c r="H358" i="5"/>
  <c r="H262" i="5"/>
  <c r="H241" i="5"/>
  <c r="H64" i="5"/>
  <c r="H144" i="5"/>
  <c r="H176" i="5"/>
  <c r="H87" i="5"/>
  <c r="P659" i="5"/>
  <c r="P535" i="5"/>
  <c r="P420" i="5"/>
  <c r="P417" i="5"/>
  <c r="P443" i="5"/>
  <c r="P383" i="5"/>
  <c r="P264" i="5"/>
  <c r="P213" i="5"/>
  <c r="P30" i="5"/>
  <c r="P134" i="5"/>
  <c r="P63" i="5"/>
  <c r="P149" i="5"/>
  <c r="H959" i="5"/>
  <c r="H1021" i="5"/>
  <c r="H970" i="5"/>
  <c r="H813" i="5"/>
  <c r="H756" i="5"/>
  <c r="H760" i="5"/>
  <c r="H655" i="5"/>
  <c r="H664" i="5"/>
  <c r="H618" i="5"/>
  <c r="H550" i="5"/>
  <c r="H541" i="5"/>
  <c r="H449" i="5"/>
  <c r="H463" i="5"/>
  <c r="H458" i="5"/>
  <c r="H367" i="5"/>
  <c r="H267" i="5"/>
  <c r="H247" i="5"/>
  <c r="H70" i="5"/>
  <c r="H150" i="5"/>
  <c r="H182" i="5"/>
  <c r="H93" i="5"/>
  <c r="P981" i="5"/>
  <c r="P850" i="5"/>
  <c r="P844" i="5"/>
  <c r="P901" i="5"/>
  <c r="P986" i="5"/>
  <c r="P982" i="5"/>
  <c r="P988" i="5"/>
  <c r="P735" i="5"/>
  <c r="P756" i="5"/>
  <c r="P796" i="5"/>
  <c r="P692" i="5"/>
  <c r="P646" i="5"/>
  <c r="P644" i="5"/>
  <c r="P567" i="5"/>
  <c r="P469" i="5"/>
  <c r="P336" i="5"/>
  <c r="P333" i="5"/>
  <c r="P317" i="5"/>
  <c r="P415" i="5"/>
  <c r="P292" i="5"/>
  <c r="P300" i="5"/>
  <c r="P151" i="5"/>
  <c r="P50" i="5"/>
  <c r="P166" i="5"/>
  <c r="P65" i="5"/>
  <c r="H1000" i="5"/>
  <c r="H903" i="5"/>
  <c r="H878" i="5"/>
  <c r="H834" i="5"/>
  <c r="H730" i="5"/>
  <c r="H707" i="5"/>
  <c r="H735" i="5"/>
  <c r="H640" i="5"/>
  <c r="H579" i="5"/>
  <c r="H548" i="5"/>
  <c r="H500" i="5"/>
  <c r="H365" i="5"/>
  <c r="H386" i="5"/>
  <c r="H445" i="5"/>
  <c r="H464" i="5"/>
  <c r="H321" i="5"/>
  <c r="H266" i="5"/>
  <c r="H149" i="5"/>
  <c r="H66" i="5"/>
  <c r="H98" i="5"/>
  <c r="H73" i="5"/>
  <c r="P980" i="5"/>
  <c r="P973" i="5"/>
  <c r="P970" i="5"/>
  <c r="P729" i="5"/>
  <c r="P750" i="5"/>
  <c r="P782" i="5"/>
  <c r="P820" i="5"/>
  <c r="P640" i="5"/>
  <c r="P611" i="5"/>
  <c r="P553" i="5"/>
  <c r="P635" i="5"/>
  <c r="P330" i="5"/>
  <c r="P327" i="5"/>
  <c r="P473" i="5"/>
  <c r="P406" i="5"/>
  <c r="P307" i="5"/>
  <c r="P267" i="5"/>
  <c r="P145" i="5"/>
  <c r="P44" i="5"/>
  <c r="P160" i="5"/>
  <c r="P59" i="5"/>
  <c r="H982" i="5"/>
  <c r="H1025" i="5"/>
  <c r="H868" i="5"/>
  <c r="H830" i="5"/>
  <c r="H875" i="5"/>
  <c r="H701" i="5"/>
  <c r="H720" i="5"/>
  <c r="H693" i="5"/>
  <c r="H566" i="5"/>
  <c r="H526" i="5"/>
  <c r="H491" i="5"/>
  <c r="H359" i="5"/>
  <c r="H380" i="5"/>
  <c r="H436" i="5"/>
  <c r="H444" i="5"/>
  <c r="H302" i="5"/>
  <c r="H260" i="5"/>
  <c r="H143" i="5"/>
  <c r="H60" i="5"/>
  <c r="H92" i="5"/>
  <c r="H55" i="5"/>
  <c r="P974" i="5"/>
  <c r="P944" i="5"/>
  <c r="P914" i="5"/>
  <c r="P723" i="5"/>
  <c r="P744" i="5"/>
  <c r="P764" i="5"/>
  <c r="P805" i="5"/>
  <c r="P634" i="5"/>
  <c r="P596" i="5"/>
  <c r="P671" i="5"/>
  <c r="P554" i="5"/>
  <c r="P324" i="5"/>
  <c r="P321" i="5"/>
  <c r="P457" i="5"/>
  <c r="P459" i="5"/>
  <c r="P282" i="5"/>
  <c r="P232" i="5"/>
  <c r="P139" i="5"/>
  <c r="P38" i="5"/>
  <c r="P154" i="5"/>
  <c r="P53" i="5"/>
  <c r="H957" i="5"/>
  <c r="H971" i="5"/>
  <c r="H1017" i="5"/>
  <c r="H1003" i="5"/>
  <c r="H840" i="5"/>
  <c r="H695" i="5"/>
  <c r="H850" i="5"/>
  <c r="H822" i="5"/>
  <c r="H554" i="5"/>
  <c r="H509" i="5"/>
  <c r="H482" i="5"/>
  <c r="H353" i="5"/>
  <c r="H374" i="5"/>
  <c r="H427" i="5"/>
  <c r="H435" i="5"/>
  <c r="H290" i="5"/>
  <c r="H254" i="5"/>
  <c r="H137" i="5"/>
  <c r="H54" i="5"/>
  <c r="H86" i="5"/>
  <c r="P968" i="5"/>
  <c r="P898" i="5"/>
  <c r="P894" i="5"/>
  <c r="P929" i="5"/>
  <c r="P738" i="5"/>
  <c r="P867" i="5"/>
  <c r="P740" i="5"/>
  <c r="P628" i="5"/>
  <c r="P587" i="5"/>
  <c r="P623" i="5"/>
  <c r="P539" i="5"/>
  <c r="P318" i="5"/>
  <c r="P315" i="5"/>
  <c r="P453" i="5"/>
  <c r="P451" i="5"/>
  <c r="P273" i="5"/>
  <c r="P220" i="5"/>
  <c r="P133" i="5"/>
  <c r="P32" i="5"/>
  <c r="P148" i="5"/>
  <c r="P200" i="5"/>
  <c r="H944" i="5"/>
  <c r="H968" i="5"/>
  <c r="H1006" i="5"/>
  <c r="H951" i="5"/>
  <c r="H837" i="5"/>
  <c r="H689" i="5"/>
  <c r="H824" i="5"/>
  <c r="H702" i="5"/>
  <c r="H539" i="5"/>
  <c r="H505" i="5"/>
  <c r="H473" i="5"/>
  <c r="H347" i="5"/>
  <c r="P1026" i="5"/>
  <c r="P941" i="5"/>
  <c r="P965" i="5"/>
  <c r="P855" i="5"/>
  <c r="P767" i="5"/>
  <c r="P794" i="5"/>
  <c r="P649" i="5"/>
  <c r="P609" i="5"/>
  <c r="P846" i="5"/>
  <c r="P608" i="5"/>
  <c r="P490" i="5"/>
  <c r="P501" i="5"/>
  <c r="P506" i="5"/>
  <c r="P382" i="5"/>
  <c r="P278" i="5"/>
  <c r="P257" i="5"/>
  <c r="P285" i="5"/>
  <c r="P90" i="5"/>
  <c r="P194" i="5"/>
  <c r="P123" i="5"/>
  <c r="P230" i="5"/>
  <c r="H984" i="5"/>
  <c r="H949" i="5"/>
  <c r="H896" i="5"/>
  <c r="H988" i="5"/>
  <c r="H977" i="5"/>
  <c r="H755" i="5"/>
  <c r="H785" i="5"/>
  <c r="H758" i="5"/>
  <c r="H682" i="5"/>
  <c r="H608" i="5"/>
  <c r="H545" i="5"/>
  <c r="H478" i="5"/>
  <c r="H516" i="5"/>
  <c r="H361" i="5"/>
  <c r="H324" i="5"/>
  <c r="H255" i="5"/>
  <c r="H258" i="5"/>
  <c r="H130" i="5"/>
  <c r="H222" i="5"/>
  <c r="H91" i="5"/>
  <c r="H153" i="5"/>
  <c r="P1020" i="5"/>
  <c r="P937" i="5"/>
  <c r="P934" i="5"/>
  <c r="P851" i="5"/>
  <c r="P761" i="5"/>
  <c r="P788" i="5"/>
  <c r="P643" i="5"/>
  <c r="P603" i="5"/>
  <c r="P745" i="5"/>
  <c r="P579" i="5"/>
  <c r="P484" i="5"/>
  <c r="P492" i="5"/>
  <c r="P504" i="5"/>
  <c r="P373" i="5"/>
  <c r="P272" i="5"/>
  <c r="P251" i="5"/>
  <c r="P276" i="5"/>
  <c r="P84" i="5"/>
  <c r="P188" i="5"/>
  <c r="P117" i="5"/>
  <c r="P218" i="5"/>
  <c r="H978" i="5"/>
  <c r="H942" i="5"/>
  <c r="H888" i="5"/>
  <c r="H953" i="5"/>
  <c r="H935" i="5"/>
  <c r="H741" i="5"/>
  <c r="H709" i="5"/>
  <c r="H734" i="5"/>
  <c r="H660" i="5"/>
  <c r="H597" i="5"/>
  <c r="H537" i="5"/>
  <c r="H678" i="5"/>
  <c r="H514" i="5"/>
  <c r="H352" i="5"/>
  <c r="H315" i="5"/>
  <c r="H249" i="5"/>
  <c r="H384" i="5"/>
  <c r="H124" i="5"/>
  <c r="H210" i="5"/>
  <c r="H79" i="5"/>
  <c r="H147" i="5"/>
  <c r="P1014" i="5"/>
  <c r="P923" i="5"/>
  <c r="P895" i="5"/>
  <c r="P946" i="5"/>
  <c r="P755" i="5"/>
  <c r="P845" i="5"/>
  <c r="P637" i="5"/>
  <c r="P597" i="5"/>
  <c r="P802" i="5"/>
  <c r="P566" i="5"/>
  <c r="P478" i="5"/>
  <c r="P483" i="5"/>
  <c r="P463" i="5"/>
  <c r="P364" i="5"/>
  <c r="P471" i="5"/>
  <c r="P245" i="5"/>
  <c r="P261" i="5"/>
  <c r="P78" i="5"/>
  <c r="P182" i="5"/>
  <c r="P111" i="5"/>
  <c r="P197" i="5"/>
  <c r="H972" i="5"/>
  <c r="H992" i="5"/>
  <c r="H867" i="5"/>
  <c r="H919" i="5"/>
  <c r="H865" i="5"/>
  <c r="H866" i="5"/>
  <c r="H703" i="5"/>
  <c r="H833" i="5"/>
  <c r="H641" i="5"/>
  <c r="H580" i="5"/>
  <c r="H534" i="5"/>
  <c r="H565" i="5"/>
  <c r="H512" i="5"/>
  <c r="H343" i="5"/>
  <c r="H439" i="5"/>
  <c r="H281" i="5"/>
  <c r="H357" i="5"/>
  <c r="H118" i="5"/>
  <c r="H198" i="5"/>
  <c r="H243" i="5"/>
  <c r="H141" i="5"/>
  <c r="P1008" i="5"/>
  <c r="P917" i="5"/>
  <c r="P889" i="5"/>
  <c r="P916" i="5"/>
  <c r="P749" i="5"/>
  <c r="P828" i="5"/>
  <c r="P631" i="5"/>
  <c r="P591" i="5"/>
  <c r="P770" i="5"/>
  <c r="P722" i="5"/>
  <c r="P472" i="5"/>
  <c r="P474" i="5"/>
  <c r="P452" i="5"/>
  <c r="P355" i="5"/>
  <c r="P465" i="5"/>
  <c r="P286" i="5"/>
  <c r="P255" i="5"/>
  <c r="P72" i="5"/>
  <c r="P176" i="5"/>
  <c r="P105" i="5"/>
  <c r="P191" i="5"/>
  <c r="H966" i="5"/>
  <c r="H967" i="5"/>
  <c r="H860" i="5"/>
  <c r="H893" i="5"/>
  <c r="H845" i="5"/>
  <c r="H831" i="5"/>
  <c r="H697" i="5"/>
  <c r="H793" i="5"/>
  <c r="H639" i="5"/>
  <c r="H567" i="5"/>
  <c r="H531" i="5"/>
  <c r="H503" i="5"/>
  <c r="H600" i="5"/>
  <c r="H368" i="5"/>
  <c r="H418" i="5"/>
  <c r="H426" i="5"/>
  <c r="H391" i="5"/>
  <c r="H248" i="5"/>
  <c r="H131" i="5"/>
  <c r="H48" i="5"/>
  <c r="H135" i="5"/>
  <c r="P951" i="5"/>
  <c r="P953" i="5"/>
  <c r="P913" i="5"/>
  <c r="P815" i="5"/>
  <c r="P843" i="5"/>
  <c r="P697" i="5"/>
  <c r="P657" i="5"/>
  <c r="P739" i="5"/>
  <c r="P582" i="5"/>
  <c r="P530" i="5"/>
  <c r="P505" i="5"/>
  <c r="P508" i="5"/>
  <c r="P461" i="5"/>
  <c r="P331" i="5"/>
  <c r="P281" i="5"/>
  <c r="P254" i="5"/>
  <c r="P138" i="5"/>
  <c r="P55" i="5"/>
  <c r="P171" i="5"/>
  <c r="P70" i="5"/>
  <c r="P34" i="5"/>
  <c r="H1027" i="5"/>
  <c r="H869" i="5"/>
  <c r="H894" i="5"/>
  <c r="H855" i="5"/>
  <c r="H737" i="5"/>
  <c r="H728" i="5"/>
  <c r="H668" i="5"/>
  <c r="H592" i="5"/>
  <c r="H603" i="5"/>
  <c r="H471" i="5"/>
  <c r="H453" i="5"/>
  <c r="H462" i="5"/>
  <c r="H433" i="5"/>
  <c r="H396" i="5"/>
  <c r="H366" i="5"/>
  <c r="H209" i="5"/>
  <c r="H178" i="5"/>
  <c r="H53" i="5"/>
  <c r="H139" i="5"/>
  <c r="H216" i="5"/>
  <c r="P996" i="5"/>
  <c r="P905" i="5"/>
  <c r="P877" i="5"/>
  <c r="P858" i="5"/>
  <c r="P907" i="5"/>
  <c r="P781" i="5"/>
  <c r="P619" i="5"/>
  <c r="P829" i="5"/>
  <c r="P708" i="5"/>
  <c r="P748" i="5"/>
  <c r="P460" i="5"/>
  <c r="P450" i="5"/>
  <c r="P447" i="5"/>
  <c r="P337" i="5"/>
  <c r="P428" i="5"/>
  <c r="P370" i="5"/>
  <c r="P243" i="5"/>
  <c r="P60" i="5"/>
  <c r="P164" i="5"/>
  <c r="P93" i="5"/>
  <c r="P179" i="5"/>
  <c r="H1010" i="5"/>
  <c r="H930" i="5"/>
  <c r="H841" i="5"/>
  <c r="H882" i="5"/>
  <c r="H828" i="5"/>
  <c r="H810" i="5"/>
  <c r="H685" i="5"/>
  <c r="H739" i="5"/>
  <c r="H714" i="5"/>
  <c r="H676" i="5"/>
  <c r="H572" i="5"/>
  <c r="H485" i="5"/>
  <c r="H504" i="5"/>
  <c r="H316" i="5"/>
  <c r="H412" i="5"/>
  <c r="H308" i="5"/>
  <c r="H346" i="5"/>
  <c r="H100" i="5"/>
  <c r="H180" i="5"/>
  <c r="H199" i="5"/>
  <c r="H123" i="5"/>
  <c r="P990" i="5"/>
  <c r="P899" i="5"/>
  <c r="P871" i="5"/>
  <c r="P854" i="5"/>
  <c r="P869" i="5"/>
  <c r="P763" i="5"/>
  <c r="P613" i="5"/>
  <c r="P776" i="5"/>
  <c r="P702" i="5"/>
  <c r="P638" i="5"/>
  <c r="P454" i="5"/>
  <c r="P444" i="5"/>
  <c r="P441" i="5"/>
  <c r="P328" i="5"/>
  <c r="P419" i="5"/>
  <c r="P343" i="5"/>
  <c r="P237" i="5"/>
  <c r="P54" i="5"/>
  <c r="P158" i="5"/>
  <c r="P87" i="5"/>
  <c r="P173" i="5"/>
  <c r="H999" i="5"/>
  <c r="H925" i="5"/>
  <c r="H835" i="5"/>
  <c r="H846" i="5"/>
  <c r="H799" i="5"/>
  <c r="H806" i="5"/>
  <c r="H679" i="5"/>
  <c r="H699" i="5"/>
  <c r="H687" i="5"/>
  <c r="H647" i="5"/>
  <c r="H524" i="5"/>
  <c r="H476" i="5"/>
  <c r="H502" i="5"/>
  <c r="H309" i="5"/>
  <c r="H403" i="5"/>
  <c r="H305" i="5"/>
  <c r="H319" i="5"/>
  <c r="H94" i="5"/>
  <c r="H174" i="5"/>
  <c r="H205" i="5"/>
  <c r="H117" i="5"/>
  <c r="P984" i="5"/>
  <c r="P1021" i="5"/>
  <c r="P865" i="5"/>
  <c r="P852" i="5"/>
  <c r="P864" i="5"/>
  <c r="P743" i="5"/>
  <c r="P607" i="5"/>
  <c r="P872" i="5"/>
  <c r="P696" i="5"/>
  <c r="P605" i="5"/>
  <c r="P632" i="5"/>
  <c r="P438" i="5"/>
  <c r="P435" i="5"/>
  <c r="P319" i="5"/>
  <c r="P410" i="5"/>
  <c r="P316" i="5"/>
  <c r="P231" i="5"/>
  <c r="P48" i="5"/>
  <c r="P152" i="5"/>
  <c r="P81" i="5"/>
  <c r="P167" i="5"/>
  <c r="H997" i="5"/>
  <c r="H922" i="5"/>
  <c r="H829" i="5"/>
  <c r="H838" i="5"/>
  <c r="H797" i="5"/>
  <c r="H780" i="5"/>
  <c r="H673" i="5"/>
  <c r="H690" i="5"/>
  <c r="H657" i="5"/>
  <c r="H635" i="5"/>
  <c r="H507" i="5"/>
  <c r="H648" i="5"/>
  <c r="H493" i="5"/>
  <c r="H303" i="5"/>
  <c r="H394" i="5"/>
  <c r="H288" i="5"/>
  <c r="H265" i="5"/>
  <c r="H88" i="5"/>
  <c r="H168" i="5"/>
  <c r="H201" i="5"/>
  <c r="H111" i="5"/>
  <c r="P978" i="5"/>
  <c r="P994" i="5"/>
  <c r="P940" i="5"/>
  <c r="P838" i="5"/>
  <c r="P831" i="5"/>
  <c r="P730" i="5"/>
  <c r="P601" i="5"/>
  <c r="P754" i="5"/>
  <c r="P690" i="5"/>
  <c r="P564" i="5"/>
  <c r="P516" i="5"/>
  <c r="P432" i="5"/>
  <c r="P429" i="5"/>
  <c r="P312" i="5"/>
  <c r="P401" i="5"/>
  <c r="P297" i="5"/>
  <c r="P225" i="5"/>
  <c r="P42" i="5"/>
  <c r="P146" i="5"/>
  <c r="P75" i="5"/>
  <c r="P161" i="5"/>
  <c r="H981" i="5"/>
  <c r="H912" i="5"/>
  <c r="H994" i="5"/>
  <c r="H825" i="5"/>
  <c r="H774" i="5"/>
  <c r="H778" i="5"/>
  <c r="H667" i="5"/>
  <c r="H684" i="5"/>
  <c r="H626" i="5"/>
  <c r="H599" i="5"/>
  <c r="H617" i="5"/>
  <c r="H467" i="5"/>
  <c r="H484" i="5"/>
  <c r="H297" i="5"/>
  <c r="H385" i="5"/>
  <c r="H279" i="5"/>
  <c r="H259" i="5"/>
  <c r="H82" i="5"/>
  <c r="H162" i="5"/>
  <c r="H194" i="5"/>
  <c r="H105" i="5"/>
  <c r="P972" i="5"/>
  <c r="P976" i="5"/>
  <c r="P922" i="5"/>
  <c r="P825" i="5"/>
  <c r="P827" i="5"/>
  <c r="P971" i="5"/>
  <c r="P595" i="5"/>
  <c r="P737" i="5"/>
  <c r="P684" i="5"/>
  <c r="P552" i="5"/>
  <c r="P538" i="5"/>
  <c r="P426" i="5"/>
  <c r="P423" i="5"/>
  <c r="P306" i="5"/>
  <c r="P392" i="5"/>
  <c r="P268" i="5"/>
  <c r="P219" i="5"/>
  <c r="P36" i="5"/>
  <c r="P140" i="5"/>
  <c r="P69" i="5"/>
  <c r="P155" i="5"/>
  <c r="H979" i="5"/>
  <c r="H905" i="5"/>
  <c r="H986" i="5"/>
  <c r="H819" i="5"/>
  <c r="H772" i="5"/>
  <c r="H762" i="5"/>
  <c r="H661" i="5"/>
  <c r="H681" i="5"/>
  <c r="H622" i="5"/>
  <c r="H575" i="5"/>
  <c r="H584" i="5"/>
  <c r="H454" i="5"/>
  <c r="H475" i="5"/>
  <c r="H291" i="5"/>
  <c r="H376" i="5"/>
  <c r="H270" i="5"/>
  <c r="H253" i="5"/>
  <c r="H76" i="5"/>
  <c r="H156" i="5"/>
  <c r="H188" i="5"/>
  <c r="P998" i="5"/>
  <c r="P931" i="5"/>
  <c r="P847" i="5"/>
  <c r="P747" i="5"/>
  <c r="P768" i="5"/>
  <c r="P766" i="5"/>
  <c r="P704" i="5"/>
  <c r="P658" i="5"/>
  <c r="P606" i="5"/>
  <c r="P600" i="5"/>
  <c r="P481" i="5"/>
  <c r="P348" i="5"/>
  <c r="P345" i="5"/>
  <c r="P335" i="5"/>
  <c r="P433" i="5"/>
  <c r="P359" i="5"/>
  <c r="P350" i="5"/>
  <c r="P163" i="5"/>
  <c r="P62" i="5"/>
  <c r="P178" i="5"/>
  <c r="P77" i="5"/>
  <c r="H931" i="5"/>
  <c r="H917" i="5"/>
  <c r="H916" i="5"/>
  <c r="H890" i="5"/>
  <c r="H763" i="5"/>
  <c r="H716" i="5"/>
  <c r="H906" i="5"/>
  <c r="H669" i="5"/>
  <c r="H616" i="5"/>
  <c r="H598" i="5"/>
  <c r="H533" i="5"/>
  <c r="H377" i="5"/>
  <c r="H398" i="5"/>
  <c r="H411" i="5"/>
  <c r="H271" i="5"/>
  <c r="H375" i="5"/>
  <c r="H285" i="5"/>
  <c r="H161" i="5"/>
  <c r="H78" i="5"/>
  <c r="H110" i="5"/>
  <c r="H31" i="5"/>
  <c r="P958" i="5"/>
  <c r="P900" i="5"/>
  <c r="P873" i="5"/>
  <c r="P773" i="5"/>
  <c r="P800" i="5"/>
  <c r="P655" i="5"/>
  <c r="P615" i="5"/>
  <c r="P695" i="5"/>
  <c r="P647" i="5"/>
  <c r="P496" i="5"/>
  <c r="P521" i="5"/>
  <c r="P520" i="5"/>
  <c r="P391" i="5"/>
  <c r="P284" i="5"/>
  <c r="P263" i="5"/>
  <c r="P291" i="5"/>
  <c r="P96" i="5"/>
  <c r="P212" i="5"/>
  <c r="P129" i="5"/>
  <c r="P242" i="5"/>
  <c r="H990" i="5"/>
  <c r="H962" i="5"/>
  <c r="H901" i="5"/>
  <c r="H1007" i="5"/>
  <c r="H732" i="5"/>
  <c r="H773" i="5"/>
  <c r="H800" i="5"/>
  <c r="H766" i="5"/>
  <c r="H696" i="5"/>
  <c r="H636" i="5"/>
  <c r="H564" i="5"/>
  <c r="H487" i="5"/>
  <c r="H520" i="5"/>
  <c r="H370" i="5"/>
  <c r="H333" i="5"/>
  <c r="H261" i="5"/>
  <c r="H264" i="5"/>
  <c r="H136" i="5"/>
  <c r="H234" i="5"/>
  <c r="H97" i="5"/>
  <c r="H159" i="5"/>
  <c r="H334" i="5"/>
  <c r="H430" i="5"/>
  <c r="H272" i="5"/>
  <c r="H330" i="5"/>
  <c r="H112" i="5"/>
  <c r="H192" i="5"/>
  <c r="H231" i="5"/>
  <c r="P930" i="5"/>
  <c r="P952" i="5"/>
  <c r="P925" i="5"/>
  <c r="P783" i="5"/>
  <c r="P804" i="5"/>
  <c r="P731" i="5"/>
  <c r="P811" i="5"/>
  <c r="P694" i="5"/>
  <c r="P642" i="5"/>
  <c r="P545" i="5"/>
  <c r="P541" i="5"/>
  <c r="P384" i="5"/>
  <c r="P381" i="5"/>
  <c r="P389" i="5"/>
  <c r="P329" i="5"/>
  <c r="P228" i="5"/>
  <c r="P274" i="5"/>
  <c r="P208" i="5"/>
  <c r="P98" i="5"/>
  <c r="P233" i="5"/>
  <c r="P113" i="5"/>
  <c r="H993" i="5"/>
  <c r="H880" i="5"/>
  <c r="H864" i="5"/>
  <c r="H777" i="5"/>
  <c r="H717" i="5"/>
  <c r="H724" i="5"/>
  <c r="H619" i="5"/>
  <c r="H573" i="5"/>
  <c r="H596" i="5"/>
  <c r="H634" i="5"/>
  <c r="H492" i="5"/>
  <c r="H413" i="5"/>
  <c r="H434" i="5"/>
  <c r="H280" i="5"/>
  <c r="H307" i="5"/>
  <c r="H232" i="5"/>
  <c r="H211" i="5"/>
  <c r="H197" i="5"/>
  <c r="H114" i="5"/>
  <c r="H146" i="5"/>
  <c r="H57" i="5"/>
  <c r="P1017" i="5"/>
  <c r="P886" i="5"/>
  <c r="P853" i="5"/>
  <c r="P896" i="5"/>
  <c r="P726" i="5"/>
  <c r="P861" i="5"/>
  <c r="P772" i="5"/>
  <c r="P616" i="5"/>
  <c r="P561" i="5"/>
  <c r="P602" i="5"/>
  <c r="P518" i="5"/>
  <c r="P626" i="5"/>
  <c r="P500" i="5"/>
  <c r="P430" i="5"/>
  <c r="P431" i="5"/>
  <c r="P304" i="5"/>
  <c r="P202" i="5"/>
  <c r="P121" i="5"/>
  <c r="P199" i="5"/>
  <c r="P136" i="5"/>
  <c r="P29" i="5"/>
  <c r="H927" i="5"/>
  <c r="H974" i="5"/>
  <c r="H884" i="5"/>
  <c r="H874" i="5"/>
  <c r="H809" i="5"/>
  <c r="H677" i="5"/>
  <c r="H784" i="5"/>
  <c r="H654" i="5"/>
  <c r="H662" i="5"/>
  <c r="H602" i="5"/>
  <c r="H656" i="5"/>
  <c r="H335" i="5"/>
  <c r="H356" i="5"/>
  <c r="H400" i="5"/>
  <c r="H408" i="5"/>
  <c r="H337" i="5"/>
  <c r="H236" i="5"/>
  <c r="H119" i="5"/>
  <c r="H36" i="5"/>
  <c r="H68" i="5"/>
  <c r="H52" i="5"/>
  <c r="P1011" i="5"/>
  <c r="P880" i="5"/>
  <c r="P956" i="5"/>
  <c r="P888" i="5"/>
  <c r="P961" i="5"/>
  <c r="P814" i="5"/>
  <c r="P725" i="5"/>
  <c r="P610" i="5"/>
  <c r="P719" i="5"/>
  <c r="P573" i="5"/>
  <c r="P514" i="5"/>
  <c r="P540" i="5"/>
  <c r="P491" i="5"/>
  <c r="P421" i="5"/>
  <c r="P422" i="5"/>
  <c r="P294" i="5"/>
  <c r="P198" i="5"/>
  <c r="P115" i="5"/>
  <c r="P256" i="5"/>
  <c r="P130" i="5"/>
  <c r="P47" i="5"/>
  <c r="H921" i="5"/>
  <c r="H950" i="5"/>
  <c r="H872" i="5"/>
  <c r="H842" i="5"/>
  <c r="H779" i="5"/>
  <c r="H671" i="5"/>
  <c r="H776" i="5"/>
  <c r="H623" i="5"/>
  <c r="H645" i="5"/>
  <c r="H553" i="5"/>
  <c r="H614" i="5"/>
  <c r="H329" i="5"/>
  <c r="H350" i="5"/>
  <c r="H461" i="5"/>
  <c r="H399" i="5"/>
  <c r="H311" i="5"/>
  <c r="H230" i="5"/>
  <c r="H113" i="5"/>
  <c r="H30" i="5"/>
  <c r="H62" i="5"/>
  <c r="H46" i="5"/>
  <c r="P1005" i="5"/>
  <c r="P874" i="5"/>
  <c r="P897" i="5"/>
  <c r="P860" i="5"/>
  <c r="P932" i="5"/>
  <c r="P778" i="5"/>
  <c r="P711" i="5"/>
  <c r="P604" i="5"/>
  <c r="P689" i="5"/>
  <c r="P560" i="5"/>
  <c r="P614" i="5"/>
  <c r="P523" i="5"/>
  <c r="P482" i="5"/>
  <c r="P412" i="5"/>
  <c r="P413" i="5"/>
  <c r="P280" i="5"/>
  <c r="P192" i="5"/>
  <c r="P109" i="5"/>
  <c r="P238" i="5"/>
  <c r="P124" i="5"/>
  <c r="P41" i="5"/>
  <c r="H915" i="5"/>
  <c r="H945" i="5"/>
  <c r="H862" i="5"/>
  <c r="H914" i="5"/>
  <c r="H761" i="5"/>
  <c r="H665" i="5"/>
  <c r="H767" i="5"/>
  <c r="H621" i="5"/>
  <c r="H609" i="5"/>
  <c r="H527" i="5"/>
  <c r="H582" i="5"/>
  <c r="H323" i="5"/>
  <c r="H344" i="5"/>
  <c r="H312" i="5"/>
  <c r="H390" i="5"/>
  <c r="H263" i="5"/>
  <c r="H224" i="5"/>
  <c r="H107" i="5"/>
  <c r="H193" i="5"/>
  <c r="H56" i="5"/>
  <c r="H40" i="5"/>
  <c r="P999" i="5"/>
  <c r="P868" i="5"/>
  <c r="P881" i="5"/>
  <c r="P848" i="5"/>
  <c r="P876" i="5"/>
  <c r="P760" i="5"/>
  <c r="P705" i="5"/>
  <c r="P598" i="5"/>
  <c r="P686" i="5"/>
  <c r="P547" i="5"/>
  <c r="P556" i="5"/>
  <c r="P497" i="5"/>
  <c r="P617" i="5"/>
  <c r="P403" i="5"/>
  <c r="P404" i="5"/>
  <c r="P271" i="5"/>
  <c r="P186" i="5"/>
  <c r="P103" i="5"/>
  <c r="P226" i="5"/>
  <c r="P118" i="5"/>
  <c r="P35" i="5"/>
  <c r="H909" i="5"/>
  <c r="H932" i="5"/>
  <c r="H844" i="5"/>
  <c r="H895" i="5"/>
  <c r="H740" i="5"/>
  <c r="H659" i="5"/>
  <c r="H750" i="5"/>
  <c r="H594" i="5"/>
  <c r="H606" i="5"/>
  <c r="H523" i="5"/>
  <c r="H569" i="5"/>
  <c r="H317" i="5"/>
  <c r="H338" i="5"/>
  <c r="H306" i="5"/>
  <c r="H381" i="5"/>
  <c r="H257" i="5"/>
  <c r="H218" i="5"/>
  <c r="H101" i="5"/>
  <c r="H187" i="5"/>
  <c r="H50" i="5"/>
  <c r="H61" i="5"/>
  <c r="P993" i="5"/>
  <c r="P862" i="5"/>
  <c r="P875" i="5"/>
  <c r="P834" i="5"/>
  <c r="P859" i="5"/>
  <c r="P826" i="5"/>
  <c r="P699" i="5"/>
  <c r="P592" i="5"/>
  <c r="P683" i="5"/>
  <c r="P593" i="5"/>
  <c r="P511" i="5"/>
  <c r="P488" i="5"/>
  <c r="P558" i="5"/>
  <c r="P394" i="5"/>
  <c r="P395" i="5"/>
  <c r="P379" i="5"/>
  <c r="P180" i="5"/>
  <c r="P97" i="5"/>
  <c r="P214" i="5"/>
  <c r="P112" i="5"/>
  <c r="P37" i="5"/>
  <c r="H1015" i="5"/>
  <c r="H918" i="5"/>
  <c r="H1018" i="5"/>
  <c r="H913" i="5"/>
  <c r="H727" i="5"/>
  <c r="H857" i="5"/>
  <c r="H710" i="5"/>
  <c r="H581" i="5"/>
  <c r="H559" i="5"/>
  <c r="H510" i="5"/>
  <c r="H542" i="5"/>
  <c r="H552" i="5"/>
  <c r="H332" i="5"/>
  <c r="H300" i="5"/>
  <c r="H372" i="5"/>
  <c r="H251" i="5"/>
  <c r="H212" i="5"/>
  <c r="H95" i="5"/>
  <c r="H181" i="5"/>
  <c r="H37" i="5"/>
  <c r="P1015" i="5"/>
  <c r="P904" i="5"/>
  <c r="P882" i="5"/>
  <c r="P779" i="5"/>
  <c r="P806" i="5"/>
  <c r="P661" i="5"/>
  <c r="P621" i="5"/>
  <c r="P701" i="5"/>
  <c r="P724" i="5"/>
  <c r="P502" i="5"/>
  <c r="P594" i="5"/>
  <c r="P575" i="5"/>
  <c r="P400" i="5"/>
  <c r="P290" i="5"/>
  <c r="P270" i="5"/>
  <c r="P397" i="5"/>
  <c r="P102" i="5"/>
  <c r="P224" i="5"/>
  <c r="P135" i="5"/>
  <c r="P211" i="5"/>
  <c r="H996" i="5"/>
  <c r="H965" i="5"/>
  <c r="H910" i="5"/>
  <c r="H911" i="5"/>
  <c r="H742" i="5"/>
  <c r="H794" i="5"/>
  <c r="H722" i="5"/>
  <c r="H775" i="5"/>
  <c r="H688" i="5"/>
  <c r="H666" i="5"/>
  <c r="H577" i="5"/>
  <c r="H496" i="5"/>
  <c r="H455" i="5"/>
  <c r="H379" i="5"/>
  <c r="H342" i="5"/>
  <c r="H293" i="5"/>
  <c r="H273" i="5"/>
  <c r="H142" i="5"/>
  <c r="H252" i="5"/>
  <c r="H103" i="5"/>
  <c r="H165" i="5"/>
  <c r="P992" i="5"/>
  <c r="P1018" i="5"/>
  <c r="P841" i="5"/>
  <c r="P741" i="5"/>
  <c r="P762" i="5"/>
  <c r="P728" i="5"/>
  <c r="P698" i="5"/>
  <c r="P652" i="5"/>
  <c r="P787" i="5"/>
  <c r="P546" i="5"/>
  <c r="P475" i="5"/>
  <c r="P342" i="5"/>
  <c r="P339" i="5"/>
  <c r="P326" i="5"/>
  <c r="P424" i="5"/>
  <c r="P332" i="5"/>
  <c r="P323" i="5"/>
  <c r="P157" i="5"/>
  <c r="P56" i="5"/>
  <c r="P172" i="5"/>
  <c r="P71" i="5"/>
  <c r="H1009" i="5"/>
  <c r="H907" i="5"/>
  <c r="H881" i="5"/>
  <c r="H879" i="5"/>
  <c r="H743" i="5"/>
  <c r="H713" i="5"/>
  <c r="H836" i="5"/>
  <c r="H644" i="5"/>
  <c r="H604" i="5"/>
  <c r="H557" i="5"/>
  <c r="H522" i="5"/>
  <c r="H371" i="5"/>
  <c r="H392" i="5"/>
  <c r="H450" i="5"/>
  <c r="H469" i="5"/>
  <c r="H348" i="5"/>
  <c r="H276" i="5"/>
  <c r="H155" i="5"/>
  <c r="H72" i="5"/>
  <c r="H104" i="5"/>
  <c r="H43" i="5"/>
  <c r="P949" i="5"/>
  <c r="P746" i="5"/>
  <c r="P687" i="5"/>
  <c r="P580" i="5"/>
  <c r="P677" i="5"/>
  <c r="P551" i="5"/>
  <c r="P464" i="5"/>
  <c r="P470" i="5"/>
  <c r="P498" i="5"/>
  <c r="P376" i="5"/>
  <c r="P311" i="5"/>
  <c r="P325" i="5"/>
  <c r="P168" i="5"/>
  <c r="P85" i="5"/>
  <c r="P203" i="5"/>
  <c r="P100" i="5"/>
  <c r="P49" i="5"/>
  <c r="H998" i="5"/>
  <c r="H963" i="5"/>
  <c r="H873" i="5"/>
  <c r="H859" i="5"/>
  <c r="H848" i="5"/>
  <c r="H786" i="5"/>
  <c r="H698" i="5"/>
  <c r="H558" i="5"/>
  <c r="H536" i="5"/>
  <c r="H501" i="5"/>
  <c r="H630" i="5"/>
  <c r="H535" i="5"/>
  <c r="H320" i="5"/>
  <c r="H441" i="5"/>
  <c r="H354" i="5"/>
  <c r="H239" i="5"/>
  <c r="H200" i="5"/>
  <c r="H83" i="5"/>
  <c r="H169" i="5"/>
  <c r="H32" i="5"/>
  <c r="H63" i="5"/>
  <c r="O658" i="4"/>
  <c r="N658" i="4"/>
  <c r="M129" i="4"/>
  <c r="O129" i="4"/>
  <c r="N129" i="4"/>
  <c r="O83" i="4"/>
  <c r="N83" i="4"/>
  <c r="O962" i="4"/>
  <c r="N962" i="4"/>
  <c r="O297" i="4"/>
  <c r="N297" i="4"/>
  <c r="O304" i="4"/>
  <c r="N304" i="4"/>
  <c r="O918" i="4"/>
  <c r="N918" i="4"/>
  <c r="O673" i="4"/>
  <c r="N673" i="4"/>
  <c r="O723" i="4"/>
  <c r="N723" i="4"/>
  <c r="O346" i="4"/>
  <c r="N346" i="4"/>
  <c r="P346" i="4" s="1"/>
  <c r="O798" i="4"/>
  <c r="N798" i="4"/>
  <c r="O1005" i="4"/>
  <c r="N1005" i="4"/>
  <c r="O900" i="4"/>
  <c r="N900" i="4"/>
  <c r="O572" i="4"/>
  <c r="N572" i="4"/>
  <c r="O301" i="4"/>
  <c r="N301" i="4"/>
  <c r="O744" i="4"/>
  <c r="N744" i="4"/>
  <c r="O710" i="4"/>
  <c r="N710" i="4"/>
  <c r="O483" i="4"/>
  <c r="N483" i="4"/>
  <c r="O252" i="4"/>
  <c r="N252" i="4"/>
  <c r="O321" i="4"/>
  <c r="N321" i="4"/>
  <c r="O522" i="4"/>
  <c r="N522" i="4"/>
  <c r="O427" i="4"/>
  <c r="N427" i="4"/>
  <c r="P427" i="4" s="1"/>
  <c r="N1014" i="4"/>
  <c r="O1014" i="4"/>
  <c r="O539" i="4"/>
  <c r="N539" i="4"/>
  <c r="O502" i="4"/>
  <c r="N502" i="4"/>
  <c r="O779" i="4"/>
  <c r="N779" i="4"/>
  <c r="O344" i="4"/>
  <c r="N344" i="4"/>
  <c r="O929" i="4"/>
  <c r="N929" i="4"/>
  <c r="O790" i="4"/>
  <c r="N790" i="4"/>
  <c r="O200" i="4"/>
  <c r="N200" i="4"/>
  <c r="O489" i="4"/>
  <c r="N489" i="4"/>
  <c r="O974" i="4"/>
  <c r="N974" i="4"/>
  <c r="O694" i="4"/>
  <c r="N694" i="4"/>
  <c r="O897" i="4"/>
  <c r="N897" i="4"/>
  <c r="O454" i="4"/>
  <c r="N454" i="4"/>
  <c r="O523" i="4"/>
  <c r="N523" i="4"/>
  <c r="O941" i="4"/>
  <c r="N941" i="4"/>
  <c r="O680" i="4"/>
  <c r="N680" i="4"/>
  <c r="N889" i="4"/>
  <c r="O889" i="4"/>
  <c r="M273" i="4"/>
  <c r="O273" i="4"/>
  <c r="P273" i="4" s="1"/>
  <c r="N273" i="4"/>
  <c r="O251" i="4"/>
  <c r="N251" i="4"/>
  <c r="O891" i="4"/>
  <c r="N891" i="4"/>
  <c r="O948" i="4"/>
  <c r="N948" i="4"/>
  <c r="O277" i="4"/>
  <c r="N277" i="4"/>
  <c r="O684" i="4"/>
  <c r="N684" i="4"/>
  <c r="O436" i="4"/>
  <c r="N436" i="4"/>
  <c r="O549" i="4"/>
  <c r="N549" i="4"/>
  <c r="O348" i="4"/>
  <c r="N348" i="4"/>
  <c r="O543" i="4"/>
  <c r="N543" i="4"/>
  <c r="O636" i="4"/>
  <c r="N636" i="4"/>
  <c r="O526" i="4"/>
  <c r="N526" i="4"/>
  <c r="M485" i="4"/>
  <c r="O485" i="4"/>
  <c r="N485" i="4"/>
  <c r="O807" i="4"/>
  <c r="N807" i="4"/>
  <c r="O915" i="4"/>
  <c r="N915" i="4"/>
  <c r="O196" i="4"/>
  <c r="N196" i="4"/>
  <c r="M865" i="4"/>
  <c r="N865" i="4"/>
  <c r="O865" i="4"/>
  <c r="O195" i="4"/>
  <c r="N195" i="4"/>
  <c r="O248" i="4"/>
  <c r="N248" i="4"/>
  <c r="N901" i="4"/>
  <c r="O901" i="4"/>
  <c r="O640" i="4"/>
  <c r="N640" i="4"/>
  <c r="O241" i="4"/>
  <c r="N241" i="4"/>
  <c r="O116" i="4"/>
  <c r="N116" i="4"/>
  <c r="O635" i="4"/>
  <c r="P635" i="4" s="1"/>
  <c r="N635" i="4"/>
  <c r="O864" i="4"/>
  <c r="P864" i="4" s="1"/>
  <c r="N864" i="4"/>
  <c r="O585" i="4"/>
  <c r="N585" i="4"/>
  <c r="O448" i="4"/>
  <c r="N448" i="4"/>
  <c r="M546" i="4"/>
  <c r="O546" i="4"/>
  <c r="N546" i="4"/>
  <c r="M297" i="4"/>
  <c r="O201" i="4"/>
  <c r="N201" i="4"/>
  <c r="O53" i="4"/>
  <c r="N53" i="4"/>
  <c r="O265" i="4"/>
  <c r="N265" i="4"/>
  <c r="O909" i="4"/>
  <c r="N909" i="4"/>
  <c r="O852" i="4"/>
  <c r="N852" i="4"/>
  <c r="N817" i="4"/>
  <c r="O817" i="4"/>
  <c r="N40" i="4"/>
  <c r="O40" i="4"/>
  <c r="O76" i="4"/>
  <c r="N76" i="4"/>
  <c r="N709" i="4"/>
  <c r="O709" i="4"/>
  <c r="O422" i="4"/>
  <c r="N422" i="4"/>
  <c r="O535" i="4"/>
  <c r="N535" i="4"/>
  <c r="O325" i="4"/>
  <c r="N325" i="4"/>
  <c r="O540" i="4"/>
  <c r="N540" i="4"/>
  <c r="O993" i="4"/>
  <c r="N993" i="4"/>
  <c r="O88" i="4"/>
  <c r="N88" i="4"/>
  <c r="O686" i="4"/>
  <c r="N686" i="4"/>
  <c r="M373" i="4"/>
  <c r="O373" i="4"/>
  <c r="N373" i="4"/>
  <c r="N661" i="4"/>
  <c r="O661" i="4"/>
  <c r="O964" i="4"/>
  <c r="N964" i="4"/>
  <c r="P964" i="4" s="1"/>
  <c r="O650" i="4"/>
  <c r="N650" i="4"/>
  <c r="O143" i="4"/>
  <c r="N143" i="4"/>
  <c r="O231" i="4"/>
  <c r="N231" i="4"/>
  <c r="O833" i="4"/>
  <c r="N833" i="4"/>
  <c r="O678" i="4"/>
  <c r="N678" i="4"/>
  <c r="O519" i="4"/>
  <c r="N519" i="4"/>
  <c r="O547" i="4"/>
  <c r="N547" i="4"/>
  <c r="O91" i="4"/>
  <c r="N91" i="4"/>
  <c r="O235" i="4"/>
  <c r="N235" i="4"/>
  <c r="O884" i="4"/>
  <c r="N884" i="4"/>
  <c r="O904" i="4"/>
  <c r="N904" i="4"/>
  <c r="O600" i="4"/>
  <c r="N600" i="4"/>
  <c r="O450" i="4"/>
  <c r="N450" i="4"/>
  <c r="O863" i="4"/>
  <c r="N863" i="4"/>
  <c r="O275" i="4"/>
  <c r="N275" i="4"/>
  <c r="O210" i="4"/>
  <c r="N210" i="4"/>
  <c r="O775" i="4"/>
  <c r="N775" i="4"/>
  <c r="P775" i="4" s="1"/>
  <c r="M772" i="4"/>
  <c r="O772" i="4"/>
  <c r="P772" i="4" s="1"/>
  <c r="N772" i="4"/>
  <c r="O995" i="4"/>
  <c r="N995" i="4"/>
  <c r="O69" i="4"/>
  <c r="N69" i="4"/>
  <c r="O530" i="4"/>
  <c r="N530" i="4"/>
  <c r="O838" i="4"/>
  <c r="N838" i="4"/>
  <c r="O37" i="4"/>
  <c r="P37" i="4" s="1"/>
  <c r="N37" i="4"/>
  <c r="O977" i="4"/>
  <c r="P977" i="4" s="1"/>
  <c r="N977" i="4"/>
  <c r="M192" i="4"/>
  <c r="O192" i="4"/>
  <c r="N192" i="4"/>
  <c r="O887" i="4"/>
  <c r="N887" i="4"/>
  <c r="O52" i="4"/>
  <c r="N52" i="4"/>
  <c r="O360" i="4"/>
  <c r="N360" i="4"/>
  <c r="O697" i="4"/>
  <c r="N697" i="4"/>
  <c r="P697" i="4" s="1"/>
  <c r="O856" i="4"/>
  <c r="N856" i="4"/>
  <c r="M286" i="4"/>
  <c r="O286" i="4"/>
  <c r="N286" i="4"/>
  <c r="M851" i="4"/>
  <c r="O851" i="4"/>
  <c r="N851" i="4"/>
  <c r="O906" i="4"/>
  <c r="N906" i="4"/>
  <c r="P906" i="4" s="1"/>
  <c r="O491" i="4"/>
  <c r="N491" i="4"/>
  <c r="P491" i="4" s="1"/>
  <c r="O810" i="4"/>
  <c r="N810" i="4"/>
  <c r="O97" i="4"/>
  <c r="N97" i="4"/>
  <c r="O757" i="4"/>
  <c r="N757" i="4"/>
  <c r="N601" i="4"/>
  <c r="O601" i="4"/>
  <c r="O733" i="4"/>
  <c r="N733" i="4"/>
  <c r="M1026" i="4"/>
  <c r="N1026" i="4"/>
  <c r="P1026" i="4" s="1"/>
  <c r="O1026" i="4"/>
  <c r="O691" i="4"/>
  <c r="N691" i="4"/>
  <c r="O781" i="4"/>
  <c r="N781" i="4"/>
  <c r="O214" i="4"/>
  <c r="N214" i="4"/>
  <c r="O945" i="4"/>
  <c r="N945" i="4"/>
  <c r="O871" i="4"/>
  <c r="P871" i="4" s="1"/>
  <c r="N871" i="4"/>
  <c r="O399" i="4"/>
  <c r="N399" i="4"/>
  <c r="N862" i="4"/>
  <c r="O862" i="4"/>
  <c r="O227" i="4"/>
  <c r="N227" i="4"/>
  <c r="O328" i="4"/>
  <c r="N328" i="4"/>
  <c r="O172" i="4"/>
  <c r="N172" i="4"/>
  <c r="O763" i="4"/>
  <c r="P763" i="4" s="1"/>
  <c r="N763" i="4"/>
  <c r="O613" i="4"/>
  <c r="N613" i="4"/>
  <c r="O109" i="4"/>
  <c r="N109" i="4"/>
  <c r="O550" i="4"/>
  <c r="N550" i="4"/>
  <c r="O698" i="4"/>
  <c r="N698" i="4"/>
  <c r="O876" i="4"/>
  <c r="N876" i="4"/>
  <c r="O928" i="4"/>
  <c r="N928" i="4"/>
  <c r="O786" i="4"/>
  <c r="N786" i="4"/>
  <c r="O424" i="4"/>
  <c r="N424" i="4"/>
  <c r="O369" i="4"/>
  <c r="N369" i="4"/>
  <c r="O1010" i="4"/>
  <c r="N1010" i="4"/>
  <c r="O435" i="4"/>
  <c r="N435" i="4"/>
  <c r="O946" i="4"/>
  <c r="N946" i="4"/>
  <c r="O679" i="4"/>
  <c r="N679" i="4"/>
  <c r="O870" i="4"/>
  <c r="N870" i="4"/>
  <c r="O315" i="4"/>
  <c r="N315" i="4"/>
  <c r="O79" i="4"/>
  <c r="N79" i="4"/>
  <c r="O986" i="4"/>
  <c r="N986" i="4"/>
  <c r="O700" i="4"/>
  <c r="P700" i="4" s="1"/>
  <c r="N700" i="4"/>
  <c r="O250" i="4"/>
  <c r="N250" i="4"/>
  <c r="O854" i="4"/>
  <c r="N854" i="4"/>
  <c r="O330" i="4"/>
  <c r="N330" i="4"/>
  <c r="O534" i="4"/>
  <c r="N534" i="4"/>
  <c r="O963" i="4"/>
  <c r="N963" i="4"/>
  <c r="M800" i="4"/>
  <c r="N800" i="4"/>
  <c r="O800" i="4"/>
  <c r="O960" i="4"/>
  <c r="N960" i="4"/>
  <c r="O740" i="4"/>
  <c r="N740" i="4"/>
  <c r="O229" i="4"/>
  <c r="N229" i="4"/>
  <c r="O271" i="4"/>
  <c r="N271" i="4"/>
  <c r="O509" i="4"/>
  <c r="N509" i="4"/>
  <c r="O237" i="4"/>
  <c r="N237" i="4"/>
  <c r="O912" i="4"/>
  <c r="N912" i="4"/>
  <c r="O855" i="4"/>
  <c r="N855" i="4"/>
  <c r="O610" i="4"/>
  <c r="N610" i="4"/>
  <c r="O323" i="4"/>
  <c r="N323" i="4"/>
  <c r="O715" i="4"/>
  <c r="N715" i="4"/>
  <c r="O527" i="4"/>
  <c r="N527" i="4"/>
  <c r="O222" i="4"/>
  <c r="N222" i="4"/>
  <c r="O327" i="4"/>
  <c r="N327" i="4"/>
  <c r="O152" i="4"/>
  <c r="N152" i="4"/>
  <c r="O970" i="4"/>
  <c r="N970" i="4"/>
  <c r="O751" i="4"/>
  <c r="N751" i="4"/>
  <c r="O31" i="4"/>
  <c r="N31" i="4"/>
  <c r="P31" i="4" s="1"/>
  <c r="O64" i="4"/>
  <c r="N64" i="4"/>
  <c r="O175" i="4"/>
  <c r="N175" i="4"/>
  <c r="O557" i="4"/>
  <c r="N557" i="4"/>
  <c r="O452" i="4"/>
  <c r="N452" i="4"/>
  <c r="O132" i="4"/>
  <c r="N132" i="4"/>
  <c r="P132" i="4" s="1"/>
  <c r="M1006" i="4"/>
  <c r="O1006" i="4"/>
  <c r="P1006" i="4" s="1"/>
  <c r="N1006" i="4"/>
  <c r="O592" i="4"/>
  <c r="N592" i="4"/>
  <c r="O653" i="4"/>
  <c r="N653" i="4"/>
  <c r="O137" i="4"/>
  <c r="N137" i="4"/>
  <c r="O739" i="4"/>
  <c r="N739" i="4"/>
  <c r="O215" i="4"/>
  <c r="N215" i="4"/>
  <c r="O36" i="4"/>
  <c r="N36" i="4"/>
  <c r="O420" i="4"/>
  <c r="N420" i="4"/>
  <c r="N920" i="4"/>
  <c r="O920" i="4"/>
  <c r="M260" i="4"/>
  <c r="O260" i="4"/>
  <c r="N260" i="4"/>
  <c r="M806" i="4"/>
  <c r="O806" i="4"/>
  <c r="P806" i="4" s="1"/>
  <c r="N806" i="4"/>
  <c r="O660" i="4"/>
  <c r="P660" i="4" s="1"/>
  <c r="N660" i="4"/>
  <c r="O618" i="4"/>
  <c r="N618" i="4"/>
  <c r="O589" i="4"/>
  <c r="N589" i="4"/>
  <c r="M127" i="4"/>
  <c r="O127" i="4"/>
  <c r="N127" i="4"/>
  <c r="O850" i="4"/>
  <c r="N850" i="4"/>
  <c r="P850" i="4" s="1"/>
  <c r="O472" i="4"/>
  <c r="N472" i="4"/>
  <c r="P472" i="4" s="1"/>
  <c r="O835" i="4"/>
  <c r="N835" i="4"/>
  <c r="O481" i="4"/>
  <c r="N481" i="4"/>
  <c r="O177" i="4"/>
  <c r="N177" i="4"/>
  <c r="O300" i="4"/>
  <c r="N300" i="4"/>
  <c r="O151" i="4"/>
  <c r="N151" i="4"/>
  <c r="P151" i="4" s="1"/>
  <c r="O374" i="4"/>
  <c r="N374" i="4"/>
  <c r="P374" i="4" s="1"/>
  <c r="O381" i="4"/>
  <c r="N381" i="4"/>
  <c r="O340" i="4"/>
  <c r="N340" i="4"/>
  <c r="O568" i="4"/>
  <c r="N568" i="4"/>
  <c r="O412" i="4"/>
  <c r="N412" i="4"/>
  <c r="N668" i="4"/>
  <c r="O668" i="4"/>
  <c r="O654" i="4"/>
  <c r="N654" i="4"/>
  <c r="O536" i="4"/>
  <c r="N536" i="4"/>
  <c r="O410" i="4"/>
  <c r="N410" i="4"/>
  <c r="O49" i="4"/>
  <c r="N49" i="4"/>
  <c r="O510" i="4"/>
  <c r="N510" i="4"/>
  <c r="O896" i="4"/>
  <c r="N896" i="4"/>
  <c r="O406" i="4"/>
  <c r="N406" i="4"/>
  <c r="O866" i="4"/>
  <c r="N866" i="4"/>
  <c r="O603" i="4"/>
  <c r="N603" i="4"/>
  <c r="M989" i="4"/>
  <c r="O989" i="4"/>
  <c r="N989" i="4"/>
  <c r="O933" i="4"/>
  <c r="N933" i="4"/>
  <c r="O55" i="4"/>
  <c r="N55" i="4"/>
  <c r="O606" i="4"/>
  <c r="N606" i="4"/>
  <c r="O736" i="4"/>
  <c r="N736" i="4"/>
  <c r="O396" i="4"/>
  <c r="N396" i="4"/>
  <c r="O42" i="4"/>
  <c r="N42" i="4"/>
  <c r="O404" i="4"/>
  <c r="N404" i="4"/>
  <c r="O951" i="4"/>
  <c r="N951" i="4"/>
  <c r="O518" i="4"/>
  <c r="N518" i="4"/>
  <c r="O262" i="4"/>
  <c r="N262" i="4"/>
  <c r="O714" i="4"/>
  <c r="N714" i="4"/>
  <c r="O822" i="4"/>
  <c r="N822" i="4"/>
  <c r="O204" i="4"/>
  <c r="N204" i="4"/>
  <c r="O216" i="4"/>
  <c r="P216" i="4" s="1"/>
  <c r="N216" i="4"/>
  <c r="O185" i="4"/>
  <c r="N185" i="4"/>
  <c r="O1028" i="4"/>
  <c r="N1028" i="4"/>
  <c r="O780" i="4"/>
  <c r="N780" i="4"/>
  <c r="O791" i="4"/>
  <c r="N791" i="4"/>
  <c r="O670" i="4"/>
  <c r="N670" i="4"/>
  <c r="O124" i="4"/>
  <c r="N124" i="4"/>
  <c r="O621" i="4"/>
  <c r="P621" i="4" s="1"/>
  <c r="N621" i="4"/>
  <c r="O441" i="4"/>
  <c r="N441" i="4"/>
  <c r="O764" i="4"/>
  <c r="N764" i="4"/>
  <c r="M168" i="4"/>
  <c r="O168" i="4"/>
  <c r="N168" i="4"/>
  <c r="O385" i="4"/>
  <c r="N385" i="4"/>
  <c r="P385" i="4" s="1"/>
  <c r="O208" i="4"/>
  <c r="N208" i="4"/>
  <c r="P208" i="4" s="1"/>
  <c r="O352" i="4"/>
  <c r="N352" i="4"/>
  <c r="O774" i="4"/>
  <c r="N774" i="4"/>
  <c r="O106" i="4"/>
  <c r="N106" i="4"/>
  <c r="O868" i="4"/>
  <c r="N868" i="4"/>
  <c r="O608" i="4"/>
  <c r="N608" i="4"/>
  <c r="P608" i="4" s="1"/>
  <c r="O290" i="4"/>
  <c r="N290" i="4"/>
  <c r="P290" i="4" s="1"/>
  <c r="O335" i="4"/>
  <c r="N335" i="4"/>
  <c r="O701" i="4"/>
  <c r="N701" i="4"/>
  <c r="O873" i="4"/>
  <c r="N873" i="4"/>
  <c r="O181" i="4"/>
  <c r="N181" i="4"/>
  <c r="O268" i="4"/>
  <c r="N268" i="4"/>
  <c r="P268" i="4" s="1"/>
  <c r="O505" i="4"/>
  <c r="N505" i="4"/>
  <c r="O554" i="4"/>
  <c r="N554" i="4"/>
  <c r="O596" i="4"/>
  <c r="N596" i="4"/>
  <c r="O398" i="4"/>
  <c r="N398" i="4"/>
  <c r="O206" i="4"/>
  <c r="N206" i="4"/>
  <c r="M178" i="4"/>
  <c r="O178" i="4"/>
  <c r="P178" i="4" s="1"/>
  <c r="N178" i="4"/>
  <c r="O496" i="4"/>
  <c r="N496" i="4"/>
  <c r="O305" i="4"/>
  <c r="N305" i="4"/>
  <c r="O669" i="4"/>
  <c r="N669" i="4"/>
  <c r="O690" i="4"/>
  <c r="N690" i="4"/>
  <c r="N721" i="4"/>
  <c r="O721" i="4"/>
  <c r="O981" i="4"/>
  <c r="P981" i="4" s="1"/>
  <c r="N981" i="4"/>
  <c r="O552" i="4"/>
  <c r="N552" i="4"/>
  <c r="M981" i="4"/>
  <c r="M151" i="4"/>
  <c r="O969" i="4"/>
  <c r="N969" i="4"/>
  <c r="O528" i="4"/>
  <c r="N528" i="4"/>
  <c r="O830" i="4"/>
  <c r="N830" i="4"/>
  <c r="O880" i="4"/>
  <c r="N880" i="4"/>
  <c r="O883" i="4"/>
  <c r="N883" i="4"/>
  <c r="O597" i="4"/>
  <c r="N597" i="4"/>
  <c r="O500" i="4"/>
  <c r="N500" i="4"/>
  <c r="O471" i="4"/>
  <c r="N471" i="4"/>
  <c r="O1027" i="4"/>
  <c r="N1027" i="4"/>
  <c r="O972" i="4"/>
  <c r="N972" i="4"/>
  <c r="O672" i="4"/>
  <c r="N672" i="4"/>
  <c r="O938" i="4"/>
  <c r="N938" i="4"/>
  <c r="O1019" i="4"/>
  <c r="N1019" i="4"/>
  <c r="O796" i="4"/>
  <c r="N796" i="4"/>
  <c r="O541" i="4"/>
  <c r="N541" i="4"/>
  <c r="P501" i="4"/>
  <c r="O750" i="4"/>
  <c r="N750" i="4"/>
  <c r="M94" i="4"/>
  <c r="O94" i="4"/>
  <c r="N94" i="4"/>
  <c r="O186" i="4"/>
  <c r="N186" i="4"/>
  <c r="O785" i="4"/>
  <c r="N785" i="4"/>
  <c r="O802" i="4"/>
  <c r="N802" i="4"/>
  <c r="O479" i="4"/>
  <c r="P479" i="4" s="1"/>
  <c r="N479" i="4"/>
  <c r="O169" i="4"/>
  <c r="N169" i="4"/>
  <c r="O724" i="4"/>
  <c r="N724" i="4"/>
  <c r="O776" i="4"/>
  <c r="N776" i="4"/>
  <c r="O224" i="4"/>
  <c r="N224" i="4"/>
  <c r="O706" i="4"/>
  <c r="N706" i="4"/>
  <c r="O298" i="4"/>
  <c r="N298" i="4"/>
  <c r="O727" i="4"/>
  <c r="P727" i="4" s="1"/>
  <c r="N727" i="4"/>
  <c r="O243" i="4"/>
  <c r="N243" i="4"/>
  <c r="P243" i="4" s="1"/>
  <c r="O102" i="4"/>
  <c r="N102" i="4"/>
  <c r="O281" i="4"/>
  <c r="N281" i="4"/>
  <c r="O383" i="4"/>
  <c r="N383" i="4"/>
  <c r="O119" i="4"/>
  <c r="P119" i="4" s="1"/>
  <c r="N119" i="4"/>
  <c r="O366" i="4"/>
  <c r="N366" i="4"/>
  <c r="O256" i="4"/>
  <c r="N256" i="4"/>
  <c r="O994" i="4"/>
  <c r="N994" i="4"/>
  <c r="O280" i="4"/>
  <c r="N280" i="4"/>
  <c r="O296" i="4"/>
  <c r="N296" i="4"/>
  <c r="O892" i="4"/>
  <c r="N892" i="4"/>
  <c r="O197" i="4"/>
  <c r="P197" i="4" s="1"/>
  <c r="N197" i="4"/>
  <c r="M474" i="4"/>
  <c r="O474" i="4"/>
  <c r="P474" i="4" s="1"/>
  <c r="N474" i="4"/>
  <c r="O594" i="4"/>
  <c r="N594" i="4"/>
  <c r="O717" i="4"/>
  <c r="N717" i="4"/>
  <c r="O783" i="4"/>
  <c r="N783" i="4"/>
  <c r="O121" i="4"/>
  <c r="N121" i="4"/>
  <c r="P121" i="4" s="1"/>
  <c r="O620" i="4"/>
  <c r="N620" i="4"/>
  <c r="O888" i="4"/>
  <c r="N888" i="4"/>
  <c r="O598" i="4"/>
  <c r="N598" i="4"/>
  <c r="O1003" i="4"/>
  <c r="N1003" i="4"/>
  <c r="O575" i="4"/>
  <c r="N575" i="4"/>
  <c r="P575" i="4" s="1"/>
  <c r="O221" i="4"/>
  <c r="N221" i="4"/>
  <c r="P221" i="4" s="1"/>
  <c r="O439" i="4"/>
  <c r="N439" i="4"/>
  <c r="M78" i="4"/>
  <c r="P78" i="4" s="1"/>
  <c r="O78" i="4"/>
  <c r="N78" i="4"/>
  <c r="O138" i="4"/>
  <c r="N138" i="4"/>
  <c r="O334" i="4"/>
  <c r="N334" i="4"/>
  <c r="O978" i="4"/>
  <c r="P978" i="4" s="1"/>
  <c r="N978" i="4"/>
  <c r="O115" i="4"/>
  <c r="P115" i="4" s="1"/>
  <c r="N115" i="4"/>
  <c r="O908" i="4"/>
  <c r="N908" i="4"/>
  <c r="N829" i="4"/>
  <c r="O829" i="4"/>
  <c r="O249" i="4"/>
  <c r="N249" i="4"/>
  <c r="O881" i="4"/>
  <c r="N881" i="4"/>
  <c r="O217" i="4"/>
  <c r="N217" i="4"/>
  <c r="O445" i="4"/>
  <c r="N445" i="4"/>
  <c r="O1015" i="4"/>
  <c r="N1015" i="4"/>
  <c r="M652" i="4"/>
  <c r="O652" i="4"/>
  <c r="N652" i="4"/>
  <c r="O818" i="4"/>
  <c r="N818" i="4"/>
  <c r="O659" i="4"/>
  <c r="N659" i="4"/>
  <c r="O842" i="4"/>
  <c r="N842" i="4"/>
  <c r="O937" i="4"/>
  <c r="N937" i="4"/>
  <c r="O72" i="4"/>
  <c r="N72" i="4"/>
  <c r="O465" i="4"/>
  <c r="N465" i="4"/>
  <c r="O145" i="4"/>
  <c r="N145" i="4"/>
  <c r="O429" i="4"/>
  <c r="N429" i="4"/>
  <c r="O886" i="4"/>
  <c r="N886" i="4"/>
  <c r="O234" i="4"/>
  <c r="N234" i="4"/>
  <c r="O553" i="4"/>
  <c r="N553" i="4"/>
  <c r="O615" i="4"/>
  <c r="N615" i="4"/>
  <c r="O278" i="4"/>
  <c r="N278" i="4"/>
  <c r="O647" i="4"/>
  <c r="N647" i="4"/>
  <c r="O81" i="4"/>
  <c r="N81" i="4"/>
  <c r="N997" i="4"/>
  <c r="O997" i="4"/>
  <c r="O726" i="4"/>
  <c r="P726" i="4" s="1"/>
  <c r="N726" i="4"/>
  <c r="O457" i="4"/>
  <c r="N457" i="4"/>
  <c r="O377" i="4"/>
  <c r="N377" i="4"/>
  <c r="O180" i="4"/>
  <c r="N180" i="4"/>
  <c r="O836" i="4"/>
  <c r="N836" i="4"/>
  <c r="O551" i="4"/>
  <c r="N551" i="4"/>
  <c r="O364" i="4"/>
  <c r="N364" i="4"/>
  <c r="O444" i="4"/>
  <c r="N444" i="4"/>
  <c r="O164" i="4"/>
  <c r="N164" i="4"/>
  <c r="O198" i="4"/>
  <c r="N198" i="4"/>
  <c r="O47" i="4"/>
  <c r="N47" i="4"/>
  <c r="O766" i="4"/>
  <c r="N766" i="4"/>
  <c r="O745" i="4"/>
  <c r="N745" i="4"/>
  <c r="N980" i="4"/>
  <c r="O980" i="4"/>
  <c r="O443" i="4"/>
  <c r="N443" i="4"/>
  <c r="O633" i="4"/>
  <c r="N633" i="4"/>
  <c r="P633" i="4" s="1"/>
  <c r="O46" i="4"/>
  <c r="N46" i="4"/>
  <c r="M902" i="4"/>
  <c r="O902" i="4"/>
  <c r="N902" i="4"/>
  <c r="P902" i="4" s="1"/>
  <c r="O942" i="4"/>
  <c r="N942" i="4"/>
  <c r="M100" i="4"/>
  <c r="O100" i="4"/>
  <c r="N100" i="4"/>
  <c r="O538" i="4"/>
  <c r="N538" i="4"/>
  <c r="M184" i="4"/>
  <c r="O184" i="4"/>
  <c r="P184" i="4" s="1"/>
  <c r="N184" i="4"/>
  <c r="O567" i="4"/>
  <c r="N567" i="4"/>
  <c r="O274" i="4"/>
  <c r="N274" i="4"/>
  <c r="O666" i="4"/>
  <c r="N666" i="4"/>
  <c r="O220" i="4"/>
  <c r="N220" i="4"/>
  <c r="M203" i="4"/>
  <c r="O203" i="4"/>
  <c r="N203" i="4"/>
  <c r="O342" i="4"/>
  <c r="N342" i="4"/>
  <c r="O61" i="4"/>
  <c r="N61" i="4"/>
  <c r="O545" i="4"/>
  <c r="N545" i="4"/>
  <c r="M930" i="4"/>
  <c r="O930" i="4"/>
  <c r="N930" i="4"/>
  <c r="O308" i="4"/>
  <c r="N308" i="4"/>
  <c r="O258" i="4"/>
  <c r="N258" i="4"/>
  <c r="N808" i="4"/>
  <c r="O808" i="4"/>
  <c r="O245" i="4"/>
  <c r="N245" i="4"/>
  <c r="O925" i="4"/>
  <c r="N925" i="4"/>
  <c r="M682" i="4"/>
  <c r="O682" i="4"/>
  <c r="N682" i="4"/>
  <c r="P682" i="4" s="1"/>
  <c r="M285" i="4"/>
  <c r="O285" i="4"/>
  <c r="P285" i="4" s="1"/>
  <c r="N285" i="4"/>
  <c r="O787" i="4"/>
  <c r="N787" i="4"/>
  <c r="P787" i="4" s="1"/>
  <c r="O782" i="4"/>
  <c r="N782" i="4"/>
  <c r="O563" i="4"/>
  <c r="N563" i="4"/>
  <c r="O288" i="4"/>
  <c r="N288" i="4"/>
  <c r="O92" i="4"/>
  <c r="N92" i="4"/>
  <c r="O999" i="4"/>
  <c r="P999" i="4" s="1"/>
  <c r="N999" i="4"/>
  <c r="M623" i="4"/>
  <c r="O623" i="4"/>
  <c r="N623" i="4"/>
  <c r="O879" i="4"/>
  <c r="N879" i="4"/>
  <c r="O320" i="4"/>
  <c r="N320" i="4"/>
  <c r="O393" i="4"/>
  <c r="N393" i="4"/>
  <c r="O162" i="4"/>
  <c r="N162" i="4"/>
  <c r="O209" i="4"/>
  <c r="N209" i="4"/>
  <c r="O96" i="4"/>
  <c r="P96" i="4" s="1"/>
  <c r="N96" i="4"/>
  <c r="O737" i="4"/>
  <c r="N737" i="4"/>
  <c r="M209" i="4"/>
  <c r="O705" i="4"/>
  <c r="N705" i="4"/>
  <c r="O123" i="4"/>
  <c r="N123" i="4"/>
  <c r="O823" i="4"/>
  <c r="N823" i="4"/>
  <c r="O525" i="4"/>
  <c r="N525" i="4"/>
  <c r="O832" i="4"/>
  <c r="N832" i="4"/>
  <c r="O877" i="4"/>
  <c r="N877" i="4"/>
  <c r="O433" i="4"/>
  <c r="N433" i="4"/>
  <c r="O637" i="4"/>
  <c r="N637" i="4"/>
  <c r="O1000" i="4"/>
  <c r="N1000" i="4"/>
  <c r="O957" i="4"/>
  <c r="N957" i="4"/>
  <c r="N853" i="4"/>
  <c r="O853" i="4"/>
  <c r="O267" i="4"/>
  <c r="N267" i="4"/>
  <c r="O803" i="4"/>
  <c r="N803" i="4"/>
  <c r="O996" i="4"/>
  <c r="N996" i="4"/>
  <c r="O939" i="4"/>
  <c r="N939" i="4"/>
  <c r="O644" i="4"/>
  <c r="N644" i="4"/>
  <c r="P644" i="4" s="1"/>
  <c r="O141" i="4"/>
  <c r="N141" i="4"/>
  <c r="O238" i="4"/>
  <c r="N238" i="4"/>
  <c r="O379" i="4"/>
  <c r="N379" i="4"/>
  <c r="O893" i="4"/>
  <c r="N893" i="4"/>
  <c r="O965" i="4"/>
  <c r="N965" i="4"/>
  <c r="O616" i="4"/>
  <c r="N616" i="4"/>
  <c r="O973" i="4"/>
  <c r="N973" i="4"/>
  <c r="O867" i="4"/>
  <c r="N867" i="4"/>
  <c r="O1021" i="4"/>
  <c r="N1021" i="4"/>
  <c r="M149" i="4"/>
  <c r="O149" i="4"/>
  <c r="N149" i="4"/>
  <c r="O805" i="4"/>
  <c r="N805" i="4"/>
  <c r="O292" i="4"/>
  <c r="N292" i="4"/>
  <c r="O919" i="4"/>
  <c r="N919" i="4"/>
  <c r="O1007" i="4"/>
  <c r="N1007" i="4"/>
  <c r="O702" i="4"/>
  <c r="N702" i="4"/>
  <c r="P702" i="4" s="1"/>
  <c r="M861" i="4"/>
  <c r="O861" i="4"/>
  <c r="P861" i="4" s="1"/>
  <c r="N861" i="4"/>
  <c r="O590" i="4"/>
  <c r="N590" i="4"/>
  <c r="M812" i="4"/>
  <c r="N812" i="4"/>
  <c r="O812" i="4"/>
  <c r="O983" i="4"/>
  <c r="N983" i="4"/>
  <c r="O1018" i="4"/>
  <c r="N1018" i="4"/>
  <c r="P1018" i="4" s="1"/>
  <c r="O75" i="4"/>
  <c r="N75" i="4"/>
  <c r="P75" i="4" s="1"/>
  <c r="O370" i="4"/>
  <c r="N370" i="4"/>
  <c r="O372" i="4"/>
  <c r="N372" i="4"/>
  <c r="O643" i="4"/>
  <c r="N643" i="4"/>
  <c r="M57" i="4"/>
  <c r="O57" i="4"/>
  <c r="N57" i="4"/>
  <c r="O160" i="4"/>
  <c r="N160" i="4"/>
  <c r="M860" i="4"/>
  <c r="P860" i="4" s="1"/>
  <c r="N860" i="4"/>
  <c r="O860" i="4"/>
  <c r="O468" i="4"/>
  <c r="N468" i="4"/>
  <c r="O934" i="4"/>
  <c r="N934" i="4"/>
  <c r="O703" i="4"/>
  <c r="N703" i="4"/>
  <c r="M839" i="4"/>
  <c r="O839" i="4"/>
  <c r="N839" i="4"/>
  <c r="O486" i="4"/>
  <c r="N486" i="4"/>
  <c r="O987" i="4"/>
  <c r="N987" i="4"/>
  <c r="P987" i="4" s="1"/>
  <c r="O1024" i="4"/>
  <c r="N1024" i="4"/>
  <c r="M257" i="4"/>
  <c r="O257" i="4"/>
  <c r="N257" i="4"/>
  <c r="O114" i="4"/>
  <c r="N114" i="4"/>
  <c r="O230" i="4"/>
  <c r="N230" i="4"/>
  <c r="O284" i="4"/>
  <c r="N284" i="4"/>
  <c r="O820" i="4"/>
  <c r="N820" i="4"/>
  <c r="O484" i="4"/>
  <c r="N484" i="4"/>
  <c r="O59" i="4"/>
  <c r="N59" i="4"/>
  <c r="O440" i="4"/>
  <c r="N440" i="4"/>
  <c r="P440" i="4" s="1"/>
  <c r="M426" i="4"/>
  <c r="O426" i="4"/>
  <c r="P426" i="4" s="1"/>
  <c r="N426" i="4"/>
  <c r="O548" i="4"/>
  <c r="N548" i="4"/>
  <c r="P548" i="4" s="1"/>
  <c r="O240" i="4"/>
  <c r="N240" i="4"/>
  <c r="P240" i="4" s="1"/>
  <c r="M564" i="4"/>
  <c r="O564" i="4"/>
  <c r="N564" i="4"/>
  <c r="O645" i="4"/>
  <c r="N645" i="4"/>
  <c r="P645" i="4" s="1"/>
  <c r="O430" i="4"/>
  <c r="N430" i="4"/>
  <c r="O140" i="4"/>
  <c r="N140" i="4"/>
  <c r="O117" i="4"/>
  <c r="N117" i="4"/>
  <c r="O693" i="4"/>
  <c r="N693" i="4"/>
  <c r="O213" i="4"/>
  <c r="N213" i="4"/>
  <c r="O804" i="4"/>
  <c r="N804" i="4"/>
  <c r="O48" i="4"/>
  <c r="N48" i="4"/>
  <c r="O291" i="4"/>
  <c r="N291" i="4"/>
  <c r="O656" i="4"/>
  <c r="N656" i="4"/>
  <c r="O638" i="4"/>
  <c r="N638" i="4"/>
  <c r="O799" i="4"/>
  <c r="N799" i="4"/>
  <c r="O732" i="4"/>
  <c r="N732" i="4"/>
  <c r="O254" i="4"/>
  <c r="N254" i="4"/>
  <c r="O770" i="4"/>
  <c r="N770" i="4"/>
  <c r="O99" i="4"/>
  <c r="N99" i="4"/>
  <c r="O729" i="4"/>
  <c r="N729" i="4"/>
  <c r="M1002" i="4"/>
  <c r="O1002" i="4"/>
  <c r="N1002" i="4"/>
  <c r="O499" i="4"/>
  <c r="N499" i="4"/>
  <c r="O574" i="4"/>
  <c r="N574" i="4"/>
  <c r="O482" i="4"/>
  <c r="N482" i="4"/>
  <c r="O1001" i="4"/>
  <c r="N1001" i="4"/>
  <c r="O166" i="4"/>
  <c r="N166" i="4"/>
  <c r="M795" i="4"/>
  <c r="O795" i="4"/>
  <c r="P795" i="4" s="1"/>
  <c r="N795" i="4"/>
  <c r="O387" i="4"/>
  <c r="N387" i="4"/>
  <c r="O101" i="4"/>
  <c r="N101" i="4"/>
  <c r="O239" i="4"/>
  <c r="N239" i="4"/>
  <c r="O583" i="4"/>
  <c r="N583" i="4"/>
  <c r="O831" i="4"/>
  <c r="N831" i="4"/>
  <c r="O931" i="4"/>
  <c r="N931" i="4"/>
  <c r="O343" i="4"/>
  <c r="P343" i="4" s="1"/>
  <c r="N343" i="4"/>
  <c r="O926" i="4"/>
  <c r="N926" i="4"/>
  <c r="P926" i="4" s="1"/>
  <c r="M765" i="4"/>
  <c r="O765" i="4"/>
  <c r="N765" i="4"/>
  <c r="O329" i="4"/>
  <c r="N329" i="4"/>
  <c r="O490" i="4"/>
  <c r="N490" i="4"/>
  <c r="O390" i="4"/>
  <c r="N390" i="4"/>
  <c r="P390" i="4" s="1"/>
  <c r="O712" i="4"/>
  <c r="N712" i="4"/>
  <c r="O816" i="4"/>
  <c r="P816" i="4" s="1"/>
  <c r="N816" i="4"/>
  <c r="O609" i="4"/>
  <c r="N609" i="4"/>
  <c r="O556" i="4"/>
  <c r="N556" i="4"/>
  <c r="O269" i="4"/>
  <c r="N269" i="4"/>
  <c r="O358" i="4"/>
  <c r="N358" i="4"/>
  <c r="P358" i="4" s="1"/>
  <c r="M542" i="4"/>
  <c r="O542" i="4"/>
  <c r="N542" i="4"/>
  <c r="P542" i="4" s="1"/>
  <c r="M367" i="4"/>
  <c r="O367" i="4"/>
  <c r="N367" i="4"/>
  <c r="O432" i="4"/>
  <c r="N432" i="4"/>
  <c r="O984" i="4"/>
  <c r="N984" i="4"/>
  <c r="N848" i="4"/>
  <c r="O848" i="4"/>
  <c r="O755" i="4"/>
  <c r="N755" i="4"/>
  <c r="P755" i="4" s="1"/>
  <c r="O813" i="4"/>
  <c r="N813" i="4"/>
  <c r="O207" i="4"/>
  <c r="N207" i="4"/>
  <c r="O495" i="4"/>
  <c r="N495" i="4"/>
  <c r="O95" i="4"/>
  <c r="N95" i="4"/>
  <c r="P95" i="4" s="1"/>
  <c r="O565" i="4"/>
  <c r="N565" i="4"/>
  <c r="P565" i="4" s="1"/>
  <c r="O394" i="4"/>
  <c r="N394" i="4"/>
  <c r="O136" i="4"/>
  <c r="N136" i="4"/>
  <c r="O738" i="4"/>
  <c r="N738" i="4"/>
  <c r="O368" i="4"/>
  <c r="N368" i="4"/>
  <c r="O923" i="4"/>
  <c r="N923" i="4"/>
  <c r="P923" i="4" s="1"/>
  <c r="O428" i="4"/>
  <c r="N428" i="4"/>
  <c r="P428" i="4" s="1"/>
  <c r="O171" i="4"/>
  <c r="N171" i="4"/>
  <c r="O351" i="4"/>
  <c r="P351" i="4" s="1"/>
  <c r="N351" i="4"/>
  <c r="O218" i="4"/>
  <c r="N218" i="4"/>
  <c r="O664" i="4"/>
  <c r="N664" i="4"/>
  <c r="M940" i="4"/>
  <c r="O940" i="4"/>
  <c r="P940" i="4" s="1"/>
  <c r="N940" i="4"/>
  <c r="O544" i="4"/>
  <c r="N544" i="4"/>
  <c r="O73" i="4"/>
  <c r="N73" i="4"/>
  <c r="O520" i="4"/>
  <c r="N520" i="4"/>
  <c r="O521" i="4"/>
  <c r="N521" i="4"/>
  <c r="O263" i="4"/>
  <c r="N263" i="4"/>
  <c r="N932" i="4"/>
  <c r="P932" i="4" s="1"/>
  <c r="O932" i="4"/>
  <c r="O720" i="4"/>
  <c r="P720" i="4" s="1"/>
  <c r="N720" i="4"/>
  <c r="O153" i="4"/>
  <c r="N153" i="4"/>
  <c r="M690" i="4"/>
  <c r="M932" i="4"/>
  <c r="O144" i="4"/>
  <c r="N144" i="4"/>
  <c r="O628" i="4"/>
  <c r="N628" i="4"/>
  <c r="O947" i="4"/>
  <c r="N947" i="4"/>
  <c r="O580" i="4"/>
  <c r="N580" i="4"/>
  <c r="O874" i="4"/>
  <c r="N874" i="4"/>
  <c r="O514" i="4"/>
  <c r="N514" i="4"/>
  <c r="O466" i="4"/>
  <c r="N466" i="4"/>
  <c r="O174" i="4"/>
  <c r="N174" i="4"/>
  <c r="O692" i="4"/>
  <c r="N692" i="4"/>
  <c r="O662" i="4"/>
  <c r="N662" i="4"/>
  <c r="O921" i="4"/>
  <c r="N921" i="4"/>
  <c r="O397" i="4"/>
  <c r="N397" i="4"/>
  <c r="O447" i="4"/>
  <c r="N447" i="4"/>
  <c r="O470" i="4"/>
  <c r="N470" i="4"/>
  <c r="N748" i="4"/>
  <c r="O748" i="4"/>
  <c r="O371" i="4"/>
  <c r="N371" i="4"/>
  <c r="O581" i="4"/>
  <c r="N581" i="4"/>
  <c r="O629" i="4"/>
  <c r="N629" i="4"/>
  <c r="O794" i="4"/>
  <c r="N794" i="4"/>
  <c r="O313" i="4"/>
  <c r="N313" i="4"/>
  <c r="O607" i="4"/>
  <c r="N607" i="4"/>
  <c r="O458" i="4"/>
  <c r="N458" i="4"/>
  <c r="O924" i="4"/>
  <c r="N924" i="4"/>
  <c r="P924" i="4" s="1"/>
  <c r="O695" i="4"/>
  <c r="N695" i="4"/>
  <c r="O299" i="4"/>
  <c r="N299" i="4"/>
  <c r="O456" i="4"/>
  <c r="N456" i="4"/>
  <c r="O247" i="4"/>
  <c r="N247" i="4"/>
  <c r="O462" i="4"/>
  <c r="P462" i="4" s="1"/>
  <c r="N462" i="4"/>
  <c r="O354" i="4"/>
  <c r="N354" i="4"/>
  <c r="P354" i="4" s="1"/>
  <c r="O67" i="4"/>
  <c r="N67" i="4"/>
  <c r="O578" i="4"/>
  <c r="N578" i="4"/>
  <c r="O611" i="4"/>
  <c r="N611" i="4"/>
  <c r="O754" i="4"/>
  <c r="P754" i="4" s="1"/>
  <c r="N754" i="4"/>
  <c r="O282" i="4"/>
  <c r="N282" i="4"/>
  <c r="O777" i="4"/>
  <c r="N777" i="4"/>
  <c r="O339" i="4"/>
  <c r="N339" i="4"/>
  <c r="O762" i="4"/>
  <c r="N762" i="4"/>
  <c r="O612" i="4"/>
  <c r="N612" i="4"/>
  <c r="O801" i="4"/>
  <c r="P801" i="4" s="1"/>
  <c r="N801" i="4"/>
  <c r="O431" i="4"/>
  <c r="N431" i="4"/>
  <c r="O35" i="4"/>
  <c r="N35" i="4"/>
  <c r="O113" i="4"/>
  <c r="N113" i="4"/>
  <c r="O349" i="4"/>
  <c r="N349" i="4"/>
  <c r="M477" i="4"/>
  <c r="O477" i="4"/>
  <c r="N477" i="4"/>
  <c r="P477" i="4" s="1"/>
  <c r="O337" i="4"/>
  <c r="N337" i="4"/>
  <c r="P337" i="4" s="1"/>
  <c r="O135" i="4"/>
  <c r="N135" i="4"/>
  <c r="M582" i="4"/>
  <c r="P582" i="4" s="1"/>
  <c r="O582" i="4"/>
  <c r="N582" i="4"/>
  <c r="O54" i="4"/>
  <c r="N54" i="4"/>
  <c r="O840" i="4"/>
  <c r="N840" i="4"/>
  <c r="M307" i="4"/>
  <c r="O307" i="4"/>
  <c r="N307" i="4"/>
  <c r="O768" i="4"/>
  <c r="N768" i="4"/>
  <c r="O579" i="4"/>
  <c r="P579" i="4" s="1"/>
  <c r="N579" i="4"/>
  <c r="O573" i="4"/>
  <c r="N573" i="4"/>
  <c r="N625" i="4"/>
  <c r="O625" i="4"/>
  <c r="O719" i="4"/>
  <c r="N719" i="4"/>
  <c r="P719" i="4" s="1"/>
  <c r="M837" i="4"/>
  <c r="O837" i="4"/>
  <c r="P837" i="4" s="1"/>
  <c r="N837" i="4"/>
  <c r="O318" i="4"/>
  <c r="N318" i="4"/>
  <c r="O657" i="4"/>
  <c r="N657" i="4"/>
  <c r="O324" i="4"/>
  <c r="N324" i="4"/>
  <c r="O272" i="4"/>
  <c r="N272" i="4"/>
  <c r="O407" i="4"/>
  <c r="P407" i="4" s="1"/>
  <c r="N407" i="4"/>
  <c r="O395" i="4"/>
  <c r="P395" i="4" s="1"/>
  <c r="N395" i="4"/>
  <c r="O504" i="4"/>
  <c r="N504" i="4"/>
  <c r="N944" i="4"/>
  <c r="O944" i="4"/>
  <c r="O967" i="4"/>
  <c r="N967" i="4"/>
  <c r="O784" i="4"/>
  <c r="N784" i="4"/>
  <c r="M159" i="4"/>
  <c r="O159" i="4"/>
  <c r="N159" i="4"/>
  <c r="O577" i="4"/>
  <c r="N577" i="4"/>
  <c r="O416" i="4"/>
  <c r="N416" i="4"/>
  <c r="O814" i="4"/>
  <c r="N814" i="4"/>
  <c r="M720" i="4"/>
  <c r="M721" i="4"/>
  <c r="M645" i="4"/>
  <c r="O943" i="4"/>
  <c r="N943" i="4"/>
  <c r="O529" i="4"/>
  <c r="N529" i="4"/>
  <c r="O778" i="4"/>
  <c r="N778" i="4"/>
  <c r="O562" i="4"/>
  <c r="N562" i="4"/>
  <c r="O507" i="4"/>
  <c r="N507" i="4"/>
  <c r="O746" i="4"/>
  <c r="N746" i="4"/>
  <c r="O28" i="4"/>
  <c r="N28" i="4"/>
  <c r="O890" i="4"/>
  <c r="N890" i="4"/>
  <c r="O388" i="4"/>
  <c r="N388" i="4"/>
  <c r="N961" i="4"/>
  <c r="O961" i="4"/>
  <c r="O515" i="4"/>
  <c r="N515" i="4"/>
  <c r="O84" i="4"/>
  <c r="N84" i="4"/>
  <c r="O104" i="4"/>
  <c r="N104" i="4"/>
  <c r="M170" i="4"/>
  <c r="O170" i="4"/>
  <c r="N170" i="4"/>
  <c r="O760" i="4"/>
  <c r="N760" i="4"/>
  <c r="O437" i="4"/>
  <c r="N437" i="4"/>
  <c r="N841" i="4"/>
  <c r="O841" i="4"/>
  <c r="N968" i="4"/>
  <c r="O968" i="4"/>
  <c r="O537" i="4"/>
  <c r="N537" i="4"/>
  <c r="O619" i="4"/>
  <c r="N619" i="4"/>
  <c r="O63" i="4"/>
  <c r="N63" i="4"/>
  <c r="O558" i="4"/>
  <c r="N558" i="4"/>
  <c r="O33" i="4"/>
  <c r="N33" i="4"/>
  <c r="O531" i="4"/>
  <c r="N531" i="4"/>
  <c r="O704" i="4"/>
  <c r="N704" i="4"/>
  <c r="O294" i="4"/>
  <c r="N294" i="4"/>
  <c r="O954" i="4"/>
  <c r="N954" i="4"/>
  <c r="O236" i="4"/>
  <c r="N236" i="4"/>
  <c r="O665" i="4"/>
  <c r="N665" i="4"/>
  <c r="O747" i="4"/>
  <c r="N747" i="4"/>
  <c r="N982" i="4"/>
  <c r="O982" i="4"/>
  <c r="O80" i="4"/>
  <c r="N80" i="4"/>
  <c r="O872" i="4"/>
  <c r="N872" i="4"/>
  <c r="O460" i="4"/>
  <c r="N460" i="4"/>
  <c r="M759" i="4"/>
  <c r="O759" i="4"/>
  <c r="N759" i="4"/>
  <c r="O375" i="4"/>
  <c r="N375" i="4"/>
  <c r="O955" i="4"/>
  <c r="N955" i="4"/>
  <c r="O264" i="4"/>
  <c r="N264" i="4"/>
  <c r="O688" i="4"/>
  <c r="N688" i="4"/>
  <c r="P688" i="4" s="1"/>
  <c r="O148" i="4"/>
  <c r="N148" i="4"/>
  <c r="O173" i="4"/>
  <c r="N173" i="4"/>
  <c r="O182" i="4"/>
  <c r="N182" i="4"/>
  <c r="O480" i="4"/>
  <c r="N480" i="4"/>
  <c r="O626" i="4"/>
  <c r="N626" i="4"/>
  <c r="O156" i="4"/>
  <c r="N156" i="4"/>
  <c r="O555" i="4"/>
  <c r="N555" i="4"/>
  <c r="O827" i="4"/>
  <c r="N827" i="4"/>
  <c r="O391" i="4"/>
  <c r="N391" i="4"/>
  <c r="O516" i="4"/>
  <c r="N516" i="4"/>
  <c r="O167" i="4"/>
  <c r="N167" i="4"/>
  <c r="O936" i="4"/>
  <c r="N936" i="4"/>
  <c r="O708" i="4"/>
  <c r="N708" i="4"/>
  <c r="O45" i="4"/>
  <c r="N45" i="4"/>
  <c r="O417" i="4"/>
  <c r="P417" i="4" s="1"/>
  <c r="N417" i="4"/>
  <c r="M498" i="4"/>
  <c r="P498" i="4" s="1"/>
  <c r="O498" i="4"/>
  <c r="N498" i="4"/>
  <c r="O103" i="4"/>
  <c r="P103" i="4" s="1"/>
  <c r="N103" i="4"/>
  <c r="O875" i="4"/>
  <c r="N875" i="4"/>
  <c r="O675" i="4"/>
  <c r="N675" i="4"/>
  <c r="O134" i="4"/>
  <c r="N134" i="4"/>
  <c r="P134" i="4" s="1"/>
  <c r="M202" i="4"/>
  <c r="O202" i="4"/>
  <c r="P202" i="4" s="1"/>
  <c r="N202" i="4"/>
  <c r="M403" i="4"/>
  <c r="O403" i="4"/>
  <c r="N403" i="4"/>
  <c r="O1020" i="4"/>
  <c r="N1020" i="4"/>
  <c r="O683" i="4"/>
  <c r="N683" i="4"/>
  <c r="O163" i="4"/>
  <c r="N163" i="4"/>
  <c r="O815" i="4"/>
  <c r="N815" i="4"/>
  <c r="O819" i="4"/>
  <c r="N819" i="4"/>
  <c r="P819" i="4" s="1"/>
  <c r="O219" i="4"/>
  <c r="N219" i="4"/>
  <c r="O261" i="4"/>
  <c r="N261" i="4"/>
  <c r="M172" i="4"/>
  <c r="M818" i="4"/>
  <c r="O639" i="4"/>
  <c r="N639" i="4"/>
  <c r="N788" i="4"/>
  <c r="O788" i="4"/>
  <c r="O646" i="4"/>
  <c r="N646" i="4"/>
  <c r="O120" i="4"/>
  <c r="N120" i="4"/>
  <c r="O569" i="4"/>
  <c r="N569" i="4"/>
  <c r="O508" i="4"/>
  <c r="N508" i="4"/>
  <c r="O133" i="4"/>
  <c r="N133" i="4"/>
  <c r="O828" i="4"/>
  <c r="N828" i="4"/>
  <c r="O464" i="4"/>
  <c r="N464" i="4"/>
  <c r="O226" i="4"/>
  <c r="N226" i="4"/>
  <c r="O587" i="4"/>
  <c r="N587" i="4"/>
  <c r="O183" i="4"/>
  <c r="N183" i="4"/>
  <c r="O108" i="4"/>
  <c r="N108" i="4"/>
  <c r="O188" i="4"/>
  <c r="N188" i="4"/>
  <c r="O51" i="4"/>
  <c r="N51" i="4"/>
  <c r="O604" i="4"/>
  <c r="P604" i="4" s="1"/>
  <c r="N604" i="4"/>
  <c r="O898" i="4"/>
  <c r="N898" i="4"/>
  <c r="O825" i="4"/>
  <c r="N825" i="4"/>
  <c r="O718" i="4"/>
  <c r="N718" i="4"/>
  <c r="O655" i="4"/>
  <c r="N655" i="4"/>
  <c r="O126" i="4"/>
  <c r="N126" i="4"/>
  <c r="O561" i="4"/>
  <c r="N561" i="4"/>
  <c r="O199" i="4"/>
  <c r="N199" i="4"/>
  <c r="O769" i="4"/>
  <c r="N769" i="4"/>
  <c r="O894" i="4"/>
  <c r="N894" i="4"/>
  <c r="O671" i="4"/>
  <c r="N671" i="4"/>
  <c r="O975" i="4"/>
  <c r="N975" i="4"/>
  <c r="O663" i="4"/>
  <c r="N663" i="4"/>
  <c r="M70" i="4"/>
  <c r="O70" i="4"/>
  <c r="N70" i="4"/>
  <c r="O259" i="4"/>
  <c r="N259" i="4"/>
  <c r="O463" i="4"/>
  <c r="N463" i="4"/>
  <c r="O189" i="4"/>
  <c r="N189" i="4"/>
  <c r="O363" i="4"/>
  <c r="N363" i="4"/>
  <c r="O157" i="4"/>
  <c r="N157" i="4"/>
  <c r="M599" i="4"/>
  <c r="O599" i="4"/>
  <c r="N599" i="4"/>
  <c r="O990" i="4"/>
  <c r="N990" i="4"/>
  <c r="O707" i="4"/>
  <c r="N707" i="4"/>
  <c r="O442" i="4"/>
  <c r="N442" i="4"/>
  <c r="O913" i="4"/>
  <c r="N913" i="4"/>
  <c r="O476" i="4"/>
  <c r="N476" i="4"/>
  <c r="O418" i="4"/>
  <c r="N418" i="4"/>
  <c r="O421" i="4"/>
  <c r="N421" i="4"/>
  <c r="O345" i="4"/>
  <c r="N345" i="4"/>
  <c r="O380" i="4"/>
  <c r="N380" i="4"/>
  <c r="O451" i="4"/>
  <c r="P451" i="4" s="1"/>
  <c r="N451" i="4"/>
  <c r="O1008" i="4"/>
  <c r="N1008" i="4"/>
  <c r="O895" i="4"/>
  <c r="N895" i="4"/>
  <c r="O588" i="4"/>
  <c r="N588" i="4"/>
  <c r="P588" i="4" s="1"/>
  <c r="N742" i="4"/>
  <c r="O742" i="4"/>
  <c r="O858" i="4"/>
  <c r="N858" i="4"/>
  <c r="O392" i="4"/>
  <c r="N392" i="4"/>
  <c r="O566" i="4"/>
  <c r="N566" i="4"/>
  <c r="O624" i="4"/>
  <c r="N624" i="4"/>
  <c r="M731" i="4"/>
  <c r="O731" i="4"/>
  <c r="N731" i="4"/>
  <c r="O988" i="4"/>
  <c r="N988" i="4"/>
  <c r="M878" i="4"/>
  <c r="O878" i="4"/>
  <c r="N878" i="4"/>
  <c r="O503" i="4"/>
  <c r="N503" i="4"/>
  <c r="O74" i="4"/>
  <c r="N74" i="4"/>
  <c r="O414" i="4"/>
  <c r="N414" i="4"/>
  <c r="P414" i="4" s="1"/>
  <c r="M730" i="4"/>
  <c r="O730" i="4"/>
  <c r="P730" i="4" s="1"/>
  <c r="N730" i="4"/>
  <c r="M238" i="4"/>
  <c r="M650" i="4"/>
  <c r="P650" i="4" s="1"/>
  <c r="M141" i="4"/>
  <c r="M442" i="4"/>
  <c r="P442" i="4" s="1"/>
  <c r="M427" i="4"/>
  <c r="M670" i="4"/>
  <c r="P670" i="4" s="1"/>
  <c r="P811" i="4"/>
  <c r="M109" i="4"/>
  <c r="P109" i="4" s="1"/>
  <c r="M962" i="4"/>
  <c r="M714" i="4"/>
  <c r="P714" i="4" s="1"/>
  <c r="M613" i="4"/>
  <c r="M268" i="4"/>
  <c r="M206" i="4"/>
  <c r="P206" i="4" s="1"/>
  <c r="M162" i="4"/>
  <c r="M596" i="4"/>
  <c r="P58" i="4"/>
  <c r="M404" i="4"/>
  <c r="M51" i="4"/>
  <c r="P276" i="4"/>
  <c r="M742" i="4"/>
  <c r="M345" i="4"/>
  <c r="M829" i="4"/>
  <c r="P829" i="4" s="1"/>
  <c r="P419" i="4"/>
  <c r="M814" i="4"/>
  <c r="M96" i="4"/>
  <c r="P640" i="4"/>
  <c r="M217" i="4"/>
  <c r="M657" i="4"/>
  <c r="P228" i="4"/>
  <c r="M990" i="4"/>
  <c r="P990" i="4" s="1"/>
  <c r="M451" i="4"/>
  <c r="P738" i="4"/>
  <c r="M153" i="4"/>
  <c r="P703" i="4"/>
  <c r="M241" i="4"/>
  <c r="P241" i="4" s="1"/>
  <c r="M342" i="4"/>
  <c r="M820" i="4"/>
  <c r="P820" i="4" s="1"/>
  <c r="M934" i="4"/>
  <c r="P934" i="4" s="1"/>
  <c r="M552" i="4"/>
  <c r="M444" i="4"/>
  <c r="M258" i="4"/>
  <c r="P258" i="4" s="1"/>
  <c r="M245" i="4"/>
  <c r="M545" i="4"/>
  <c r="P545" i="4" s="1"/>
  <c r="M274" i="4"/>
  <c r="M486" i="4"/>
  <c r="M988" i="4"/>
  <c r="M160" i="4"/>
  <c r="P576" i="4"/>
  <c r="P257" i="4"/>
  <c r="M933" i="4"/>
  <c r="P933" i="4" s="1"/>
  <c r="M973" i="4"/>
  <c r="P973" i="4" s="1"/>
  <c r="M643" i="4"/>
  <c r="M787" i="4"/>
  <c r="M468" i="4"/>
  <c r="P468" i="4" s="1"/>
  <c r="P336" i="4"/>
  <c r="P1013" i="4"/>
  <c r="M220" i="4"/>
  <c r="P220" i="4" s="1"/>
  <c r="M443" i="4"/>
  <c r="M666" i="4"/>
  <c r="P666" i="4" s="1"/>
  <c r="M908" i="4"/>
  <c r="P908" i="4" s="1"/>
  <c r="M633" i="4"/>
  <c r="M364" i="4"/>
  <c r="P364" i="4" s="1"/>
  <c r="M919" i="4"/>
  <c r="P919" i="4" s="1"/>
  <c r="M702" i="4"/>
  <c r="M925" i="4"/>
  <c r="M368" i="4"/>
  <c r="P368" i="4" s="1"/>
  <c r="M372" i="4"/>
  <c r="M284" i="4"/>
  <c r="P284" i="4" s="1"/>
  <c r="P382" i="4"/>
  <c r="P643" i="4"/>
  <c r="M808" i="4"/>
  <c r="M46" i="4"/>
  <c r="M766" i="4"/>
  <c r="P766" i="4" s="1"/>
  <c r="M230" i="4"/>
  <c r="P942" i="4"/>
  <c r="M437" i="4"/>
  <c r="P344" i="4"/>
  <c r="H615" i="4"/>
  <c r="M195" i="4"/>
  <c r="M733" i="4"/>
  <c r="H475" i="4"/>
  <c r="H153" i="4"/>
  <c r="M807" i="4"/>
  <c r="M897" i="4"/>
  <c r="P810" i="4"/>
  <c r="H213" i="4"/>
  <c r="M889" i="4"/>
  <c r="M549" i="4"/>
  <c r="M680" i="4"/>
  <c r="P680" i="4" s="1"/>
  <c r="M103" i="4"/>
  <c r="M760" i="4"/>
  <c r="H208" i="4"/>
  <c r="H1019" i="4"/>
  <c r="H355" i="4"/>
  <c r="M563" i="4"/>
  <c r="M779" i="4"/>
  <c r="P779" i="4" s="1"/>
  <c r="M196" i="4"/>
  <c r="M251" i="4"/>
  <c r="P176" i="4"/>
  <c r="P505" i="4"/>
  <c r="H119" i="4"/>
  <c r="M318" i="4"/>
  <c r="M454" i="4"/>
  <c r="H243" i="4"/>
  <c r="H584" i="4"/>
  <c r="H691" i="4"/>
  <c r="M523" i="4"/>
  <c r="M436" i="4"/>
  <c r="P722" i="4"/>
  <c r="M841" i="4"/>
  <c r="P889" i="4"/>
  <c r="M691" i="4"/>
  <c r="M915" i="4"/>
  <c r="P915" i="4" s="1"/>
  <c r="M92" i="4"/>
  <c r="P807" i="4"/>
  <c r="M277" i="4"/>
  <c r="M526" i="4"/>
  <c r="P339" i="4"/>
  <c r="M248" i="4"/>
  <c r="H481" i="4"/>
  <c r="H516" i="4"/>
  <c r="H816" i="4"/>
  <c r="H513" i="4"/>
  <c r="P560" i="4"/>
  <c r="M653" i="4"/>
  <c r="P653" i="4" s="1"/>
  <c r="H825" i="4"/>
  <c r="H764" i="4"/>
  <c r="P564" i="4"/>
  <c r="P868" i="4"/>
  <c r="M970" i="4"/>
  <c r="M534" i="4"/>
  <c r="M215" i="4"/>
  <c r="P592" i="4"/>
  <c r="H492" i="4"/>
  <c r="M132" i="4"/>
  <c r="M36" i="4"/>
  <c r="M912" i="4"/>
  <c r="M610" i="4"/>
  <c r="M305" i="4"/>
  <c r="P168" i="4"/>
  <c r="M452" i="4"/>
  <c r="H745" i="4"/>
  <c r="H714" i="4"/>
  <c r="M855" i="4"/>
  <c r="M137" i="4"/>
  <c r="M420" i="4"/>
  <c r="H704" i="4"/>
  <c r="H722" i="4"/>
  <c r="H37" i="4"/>
  <c r="M64" i="4"/>
  <c r="M323" i="4"/>
  <c r="P323" i="4" s="1"/>
  <c r="M715" i="4"/>
  <c r="M237" i="4"/>
  <c r="M327" i="4"/>
  <c r="M920" i="4"/>
  <c r="P153" i="4"/>
  <c r="M520" i="4"/>
  <c r="M739" i="4"/>
  <c r="P739" i="4" s="1"/>
  <c r="P859" i="4"/>
  <c r="M557" i="4"/>
  <c r="P233" i="4"/>
  <c r="M175" i="4"/>
  <c r="P622" i="4"/>
  <c r="P546" i="4"/>
  <c r="P920" i="4"/>
  <c r="H919" i="4"/>
  <c r="P102" i="4"/>
  <c r="P93" i="4"/>
  <c r="M982" i="4"/>
  <c r="M588" i="4"/>
  <c r="M182" i="4"/>
  <c r="M476" i="4"/>
  <c r="M629" i="4"/>
  <c r="P629" i="4" s="1"/>
  <c r="M391" i="4"/>
  <c r="M189" i="4"/>
  <c r="M913" i="4"/>
  <c r="M663" i="4"/>
  <c r="M894" i="4"/>
  <c r="M167" i="4"/>
  <c r="M665" i="4"/>
  <c r="M80" i="4"/>
  <c r="M581" i="4"/>
  <c r="M371" i="4"/>
  <c r="P394" i="4"/>
  <c r="P641" i="4"/>
  <c r="M156" i="4"/>
  <c r="M516" i="4"/>
  <c r="M380" i="4"/>
  <c r="M708" i="4"/>
  <c r="M421" i="4"/>
  <c r="P797" i="4"/>
  <c r="M126" i="4"/>
  <c r="M872" i="4"/>
  <c r="P872" i="4" s="1"/>
  <c r="M148" i="4"/>
  <c r="M45" i="4"/>
  <c r="M499" i="4"/>
  <c r="M858" i="4"/>
  <c r="M63" i="4"/>
  <c r="M558" i="4"/>
  <c r="M566" i="4"/>
  <c r="M555" i="4"/>
  <c r="P555" i="4" s="1"/>
  <c r="M392" i="4"/>
  <c r="M259" i="4"/>
  <c r="M624" i="4"/>
  <c r="M707" i="4"/>
  <c r="M418" i="4"/>
  <c r="M975" i="4"/>
  <c r="M173" i="4"/>
  <c r="M936" i="4"/>
  <c r="M1008" i="4"/>
  <c r="M827" i="4"/>
  <c r="P827" i="4" s="1"/>
  <c r="M747" i="4"/>
  <c r="M954" i="4"/>
  <c r="M460" i="4"/>
  <c r="M854" i="4"/>
  <c r="P854" i="4" s="1"/>
  <c r="H667" i="4"/>
  <c r="H51" i="4"/>
  <c r="M97" i="4"/>
  <c r="P97" i="4" s="1"/>
  <c r="M114" i="4"/>
  <c r="M986" i="4"/>
  <c r="M250" i="4"/>
  <c r="M785" i="4"/>
  <c r="M802" i="4"/>
  <c r="M169" i="4"/>
  <c r="M724" i="4"/>
  <c r="M776" i="4"/>
  <c r="M224" i="4"/>
  <c r="M706" i="4"/>
  <c r="M298" i="4"/>
  <c r="M366" i="4"/>
  <c r="M892" i="4"/>
  <c r="M783" i="4"/>
  <c r="P405" i="4"/>
  <c r="P288" i="4"/>
  <c r="M603" i="4"/>
  <c r="M377" i="4"/>
  <c r="M180" i="4"/>
  <c r="M551" i="4"/>
  <c r="M164" i="4"/>
  <c r="M198" i="4"/>
  <c r="M47" i="4"/>
  <c r="M745" i="4"/>
  <c r="M980" i="4"/>
  <c r="M538" i="4"/>
  <c r="M567" i="4"/>
  <c r="M61" i="4"/>
  <c r="M308" i="4"/>
  <c r="M750" i="4"/>
  <c r="M379" i="4"/>
  <c r="M893" i="4"/>
  <c r="M965" i="4"/>
  <c r="M616" i="4"/>
  <c r="M867" i="4"/>
  <c r="M1021" i="4"/>
  <c r="M805" i="4"/>
  <c r="M292" i="4"/>
  <c r="M590" i="4"/>
  <c r="M983" i="4"/>
  <c r="M370" i="4"/>
  <c r="M574" i="4"/>
  <c r="M482" i="4"/>
  <c r="M1001" i="4"/>
  <c r="M166" i="4"/>
  <c r="M387" i="4"/>
  <c r="M101" i="4"/>
  <c r="M239" i="4"/>
  <c r="M583" i="4"/>
  <c r="M831" i="4"/>
  <c r="M931" i="4"/>
  <c r="M609" i="4"/>
  <c r="M556" i="4"/>
  <c r="M432" i="4"/>
  <c r="M984" i="4"/>
  <c r="M848" i="4"/>
  <c r="M813" i="4"/>
  <c r="H651" i="4"/>
  <c r="M794" i="4"/>
  <c r="M313" i="4"/>
  <c r="M607" i="4"/>
  <c r="M458" i="4"/>
  <c r="M695" i="4"/>
  <c r="M299" i="4"/>
  <c r="M456" i="4"/>
  <c r="M247" i="4"/>
  <c r="M282" i="4"/>
  <c r="M777" i="4"/>
  <c r="M54" i="4"/>
  <c r="H828" i="4"/>
  <c r="M729" i="4"/>
  <c r="M968" i="4"/>
  <c r="M537" i="4"/>
  <c r="M619" i="4"/>
  <c r="M33" i="4"/>
  <c r="M531" i="4"/>
  <c r="M704" i="4"/>
  <c r="M294" i="4"/>
  <c r="M236" i="4"/>
  <c r="M375" i="4"/>
  <c r="M955" i="4"/>
  <c r="M264" i="4"/>
  <c r="M480" i="4"/>
  <c r="M626" i="4"/>
  <c r="P110" i="4"/>
  <c r="M825" i="4"/>
  <c r="M718" i="4"/>
  <c r="M655" i="4"/>
  <c r="M561" i="4"/>
  <c r="M199" i="4"/>
  <c r="M769" i="4"/>
  <c r="M671" i="4"/>
  <c r="M463" i="4"/>
  <c r="M363" i="4"/>
  <c r="M157" i="4"/>
  <c r="M895" i="4"/>
  <c r="M1014" i="4"/>
  <c r="M539" i="4"/>
  <c r="M502" i="4"/>
  <c r="M929" i="4"/>
  <c r="M790" i="4"/>
  <c r="M200" i="4"/>
  <c r="M489" i="4"/>
  <c r="M974" i="4"/>
  <c r="M694" i="4"/>
  <c r="M941" i="4"/>
  <c r="M891" i="4"/>
  <c r="M948" i="4"/>
  <c r="M348" i="4"/>
  <c r="M543" i="4"/>
  <c r="M636" i="4"/>
  <c r="M901" i="4"/>
  <c r="P77" i="4"/>
  <c r="H753" i="4"/>
  <c r="M967" i="4"/>
  <c r="M83" i="4"/>
  <c r="M163" i="4"/>
  <c r="M328" i="4"/>
  <c r="M669" i="4"/>
  <c r="M521" i="4"/>
  <c r="M393" i="4"/>
  <c r="M177" i="4"/>
  <c r="M784" i="4"/>
  <c r="M1015" i="4"/>
  <c r="M815" i="4"/>
  <c r="M300" i="4"/>
  <c r="M577" i="4"/>
  <c r="M219" i="4"/>
  <c r="M261" i="4"/>
  <c r="M143" i="4"/>
  <c r="M833" i="4"/>
  <c r="M678" i="4"/>
  <c r="M91" i="4"/>
  <c r="M235" i="4"/>
  <c r="M884" i="4"/>
  <c r="M904" i="4"/>
  <c r="M600" i="4"/>
  <c r="M530" i="4"/>
  <c r="M838" i="4"/>
  <c r="M52" i="4"/>
  <c r="M360" i="4"/>
  <c r="M757" i="4"/>
  <c r="M330" i="4"/>
  <c r="M963" i="4"/>
  <c r="M960" i="4"/>
  <c r="M740" i="4"/>
  <c r="M229" i="4"/>
  <c r="M271" i="4"/>
  <c r="M509" i="4"/>
  <c r="M527" i="4"/>
  <c r="M222" i="4"/>
  <c r="M152" i="4"/>
  <c r="M751" i="4"/>
  <c r="H205" i="4"/>
  <c r="M55" i="4"/>
  <c r="M606" i="4"/>
  <c r="M396" i="4"/>
  <c r="M951" i="4"/>
  <c r="M518" i="4"/>
  <c r="M262" i="4"/>
  <c r="M822" i="4"/>
  <c r="M204" i="4"/>
  <c r="M780" i="4"/>
  <c r="M124" i="4"/>
  <c r="M441" i="4"/>
  <c r="M774" i="4"/>
  <c r="P995" i="4"/>
  <c r="M321" i="4"/>
  <c r="P917" i="4"/>
  <c r="P362" i="4"/>
  <c r="M99" i="4"/>
  <c r="M748" i="4"/>
  <c r="H662" i="4"/>
  <c r="P138" i="4"/>
  <c r="H959" i="4"/>
  <c r="P623" i="4"/>
  <c r="P331" i="4"/>
  <c r="P725" i="4"/>
  <c r="H201" i="4"/>
  <c r="P181" i="4"/>
  <c r="P631" i="4"/>
  <c r="P116" i="4"/>
  <c r="H801" i="4"/>
  <c r="H204" i="4"/>
  <c r="H981" i="4"/>
  <c r="H106" i="4"/>
  <c r="H149" i="4"/>
  <c r="H273" i="4"/>
  <c r="H366" i="4"/>
  <c r="P903" i="4"/>
  <c r="H456" i="4"/>
  <c r="H997" i="4"/>
  <c r="H631" i="4"/>
  <c r="H35" i="4"/>
  <c r="H315" i="4"/>
  <c r="H858" i="4"/>
  <c r="H909" i="4"/>
  <c r="P136" i="4"/>
  <c r="P686" i="4"/>
  <c r="P252" i="4"/>
  <c r="M683" i="4"/>
  <c r="H200" i="4"/>
  <c r="H949" i="4"/>
  <c r="H993" i="4"/>
  <c r="P764" i="4"/>
  <c r="H602" i="4"/>
  <c r="H914" i="4"/>
  <c r="H369" i="4"/>
  <c r="P1007" i="4"/>
  <c r="H674" i="4"/>
  <c r="P513" i="4"/>
  <c r="P334" i="4"/>
  <c r="P488" i="4"/>
  <c r="P585" i="4"/>
  <c r="H510" i="4"/>
  <c r="P448" i="4"/>
  <c r="P461" i="4"/>
  <c r="P438" i="4"/>
  <c r="H308" i="4"/>
  <c r="H77" i="4"/>
  <c r="M938" i="4"/>
  <c r="H835" i="4"/>
  <c r="M842" i="4"/>
  <c r="M937" i="4"/>
  <c r="M72" i="4"/>
  <c r="M597" i="4"/>
  <c r="M500" i="4"/>
  <c r="M471" i="4"/>
  <c r="M536" i="4"/>
  <c r="M410" i="4"/>
  <c r="M49" i="4"/>
  <c r="M510" i="4"/>
  <c r="M896" i="4"/>
  <c r="M406" i="4"/>
  <c r="M866" i="4"/>
  <c r="M832" i="4"/>
  <c r="H1011" i="4"/>
  <c r="H567" i="4"/>
  <c r="H542" i="4"/>
  <c r="M140" i="4"/>
  <c r="M117" i="4"/>
  <c r="M693" i="4"/>
  <c r="M213" i="4"/>
  <c r="M877" i="4"/>
  <c r="M433" i="4"/>
  <c r="M637" i="4"/>
  <c r="M886" i="4"/>
  <c r="M234" i="4"/>
  <c r="M553" i="4"/>
  <c r="M615" i="4"/>
  <c r="M278" i="4"/>
  <c r="M647" i="4"/>
  <c r="M81" i="4"/>
  <c r="M525" i="4"/>
  <c r="M429" i="4"/>
  <c r="P601" i="4"/>
  <c r="H734" i="4"/>
  <c r="M628" i="4"/>
  <c r="M947" i="4"/>
  <c r="M580" i="4"/>
  <c r="M874" i="4"/>
  <c r="M804" i="4"/>
  <c r="M48" i="4"/>
  <c r="M291" i="4"/>
  <c r="M1000" i="4"/>
  <c r="M957" i="4"/>
  <c r="M853" i="4"/>
  <c r="M267" i="4"/>
  <c r="M803" i="4"/>
  <c r="M996" i="4"/>
  <c r="M939" i="4"/>
  <c r="M796" i="4"/>
  <c r="P309" i="4"/>
  <c r="P487" i="4"/>
  <c r="M541" i="4"/>
  <c r="M529" i="4"/>
  <c r="M778" i="4"/>
  <c r="M562" i="4"/>
  <c r="M507" i="4"/>
  <c r="M514" i="4"/>
  <c r="M466" i="4"/>
  <c r="M656" i="4"/>
  <c r="M638" i="4"/>
  <c r="M799" i="4"/>
  <c r="M732" i="4"/>
  <c r="M254" i="4"/>
  <c r="M770" i="4"/>
  <c r="M1027" i="4"/>
  <c r="M788" i="4"/>
  <c r="M646" i="4"/>
  <c r="M120" i="4"/>
  <c r="M569" i="4"/>
  <c r="M746" i="4"/>
  <c r="M28" i="4"/>
  <c r="M174" i="4"/>
  <c r="M692" i="4"/>
  <c r="M662" i="4"/>
  <c r="M921" i="4"/>
  <c r="M397" i="4"/>
  <c r="M447" i="4"/>
  <c r="M470" i="4"/>
  <c r="M465" i="4"/>
  <c r="M918" i="4"/>
  <c r="M673" i="4"/>
  <c r="M723" i="4"/>
  <c r="M508" i="4"/>
  <c r="M133" i="4"/>
  <c r="M890" i="4"/>
  <c r="M388" i="4"/>
  <c r="M961" i="4"/>
  <c r="M515" i="4"/>
  <c r="M84" i="4"/>
  <c r="M104" i="4"/>
  <c r="M672" i="4"/>
  <c r="M835" i="4"/>
  <c r="M544" i="4"/>
  <c r="M504" i="4"/>
  <c r="M658" i="4"/>
  <c r="M798" i="4"/>
  <c r="M1005" i="4"/>
  <c r="M828" i="4"/>
  <c r="M464" i="4"/>
  <c r="M226" i="4"/>
  <c r="M587" i="4"/>
  <c r="M183" i="4"/>
  <c r="M108" i="4"/>
  <c r="M188" i="4"/>
  <c r="M145" i="4"/>
  <c r="P648" i="4"/>
  <c r="H928" i="4"/>
  <c r="H709" i="4"/>
  <c r="M265" i="4"/>
  <c r="M909" i="4"/>
  <c r="M852" i="4"/>
  <c r="M817" i="4"/>
  <c r="M1020" i="4"/>
  <c r="M227" i="4"/>
  <c r="M900" i="4"/>
  <c r="M572" i="4"/>
  <c r="M301" i="4"/>
  <c r="M744" i="4"/>
  <c r="M710" i="4"/>
  <c r="M483" i="4"/>
  <c r="M698" i="4"/>
  <c r="M876" i="4"/>
  <c r="M928" i="4"/>
  <c r="M786" i="4"/>
  <c r="M40" i="4"/>
  <c r="M76" i="4"/>
  <c r="M496" i="4"/>
  <c r="M320" i="4"/>
  <c r="M73" i="4"/>
  <c r="M481" i="4"/>
  <c r="M944" i="4"/>
  <c r="M445" i="4"/>
  <c r="M823" i="4"/>
  <c r="M972" i="4"/>
  <c r="M381" i="4"/>
  <c r="M340" i="4"/>
  <c r="M568" i="4"/>
  <c r="M424" i="4"/>
  <c r="M369" i="4"/>
  <c r="M709" i="4"/>
  <c r="M422" i="4"/>
  <c r="M535" i="4"/>
  <c r="M325" i="4"/>
  <c r="M540" i="4"/>
  <c r="M993" i="4"/>
  <c r="M1019" i="4"/>
  <c r="M830" i="4"/>
  <c r="M880" i="4"/>
  <c r="M883" i="4"/>
  <c r="M412" i="4"/>
  <c r="M668" i="4"/>
  <c r="M654" i="4"/>
  <c r="M1010" i="4"/>
  <c r="M435" i="4"/>
  <c r="M946" i="4"/>
  <c r="M679" i="4"/>
  <c r="M870" i="4"/>
  <c r="M315" i="4"/>
  <c r="P287" i="4"/>
  <c r="P401" i="4"/>
  <c r="H292" i="4"/>
  <c r="H791" i="4"/>
  <c r="H876" i="4"/>
  <c r="H732" i="4"/>
  <c r="H532" i="4"/>
  <c r="H418" i="4"/>
  <c r="H334" i="4"/>
  <c r="P879" i="4"/>
  <c r="P843" i="4"/>
  <c r="H956" i="4"/>
  <c r="P111" i="4"/>
  <c r="P60" i="4"/>
  <c r="P684" i="4"/>
  <c r="H59" i="4"/>
  <c r="M528" i="4"/>
  <c r="H87" i="4"/>
  <c r="H343" i="4"/>
  <c r="H168" i="4"/>
  <c r="H352" i="4"/>
  <c r="H244" i="4"/>
  <c r="P186" i="4"/>
  <c r="H388" i="4"/>
  <c r="P158" i="4"/>
  <c r="H566" i="4"/>
  <c r="H795" i="4"/>
  <c r="H544" i="4"/>
  <c r="M123" i="4"/>
  <c r="P736" i="4"/>
  <c r="P512" i="4"/>
  <c r="P449" i="4"/>
  <c r="H991" i="4"/>
  <c r="P875" i="4"/>
  <c r="P573" i="4"/>
  <c r="P971" i="4"/>
  <c r="P791" i="4"/>
  <c r="H771" i="4"/>
  <c r="M969" i="4"/>
  <c r="M430" i="4"/>
  <c r="P922" i="4"/>
  <c r="P205" i="4"/>
  <c r="P992" i="4"/>
  <c r="H396" i="4"/>
  <c r="M659" i="4"/>
  <c r="M144" i="4"/>
  <c r="M943" i="4"/>
  <c r="M304" i="4"/>
  <c r="M639" i="4"/>
  <c r="M201" i="4"/>
  <c r="M862" i="4"/>
  <c r="P434" i="4"/>
  <c r="M53" i="4"/>
  <c r="P519" i="4"/>
  <c r="P122" i="4"/>
  <c r="P179" i="4"/>
  <c r="P743" i="4"/>
  <c r="P59" i="4"/>
  <c r="M705" i="4"/>
  <c r="P925" i="4"/>
  <c r="P768" i="4"/>
  <c r="M550" i="4"/>
  <c r="P632" i="4"/>
  <c r="P30" i="4"/>
  <c r="P950" i="4"/>
  <c r="P927" i="4"/>
  <c r="P627" i="4"/>
  <c r="P598" i="4"/>
  <c r="P914" i="4"/>
  <c r="H195" i="4"/>
  <c r="P985" i="4"/>
  <c r="P87" i="4"/>
  <c r="P314" i="4"/>
  <c r="P593" i="4"/>
  <c r="P758" i="4"/>
  <c r="P812" i="4"/>
  <c r="P376" i="4"/>
  <c r="P255" i="4"/>
  <c r="P42" i="4"/>
  <c r="P431" i="4"/>
  <c r="P324" i="4"/>
  <c r="P349" i="4"/>
  <c r="P503" i="4"/>
  <c r="P699" i="4"/>
  <c r="P192" i="4"/>
  <c r="P869" i="4"/>
  <c r="P210" i="4"/>
  <c r="P473" i="4"/>
  <c r="P113" i="4"/>
  <c r="P818" i="4"/>
  <c r="P484" i="4"/>
  <c r="P355" i="4"/>
  <c r="P130" i="4"/>
  <c r="P306" i="4"/>
  <c r="P32" i="4"/>
  <c r="P86" i="4"/>
  <c r="P578" i="4"/>
  <c r="P511" i="4"/>
  <c r="P589" i="4"/>
  <c r="P353" i="4"/>
  <c r="P1023" i="4"/>
  <c r="P911" i="4"/>
  <c r="P367" i="4"/>
  <c r="P945" i="4"/>
  <c r="P1004" i="4"/>
  <c r="P332" i="4"/>
  <c r="P677" i="4"/>
  <c r="P997" i="4"/>
  <c r="P211" i="4"/>
  <c r="P404" i="4"/>
  <c r="P1022" i="4"/>
  <c r="P594" i="4"/>
  <c r="P767" i="4"/>
  <c r="P657" i="4"/>
  <c r="P242" i="4"/>
  <c r="P283" i="4"/>
  <c r="P809" i="4"/>
  <c r="P930" i="4"/>
  <c r="P253" i="4"/>
  <c r="P905" i="4"/>
  <c r="P384" i="4"/>
  <c r="P173" i="4"/>
  <c r="P303" i="4"/>
  <c r="P558" i="4"/>
  <c r="P415" i="4"/>
  <c r="P591" i="4"/>
  <c r="P789" i="4"/>
  <c r="P814" i="4"/>
  <c r="P793" i="4"/>
  <c r="P792" i="4"/>
  <c r="P1024" i="4"/>
  <c r="P887" i="4"/>
  <c r="P279" i="4"/>
  <c r="P976" i="4"/>
  <c r="P66" i="4"/>
  <c r="P696" i="4"/>
  <c r="P326" i="4"/>
  <c r="P953" i="4"/>
  <c r="P717" i="4"/>
  <c r="P752" i="4"/>
  <c r="P882" i="4"/>
  <c r="P135" i="4"/>
  <c r="P416" i="4"/>
  <c r="P131" i="4"/>
  <c r="P218" i="4"/>
  <c r="P873" i="4"/>
  <c r="P296" i="4"/>
  <c r="P341" i="4"/>
  <c r="P286" i="4"/>
  <c r="P38" i="4"/>
  <c r="P56" i="4"/>
  <c r="P994" i="4"/>
  <c r="P664" i="4"/>
  <c r="P935" i="4"/>
  <c r="P361" i="4"/>
  <c r="P408" i="4"/>
  <c r="P249" i="4"/>
  <c r="P274" i="4"/>
  <c r="P642" i="4"/>
  <c r="P62" i="4"/>
  <c r="P595" i="4"/>
  <c r="P782" i="4"/>
  <c r="P71" i="4"/>
  <c r="P365" i="4"/>
  <c r="P1012" i="4"/>
  <c r="P319" i="4"/>
  <c r="P333" i="4"/>
  <c r="P469" i="4"/>
  <c r="P749" i="4"/>
  <c r="P570" i="4"/>
  <c r="P398" i="4"/>
  <c r="P127" i="4"/>
  <c r="P312" i="4"/>
  <c r="P29" i="4"/>
  <c r="P107" i="4"/>
  <c r="P735" i="4"/>
  <c r="P1016" i="4"/>
  <c r="P847" i="4"/>
  <c r="P526" i="4"/>
  <c r="P834" i="4"/>
  <c r="P455" i="4"/>
  <c r="P493" i="4"/>
  <c r="P675" i="4"/>
  <c r="P112" i="4"/>
  <c r="P506" i="4"/>
  <c r="P446" i="4"/>
  <c r="P517" i="4"/>
  <c r="P676" i="4"/>
  <c r="P625" i="4"/>
  <c r="P459" i="4"/>
  <c r="P737" i="4"/>
  <c r="P958" i="4"/>
  <c r="P411" i="4"/>
  <c r="P154" i="4"/>
  <c r="P402" i="4"/>
  <c r="P712" i="4"/>
  <c r="P342" i="4"/>
  <c r="P214" i="4"/>
  <c r="P98" i="4"/>
  <c r="P302" i="4"/>
  <c r="P450" i="4"/>
  <c r="P674" i="4"/>
  <c r="P888" i="4"/>
  <c r="P975" i="4"/>
  <c r="P293" i="4"/>
  <c r="P781" i="4"/>
  <c r="P898" i="4"/>
  <c r="P67" i="4"/>
  <c r="P68" i="4"/>
  <c r="P634" i="4"/>
  <c r="P881" i="4"/>
  <c r="P269" i="4"/>
  <c r="P289" i="4"/>
  <c r="P1009" i="4"/>
  <c r="P611" i="4"/>
  <c r="P765" i="4"/>
  <c r="P329" i="4"/>
  <c r="P69" i="4"/>
  <c r="P85" i="4"/>
  <c r="P118" i="4"/>
  <c r="P50" i="4"/>
  <c r="P231" i="4"/>
  <c r="P605" i="4"/>
  <c r="P559" i="4"/>
  <c r="P840" i="4"/>
  <c r="P907" i="4"/>
  <c r="P281" i="4"/>
  <c r="P146" i="4"/>
  <c r="P310" i="4"/>
  <c r="P846" i="4"/>
  <c r="P771" i="4"/>
  <c r="P88" i="4"/>
  <c r="P79" i="4"/>
  <c r="P350" i="4"/>
  <c r="P952" i="4"/>
  <c r="P175" i="4"/>
  <c r="P721" i="4"/>
  <c r="P756" i="4"/>
  <c r="P443" i="4"/>
  <c r="P161" i="4"/>
  <c r="P620" i="4"/>
  <c r="P532" i="4"/>
  <c r="P43" i="4"/>
  <c r="P359" i="4"/>
  <c r="P851" i="4"/>
  <c r="P277" i="4"/>
  <c r="P612" i="4"/>
  <c r="P554" i="4"/>
  <c r="P821" i="4"/>
  <c r="P949" i="4"/>
  <c r="P761" i="4"/>
  <c r="P409" i="4"/>
  <c r="P857" i="4"/>
  <c r="P571" i="4"/>
  <c r="P270" i="4"/>
  <c r="P716" i="4"/>
  <c r="P667" i="4"/>
  <c r="P383" i="4"/>
  <c r="P232" i="4"/>
  <c r="P316" i="4"/>
  <c r="P425" i="4"/>
  <c r="P400" i="4"/>
  <c r="P266" i="4"/>
  <c r="P602" i="4"/>
  <c r="P246" i="4"/>
  <c r="P223" i="4"/>
  <c r="P584" i="4"/>
  <c r="P106" i="4"/>
  <c r="P617" i="4"/>
  <c r="P34" i="4"/>
  <c r="P524" i="4"/>
  <c r="P44" i="4"/>
  <c r="P357" i="4"/>
  <c r="P171" i="4"/>
  <c r="P356" i="4"/>
  <c r="P824" i="4"/>
  <c r="P128" i="4"/>
  <c r="P295" i="4"/>
  <c r="P125" i="4"/>
  <c r="P959" i="4"/>
  <c r="P191" i="4"/>
  <c r="P1003" i="4"/>
  <c r="P263" i="4"/>
  <c r="P139" i="4"/>
  <c r="P413" i="4"/>
  <c r="P74" i="4"/>
  <c r="P207" i="4"/>
  <c r="P836" i="4"/>
  <c r="P522" i="4"/>
  <c r="P979" i="4"/>
  <c r="P439" i="4"/>
  <c r="P649" i="4"/>
  <c r="P193" i="4"/>
  <c r="P711" i="4"/>
  <c r="P165" i="4"/>
  <c r="P172" i="4"/>
  <c r="P863" i="4"/>
  <c r="P690" i="4"/>
  <c r="P89" i="4"/>
  <c r="P844" i="4"/>
  <c r="P630" i="4"/>
  <c r="P910" i="4"/>
  <c r="P389" i="4"/>
  <c r="P275" i="4"/>
  <c r="P386" i="4"/>
  <c r="P1028" i="4"/>
  <c r="P41" i="4"/>
  <c r="P998" i="4"/>
  <c r="P150" i="4"/>
  <c r="P311" i="4"/>
  <c r="P90" i="4"/>
  <c r="P467" i="4"/>
  <c r="P533" i="4"/>
  <c r="P478" i="4"/>
  <c r="P701" i="4"/>
  <c r="P899" i="4"/>
  <c r="P141" i="4"/>
  <c r="P82" i="4"/>
  <c r="P335" i="4"/>
  <c r="P142" i="4"/>
  <c r="P956" i="4"/>
  <c r="P651" i="4"/>
  <c r="P225" i="4"/>
  <c r="P65" i="4"/>
  <c r="P492" i="4"/>
  <c r="P155" i="4"/>
  <c r="P194" i="4"/>
  <c r="P457" i="4"/>
  <c r="P1011" i="4"/>
  <c r="P378" i="4"/>
  <c r="P753" i="4"/>
  <c r="P322" i="4"/>
  <c r="P317" i="4"/>
  <c r="P1025" i="4"/>
  <c r="P475" i="4"/>
  <c r="P916" i="4"/>
  <c r="P614" i="4"/>
  <c r="P966" i="4"/>
  <c r="P687" i="4"/>
  <c r="P773" i="4"/>
  <c r="P845" i="4"/>
  <c r="P497" i="4"/>
  <c r="P495" i="4"/>
  <c r="P209" i="4"/>
  <c r="P826" i="4"/>
  <c r="P147" i="4"/>
  <c r="P685" i="4"/>
  <c r="P849" i="4"/>
  <c r="P741" i="4"/>
  <c r="P586" i="4"/>
  <c r="P681" i="4"/>
  <c r="P244" i="4"/>
  <c r="P305" i="4" l="1"/>
  <c r="P661" i="4"/>
  <c r="P272" i="4"/>
  <c r="P217" i="4"/>
  <c r="P596" i="4"/>
  <c r="P762" i="4"/>
  <c r="P581" i="4"/>
  <c r="P182" i="4"/>
  <c r="P760" i="4"/>
  <c r="P372" i="4"/>
  <c r="P954" i="4"/>
  <c r="P392" i="4"/>
  <c r="P51" i="4"/>
  <c r="P403" i="4"/>
  <c r="P35" i="4"/>
  <c r="P327" i="4"/>
  <c r="P913" i="4"/>
  <c r="P742" i="4"/>
  <c r="P189" i="4"/>
  <c r="P307" i="4"/>
  <c r="P371" i="4"/>
  <c r="P486" i="4"/>
  <c r="P162" i="4"/>
  <c r="P203" i="4"/>
  <c r="P46" i="4"/>
  <c r="P552" i="4"/>
  <c r="P237" i="4"/>
  <c r="P613" i="4"/>
  <c r="P251" i="4"/>
  <c r="P297" i="4"/>
  <c r="P114" i="4"/>
  <c r="P715" i="4"/>
  <c r="P436" i="4"/>
  <c r="P962" i="4"/>
  <c r="P94" i="4"/>
  <c r="P399" i="4"/>
  <c r="P549" i="4"/>
  <c r="P126" i="4"/>
  <c r="P248" i="4"/>
  <c r="P373" i="4"/>
  <c r="P345" i="4"/>
  <c r="P618" i="4"/>
  <c r="P520" i="4"/>
  <c r="P855" i="4"/>
  <c r="P808" i="4"/>
  <c r="P988" i="4"/>
  <c r="P1008" i="4"/>
  <c r="P523" i="4"/>
  <c r="P100" i="4"/>
  <c r="P499" i="4"/>
  <c r="P599" i="4"/>
  <c r="P970" i="4"/>
  <c r="P557" i="4"/>
  <c r="P534" i="4"/>
  <c r="P841" i="4"/>
  <c r="P454" i="4"/>
  <c r="P485" i="4"/>
  <c r="P195" i="4"/>
  <c r="P897" i="4"/>
  <c r="P566" i="4"/>
  <c r="P260" i="4"/>
  <c r="P759" i="4"/>
  <c r="P238" i="4"/>
  <c r="P156" i="4"/>
  <c r="P610" i="4"/>
  <c r="P170" i="4"/>
  <c r="P437" i="4"/>
  <c r="P230" i="4"/>
  <c r="P160" i="4"/>
  <c r="P245" i="4"/>
  <c r="P444" i="4"/>
  <c r="P460" i="4"/>
  <c r="P167" i="4"/>
  <c r="P476" i="4"/>
  <c r="P815" i="4"/>
  <c r="P982" i="4"/>
  <c r="P865" i="4"/>
  <c r="P70" i="4"/>
  <c r="P878" i="4"/>
  <c r="P839" i="4"/>
  <c r="P352" i="4"/>
  <c r="P531" i="4"/>
  <c r="P563" i="4"/>
  <c r="P64" i="4"/>
  <c r="P420" i="4"/>
  <c r="P196" i="4"/>
  <c r="P452" i="4"/>
  <c r="P80" i="4"/>
  <c r="P463" i="4"/>
  <c r="P989" i="4"/>
  <c r="P665" i="4"/>
  <c r="P57" i="4"/>
  <c r="P418" i="4"/>
  <c r="P747" i="4"/>
  <c r="P421" i="4"/>
  <c r="P391" i="4"/>
  <c r="P215" i="4"/>
  <c r="P318" i="4"/>
  <c r="P733" i="4"/>
  <c r="P691" i="4"/>
  <c r="P561" i="4"/>
  <c r="P99" i="4"/>
  <c r="P380" i="4"/>
  <c r="P259" i="4"/>
  <c r="P92" i="4"/>
  <c r="P800" i="4"/>
  <c r="P137" i="4"/>
  <c r="P282" i="4"/>
  <c r="P769" i="4"/>
  <c r="P894" i="4"/>
  <c r="P624" i="4"/>
  <c r="P149" i="4"/>
  <c r="P308" i="4"/>
  <c r="P1015" i="4"/>
  <c r="P822" i="4"/>
  <c r="P707" i="4"/>
  <c r="P858" i="4"/>
  <c r="P45" i="4"/>
  <c r="P663" i="4"/>
  <c r="P516" i="4"/>
  <c r="P748" i="4"/>
  <c r="P63" i="4"/>
  <c r="P825" i="4"/>
  <c r="P236" i="4"/>
  <c r="P247" i="4"/>
  <c r="P458" i="4"/>
  <c r="P931" i="4"/>
  <c r="P482" i="4"/>
  <c r="P590" i="4"/>
  <c r="P867" i="4"/>
  <c r="P379" i="4"/>
  <c r="P148" i="4"/>
  <c r="P936" i="4"/>
  <c r="P912" i="4"/>
  <c r="P262" i="4"/>
  <c r="P619" i="4"/>
  <c r="P300" i="4"/>
  <c r="P393" i="4"/>
  <c r="P163" i="4"/>
  <c r="P831" i="4"/>
  <c r="P387" i="4"/>
  <c r="P574" i="4"/>
  <c r="P292" i="4"/>
  <c r="P616" i="4"/>
  <c r="P731" i="4"/>
  <c r="P36" i="4"/>
  <c r="P91" i="4"/>
  <c r="P152" i="4"/>
  <c r="P780" i="4"/>
  <c r="P547" i="4"/>
  <c r="P47" i="4"/>
  <c r="P785" i="4"/>
  <c r="P518" i="4"/>
  <c r="P678" i="4"/>
  <c r="P901" i="4"/>
  <c r="P159" i="4"/>
  <c r="P54" i="4"/>
  <c r="P750" i="4"/>
  <c r="P600" i="4"/>
  <c r="P502" i="4"/>
  <c r="P299" i="4"/>
  <c r="P313" i="4"/>
  <c r="P790" i="4"/>
  <c r="P740" i="4"/>
  <c r="P833" i="4"/>
  <c r="P577" i="4"/>
  <c r="P200" i="4"/>
  <c r="P539" i="4"/>
  <c r="P655" i="4"/>
  <c r="P955" i="4"/>
  <c r="P968" i="4"/>
  <c r="P706" i="4"/>
  <c r="P708" i="4"/>
  <c r="P315" i="4"/>
  <c r="P435" i="4"/>
  <c r="P412" i="4"/>
  <c r="P535" i="4"/>
  <c r="P424" i="4"/>
  <c r="P541" i="4"/>
  <c r="P944" i="4"/>
  <c r="P496" i="4"/>
  <c r="P928" i="4"/>
  <c r="P710" i="4"/>
  <c r="P900" i="4"/>
  <c r="P852" i="4"/>
  <c r="P856" i="4"/>
  <c r="P784" i="4"/>
  <c r="P941" i="4"/>
  <c r="P965" i="4"/>
  <c r="P61" i="4"/>
  <c r="P551" i="4"/>
  <c r="P224" i="4"/>
  <c r="P802" i="4"/>
  <c r="P1002" i="4"/>
  <c r="P124" i="4"/>
  <c r="P652" i="4"/>
  <c r="P683" i="4"/>
  <c r="P177" i="4"/>
  <c r="P328" i="4"/>
  <c r="P718" i="4"/>
  <c r="P33" i="4"/>
  <c r="P794" i="4"/>
  <c r="P164" i="4"/>
  <c r="P169" i="4"/>
  <c r="P55" i="4"/>
  <c r="P52" i="4"/>
  <c r="P904" i="4"/>
  <c r="P261" i="4"/>
  <c r="P974" i="4"/>
  <c r="P929" i="4"/>
  <c r="P363" i="4"/>
  <c r="P729" i="4"/>
  <c r="P695" i="4"/>
  <c r="P983" i="4"/>
  <c r="P1021" i="4"/>
  <c r="P893" i="4"/>
  <c r="P603" i="4"/>
  <c r="P280" i="4"/>
  <c r="P129" i="4"/>
  <c r="P774" i="4"/>
  <c r="P185" i="4"/>
  <c r="P222" i="4"/>
  <c r="P948" i="4"/>
  <c r="P490" i="4"/>
  <c r="P239" i="4"/>
  <c r="P1001" i="4"/>
  <c r="P204" i="4"/>
  <c r="P229" i="4"/>
  <c r="P330" i="4"/>
  <c r="P838" i="4"/>
  <c r="P884" i="4"/>
  <c r="P219" i="4"/>
  <c r="P199" i="4"/>
  <c r="P480" i="4"/>
  <c r="P984" i="4"/>
  <c r="P745" i="4"/>
  <c r="P256" i="4"/>
  <c r="P470" i="4"/>
  <c r="P662" i="4"/>
  <c r="P746" i="4"/>
  <c r="P788" i="4"/>
  <c r="P732" i="4"/>
  <c r="P466" i="4"/>
  <c r="P778" i="4"/>
  <c r="P278" i="4"/>
  <c r="P886" i="4"/>
  <c r="P951" i="4"/>
  <c r="P527" i="4"/>
  <c r="P757" i="4"/>
  <c r="P521" i="4"/>
  <c r="P83" i="4"/>
  <c r="P636" i="4"/>
  <c r="P891" i="4"/>
  <c r="P489" i="4"/>
  <c r="P294" i="4"/>
  <c r="P432" i="4"/>
  <c r="P567" i="4"/>
  <c r="P180" i="4"/>
  <c r="P366" i="4"/>
  <c r="P587" i="4"/>
  <c r="P1005" i="4"/>
  <c r="P544" i="4"/>
  <c r="P84" i="4"/>
  <c r="P673" i="4"/>
  <c r="P264" i="4"/>
  <c r="P537" i="4"/>
  <c r="P607" i="4"/>
  <c r="P101" i="4"/>
  <c r="P776" i="4"/>
  <c r="P441" i="4"/>
  <c r="P396" i="4"/>
  <c r="P751" i="4"/>
  <c r="P509" i="4"/>
  <c r="P960" i="4"/>
  <c r="P669" i="4"/>
  <c r="P967" i="4"/>
  <c r="P895" i="4"/>
  <c r="P671" i="4"/>
  <c r="P704" i="4"/>
  <c r="P456" i="4"/>
  <c r="P813" i="4"/>
  <c r="P556" i="4"/>
  <c r="P538" i="4"/>
  <c r="P377" i="4"/>
  <c r="P298" i="4"/>
  <c r="P724" i="4"/>
  <c r="P530" i="4"/>
  <c r="P235" i="4"/>
  <c r="P783" i="4"/>
  <c r="P321" i="4"/>
  <c r="P606" i="4"/>
  <c r="P360" i="4"/>
  <c r="P143" i="4"/>
  <c r="P543" i="4"/>
  <c r="P694" i="4"/>
  <c r="P1014" i="4"/>
  <c r="P777" i="4"/>
  <c r="P583" i="4"/>
  <c r="P166" i="4"/>
  <c r="P370" i="4"/>
  <c r="P805" i="4"/>
  <c r="P198" i="4"/>
  <c r="P250" i="4"/>
  <c r="P271" i="4"/>
  <c r="P963" i="4"/>
  <c r="P348" i="4"/>
  <c r="P157" i="4"/>
  <c r="P626" i="4"/>
  <c r="P375" i="4"/>
  <c r="P848" i="4"/>
  <c r="P609" i="4"/>
  <c r="P980" i="4"/>
  <c r="P892" i="4"/>
  <c r="P986" i="4"/>
  <c r="P465" i="4"/>
  <c r="P569" i="4"/>
  <c r="P799" i="4"/>
  <c r="P514" i="4"/>
  <c r="P529" i="4"/>
  <c r="P939" i="4"/>
  <c r="P693" i="4"/>
  <c r="P654" i="4"/>
  <c r="P880" i="4"/>
  <c r="P709" i="4"/>
  <c r="P340" i="4"/>
  <c r="P40" i="4"/>
  <c r="P698" i="4"/>
  <c r="P301" i="4"/>
  <c r="P108" i="4"/>
  <c r="P658" i="4"/>
  <c r="P508" i="4"/>
  <c r="P866" i="4"/>
  <c r="P49" i="4"/>
  <c r="P500" i="4"/>
  <c r="P842" i="4"/>
  <c r="P874" i="4"/>
  <c r="P234" i="4"/>
  <c r="P723" i="4"/>
  <c r="P447" i="4"/>
  <c r="P969" i="4"/>
  <c r="P870" i="4"/>
  <c r="P1010" i="4"/>
  <c r="P883" i="4"/>
  <c r="P993" i="4"/>
  <c r="P972" i="4"/>
  <c r="P76" i="4"/>
  <c r="P876" i="4"/>
  <c r="P145" i="4"/>
  <c r="P226" i="4"/>
  <c r="P798" i="4"/>
  <c r="P835" i="4"/>
  <c r="P918" i="4"/>
  <c r="P996" i="4"/>
  <c r="P957" i="4"/>
  <c r="P804" i="4"/>
  <c r="P628" i="4"/>
  <c r="P81" i="4"/>
  <c r="P553" i="4"/>
  <c r="P832" i="4"/>
  <c r="P188" i="4"/>
  <c r="P174" i="4"/>
  <c r="P120" i="4"/>
  <c r="P770" i="4"/>
  <c r="P638" i="4"/>
  <c r="P507" i="4"/>
  <c r="P890" i="4"/>
  <c r="P853" i="4"/>
  <c r="P48" i="4"/>
  <c r="P947" i="4"/>
  <c r="P525" i="4"/>
  <c r="P615" i="4"/>
  <c r="P637" i="4"/>
  <c r="P639" i="4"/>
  <c r="P659" i="4"/>
  <c r="P568" i="4"/>
  <c r="P823" i="4"/>
  <c r="P481" i="4"/>
  <c r="P133" i="4"/>
  <c r="P1027" i="4"/>
  <c r="P510" i="4"/>
  <c r="P937" i="4"/>
  <c r="P422" i="4"/>
  <c r="P744" i="4"/>
  <c r="P227" i="4"/>
  <c r="P909" i="4"/>
  <c r="P515" i="4"/>
  <c r="P692" i="4"/>
  <c r="P117" i="4"/>
  <c r="P471" i="4"/>
  <c r="P679" i="4"/>
  <c r="P540" i="4"/>
  <c r="P1020" i="4"/>
  <c r="P265" i="4"/>
  <c r="P672" i="4"/>
  <c r="P961" i="4"/>
  <c r="P397" i="4"/>
  <c r="P433" i="4"/>
  <c r="P123" i="4"/>
  <c r="P73" i="4"/>
  <c r="P464" i="4"/>
  <c r="P803" i="4"/>
  <c r="P1000" i="4"/>
  <c r="P647" i="4"/>
  <c r="P877" i="4"/>
  <c r="P140" i="4"/>
  <c r="P946" i="4"/>
  <c r="P668" i="4"/>
  <c r="P830" i="4"/>
  <c r="P325" i="4"/>
  <c r="P369" i="4"/>
  <c r="P381" i="4"/>
  <c r="P445" i="4"/>
  <c r="P786" i="4"/>
  <c r="P483" i="4"/>
  <c r="P817" i="4"/>
  <c r="P828" i="4"/>
  <c r="P504" i="4"/>
  <c r="P104" i="4"/>
  <c r="P28" i="4"/>
  <c r="P646" i="4"/>
  <c r="P254" i="4"/>
  <c r="P656" i="4"/>
  <c r="P562" i="4"/>
  <c r="P320" i="4"/>
  <c r="P572" i="4"/>
  <c r="P183" i="4"/>
  <c r="P388" i="4"/>
  <c r="P921" i="4"/>
  <c r="P406" i="4"/>
  <c r="P597" i="4"/>
  <c r="P796" i="4"/>
  <c r="P267" i="4"/>
  <c r="P410" i="4"/>
  <c r="P938" i="4"/>
  <c r="P1019" i="4"/>
  <c r="P291" i="4"/>
  <c r="P580" i="4"/>
  <c r="P429" i="4"/>
  <c r="P213" i="4"/>
  <c r="P896" i="4"/>
  <c r="P536" i="4"/>
  <c r="P72" i="4"/>
  <c r="P144" i="4"/>
  <c r="P528" i="4"/>
  <c r="P430" i="4"/>
  <c r="P53" i="4"/>
  <c r="P705" i="4"/>
  <c r="P304" i="4"/>
  <c r="P862" i="4"/>
  <c r="P943" i="4"/>
  <c r="P550" i="4"/>
  <c r="P201" i="4"/>
</calcChain>
</file>

<file path=xl/sharedStrings.xml><?xml version="1.0" encoding="utf-8"?>
<sst xmlns="http://schemas.openxmlformats.org/spreadsheetml/2006/main" count="114" uniqueCount="43">
  <si>
    <t>psi</t>
  </si>
  <si>
    <t>R =</t>
  </si>
  <si>
    <t>Mpa</t>
  </si>
  <si>
    <t>fc</t>
  </si>
  <si>
    <t>ft</t>
  </si>
  <si>
    <t xml:space="preserve">alpha = </t>
  </si>
  <si>
    <t xml:space="preserve">sigma0 = </t>
  </si>
  <si>
    <t xml:space="preserve">sigmaVT = </t>
  </si>
  <si>
    <t xml:space="preserve">T0 = </t>
  </si>
  <si>
    <t xml:space="preserve">sigmaVC = </t>
  </si>
  <si>
    <t xml:space="preserve">f1(sigmaVC) = </t>
  </si>
  <si>
    <t>X0 =</t>
  </si>
  <si>
    <t>min stress =</t>
  </si>
  <si>
    <t>volumetric stress</t>
  </si>
  <si>
    <t>f1</t>
  </si>
  <si>
    <t>--&gt;</t>
  </si>
  <si>
    <t>Inputs</t>
  </si>
  <si>
    <t>Unixial Compression</t>
  </si>
  <si>
    <t>Biaxial Compression</t>
  </si>
  <si>
    <t>sqrt(3/2)*Dev Stress</t>
  </si>
  <si>
    <t>Tensile Strength</t>
  </si>
  <si>
    <t>Compression Cap Ratio</t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</si>
  <si>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=</t>
    </r>
  </si>
  <si>
    <r>
      <t>f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=</t>
    </r>
  </si>
  <si>
    <r>
      <t>f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</si>
  <si>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f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= </t>
    </r>
  </si>
  <si>
    <t>Original Yield Surface</t>
  </si>
  <si>
    <t>Hardened Yield Surface</t>
  </si>
  <si>
    <t>After Hardening</t>
  </si>
  <si>
    <t>(just set an arbitrary value for plotting purposes)</t>
  </si>
  <si>
    <t>Ratio</t>
  </si>
  <si>
    <t>Smooth Microplane Capped Yield Function (Drucker-Prager)</t>
  </si>
  <si>
    <t>https://doi.org/10.1007/s00466-018-1561-1</t>
  </si>
  <si>
    <t>First Yield Surface</t>
  </si>
  <si>
    <t>Tension Intersection with Hydrostatic Axis</t>
  </si>
  <si>
    <t>Compression Intersection with Hydrostatic Axis</t>
  </si>
  <si>
    <t>Assumed -2/3*fb --&gt;</t>
  </si>
  <si>
    <t>Assumed -1/3*fc --&gt;</t>
  </si>
  <si>
    <t xml:space="preserve">RT = </t>
  </si>
  <si>
    <t>Assumed 1/3*ft --&gt;</t>
  </si>
  <si>
    <t>Assumed 1 --&gt;</t>
  </si>
  <si>
    <t>values after hardening (for plotting sample hardened surface)</t>
  </si>
  <si>
    <t xml:space="preserve">Zreid, I. and Kaliske, M. (2018). "A gradient enchanced plasticity-damage microplane model for concrete". Computational Mechanics, Vol. 62, pp. 1239-1257.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</si>
</sst>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0" fillId="2" borderId="0" xfId="0" applyFill="1"/>
    <xf numFmtId="0" fontId="2" fillId="0" borderId="0" xfId="0" applyFont="1" applyAlignment="1">
      <alignment horizontal="right"/>
    </xf>
    <xf numFmtId="0" fontId="0" fillId="0" borderId="0" xfId="0" quotePrefix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0" fillId="3" borderId="0" xfId="0" applyFill="1"/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267716535433071E-2"/>
          <c:y val="9.7704627199377878E-2"/>
          <c:w val="0.92099154272382622"/>
          <c:h val="0.71800998833479146"/>
        </c:manualLayout>
      </c:layout>
      <c:scatterChart>
        <c:scatterStyle val="lineMarker"/>
        <c:varyColors val="0"/>
        <c:ser>
          <c:idx val="0"/>
          <c:order val="0"/>
          <c:tx>
            <c:v>Initial Surface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psi!$D$28:$D$1028</c:f>
              <c:numCache>
                <c:formatCode>General</c:formatCode>
                <c:ptCount val="1001"/>
                <c:pt idx="0">
                  <c:v>-12658.502075069133</c:v>
                </c:pt>
                <c:pt idx="1">
                  <c:v>-12645.65023966073</c:v>
                </c:pt>
                <c:pt idx="2">
                  <c:v>-12632.798404252328</c:v>
                </c:pt>
                <c:pt idx="3">
                  <c:v>-12619.946568843925</c:v>
                </c:pt>
                <c:pt idx="4">
                  <c:v>-12607.094733435522</c:v>
                </c:pt>
                <c:pt idx="5">
                  <c:v>-12594.24289802712</c:v>
                </c:pt>
                <c:pt idx="6">
                  <c:v>-12581.391062618719</c:v>
                </c:pt>
                <c:pt idx="7">
                  <c:v>-12568.539227210316</c:v>
                </c:pt>
                <c:pt idx="8">
                  <c:v>-12555.687391801914</c:v>
                </c:pt>
                <c:pt idx="9">
                  <c:v>-12542.835556393511</c:v>
                </c:pt>
                <c:pt idx="10">
                  <c:v>-12529.983720985108</c:v>
                </c:pt>
                <c:pt idx="11">
                  <c:v>-12517.131885576706</c:v>
                </c:pt>
                <c:pt idx="12">
                  <c:v>-12504.280050168303</c:v>
                </c:pt>
                <c:pt idx="13">
                  <c:v>-12491.428214759901</c:v>
                </c:pt>
                <c:pt idx="14">
                  <c:v>-12478.576379351498</c:v>
                </c:pt>
                <c:pt idx="15">
                  <c:v>-12465.724543943095</c:v>
                </c:pt>
                <c:pt idx="16">
                  <c:v>-12452.872708534693</c:v>
                </c:pt>
                <c:pt idx="17">
                  <c:v>-12440.02087312629</c:v>
                </c:pt>
                <c:pt idx="18">
                  <c:v>-12427.169037717889</c:v>
                </c:pt>
                <c:pt idx="19">
                  <c:v>-12414.317202309487</c:v>
                </c:pt>
                <c:pt idx="20">
                  <c:v>-12401.465366901084</c:v>
                </c:pt>
                <c:pt idx="21">
                  <c:v>-12388.613531492681</c:v>
                </c:pt>
                <c:pt idx="22">
                  <c:v>-12375.761696084279</c:v>
                </c:pt>
                <c:pt idx="23">
                  <c:v>-12362.909860675876</c:v>
                </c:pt>
                <c:pt idx="24">
                  <c:v>-12350.058025267474</c:v>
                </c:pt>
                <c:pt idx="25">
                  <c:v>-12337.206189859071</c:v>
                </c:pt>
                <c:pt idx="26">
                  <c:v>-12324.354354450668</c:v>
                </c:pt>
                <c:pt idx="27">
                  <c:v>-12311.502519042266</c:v>
                </c:pt>
                <c:pt idx="28">
                  <c:v>-12298.650683633863</c:v>
                </c:pt>
                <c:pt idx="29">
                  <c:v>-12285.79884822546</c:v>
                </c:pt>
                <c:pt idx="30">
                  <c:v>-12272.94701281706</c:v>
                </c:pt>
                <c:pt idx="31">
                  <c:v>-12260.095177408657</c:v>
                </c:pt>
                <c:pt idx="32">
                  <c:v>-12247.243342000254</c:v>
                </c:pt>
                <c:pt idx="33">
                  <c:v>-12234.391506591852</c:v>
                </c:pt>
                <c:pt idx="34">
                  <c:v>-12221.539671183449</c:v>
                </c:pt>
                <c:pt idx="35">
                  <c:v>-12208.687835775047</c:v>
                </c:pt>
                <c:pt idx="36">
                  <c:v>-12195.836000366644</c:v>
                </c:pt>
                <c:pt idx="37">
                  <c:v>-12182.984164958241</c:v>
                </c:pt>
                <c:pt idx="38">
                  <c:v>-12170.132329549839</c:v>
                </c:pt>
                <c:pt idx="39">
                  <c:v>-12157.280494141436</c:v>
                </c:pt>
                <c:pt idx="40">
                  <c:v>-12144.428658733033</c:v>
                </c:pt>
                <c:pt idx="41">
                  <c:v>-12131.576823324631</c:v>
                </c:pt>
                <c:pt idx="42">
                  <c:v>-12118.72498791623</c:v>
                </c:pt>
                <c:pt idx="43">
                  <c:v>-12105.873152507827</c:v>
                </c:pt>
                <c:pt idx="44">
                  <c:v>-12093.021317099425</c:v>
                </c:pt>
                <c:pt idx="45">
                  <c:v>-12080.169481691022</c:v>
                </c:pt>
                <c:pt idx="46">
                  <c:v>-12067.31764628262</c:v>
                </c:pt>
                <c:pt idx="47">
                  <c:v>-12054.465810874217</c:v>
                </c:pt>
                <c:pt idx="48">
                  <c:v>-12041.613975465814</c:v>
                </c:pt>
                <c:pt idx="49">
                  <c:v>-12028.762140057412</c:v>
                </c:pt>
                <c:pt idx="50">
                  <c:v>-12015.910304649009</c:v>
                </c:pt>
                <c:pt idx="51">
                  <c:v>-12003.058469240606</c:v>
                </c:pt>
                <c:pt idx="52">
                  <c:v>-11990.206633832204</c:v>
                </c:pt>
                <c:pt idx="53">
                  <c:v>-11977.354798423803</c:v>
                </c:pt>
                <c:pt idx="54">
                  <c:v>-11964.5029630154</c:v>
                </c:pt>
                <c:pt idx="55">
                  <c:v>-11951.651127606998</c:v>
                </c:pt>
                <c:pt idx="56">
                  <c:v>-11938.799292198595</c:v>
                </c:pt>
                <c:pt idx="57">
                  <c:v>-11925.947456790193</c:v>
                </c:pt>
                <c:pt idx="58">
                  <c:v>-11913.09562138179</c:v>
                </c:pt>
                <c:pt idx="59">
                  <c:v>-11900.243785973387</c:v>
                </c:pt>
                <c:pt idx="60">
                  <c:v>-11887.391950564985</c:v>
                </c:pt>
                <c:pt idx="61">
                  <c:v>-11874.540115156582</c:v>
                </c:pt>
                <c:pt idx="62">
                  <c:v>-11861.688279748179</c:v>
                </c:pt>
                <c:pt idx="63">
                  <c:v>-11848.836444339777</c:v>
                </c:pt>
                <c:pt idx="64">
                  <c:v>-11835.984608931374</c:v>
                </c:pt>
                <c:pt idx="65">
                  <c:v>-11823.132773522972</c:v>
                </c:pt>
                <c:pt idx="66">
                  <c:v>-11810.280938114571</c:v>
                </c:pt>
                <c:pt idx="67">
                  <c:v>-11797.429102706168</c:v>
                </c:pt>
                <c:pt idx="68">
                  <c:v>-11784.577267297766</c:v>
                </c:pt>
                <c:pt idx="69">
                  <c:v>-11771.725431889363</c:v>
                </c:pt>
                <c:pt idx="70">
                  <c:v>-11758.87359648096</c:v>
                </c:pt>
                <c:pt idx="71">
                  <c:v>-11746.021761072558</c:v>
                </c:pt>
                <c:pt idx="72">
                  <c:v>-11733.169925664155</c:v>
                </c:pt>
                <c:pt idx="73">
                  <c:v>-11720.318090255752</c:v>
                </c:pt>
                <c:pt idx="74">
                  <c:v>-11707.46625484735</c:v>
                </c:pt>
                <c:pt idx="75">
                  <c:v>-11694.614419438947</c:v>
                </c:pt>
                <c:pt idx="76">
                  <c:v>-11681.762584030545</c:v>
                </c:pt>
                <c:pt idx="77">
                  <c:v>-11668.910748622144</c:v>
                </c:pt>
                <c:pt idx="78">
                  <c:v>-11656.058913213741</c:v>
                </c:pt>
                <c:pt idx="79">
                  <c:v>-11643.207077805338</c:v>
                </c:pt>
                <c:pt idx="80">
                  <c:v>-11630.355242396936</c:v>
                </c:pt>
                <c:pt idx="81">
                  <c:v>-11617.503406988533</c:v>
                </c:pt>
                <c:pt idx="82">
                  <c:v>-11604.651571580131</c:v>
                </c:pt>
                <c:pt idx="83">
                  <c:v>-11591.799736171728</c:v>
                </c:pt>
                <c:pt idx="84">
                  <c:v>-11578.947900763325</c:v>
                </c:pt>
                <c:pt idx="85">
                  <c:v>-11566.096065354923</c:v>
                </c:pt>
                <c:pt idx="86">
                  <c:v>-11553.24422994652</c:v>
                </c:pt>
                <c:pt idx="87">
                  <c:v>-11540.392394538118</c:v>
                </c:pt>
                <c:pt idx="88">
                  <c:v>-11527.540559129717</c:v>
                </c:pt>
                <c:pt idx="89">
                  <c:v>-11514.688723721314</c:v>
                </c:pt>
                <c:pt idx="90">
                  <c:v>-11501.836888312911</c:v>
                </c:pt>
                <c:pt idx="91">
                  <c:v>-11488.985052904509</c:v>
                </c:pt>
                <c:pt idx="92">
                  <c:v>-11476.133217496106</c:v>
                </c:pt>
                <c:pt idx="93">
                  <c:v>-11463.281382087704</c:v>
                </c:pt>
                <c:pt idx="94">
                  <c:v>-11450.429546679301</c:v>
                </c:pt>
                <c:pt idx="95">
                  <c:v>-11437.577711270898</c:v>
                </c:pt>
                <c:pt idx="96">
                  <c:v>-11424.725875862496</c:v>
                </c:pt>
                <c:pt idx="97">
                  <c:v>-11411.874040454093</c:v>
                </c:pt>
                <c:pt idx="98">
                  <c:v>-11399.02220504569</c:v>
                </c:pt>
                <c:pt idx="99">
                  <c:v>-11386.170369637288</c:v>
                </c:pt>
                <c:pt idx="100">
                  <c:v>-11373.318534228885</c:v>
                </c:pt>
                <c:pt idx="101">
                  <c:v>-11360.466698820484</c:v>
                </c:pt>
                <c:pt idx="102">
                  <c:v>-11347.614863412082</c:v>
                </c:pt>
                <c:pt idx="103">
                  <c:v>-11334.763028003679</c:v>
                </c:pt>
                <c:pt idx="104">
                  <c:v>-11321.911192595277</c:v>
                </c:pt>
                <c:pt idx="105">
                  <c:v>-11309.059357186874</c:v>
                </c:pt>
                <c:pt idx="106">
                  <c:v>-11296.207521778471</c:v>
                </c:pt>
                <c:pt idx="107">
                  <c:v>-11283.355686370069</c:v>
                </c:pt>
                <c:pt idx="108">
                  <c:v>-11270.503850961666</c:v>
                </c:pt>
                <c:pt idx="109">
                  <c:v>-11257.652015553263</c:v>
                </c:pt>
                <c:pt idx="110">
                  <c:v>-11244.800180144861</c:v>
                </c:pt>
                <c:pt idx="111">
                  <c:v>-11231.948344736458</c:v>
                </c:pt>
                <c:pt idx="112">
                  <c:v>-11219.096509328057</c:v>
                </c:pt>
                <c:pt idx="113">
                  <c:v>-11206.244673919655</c:v>
                </c:pt>
                <c:pt idx="114">
                  <c:v>-11193.392838511252</c:v>
                </c:pt>
                <c:pt idx="115">
                  <c:v>-11180.54100310285</c:v>
                </c:pt>
                <c:pt idx="116">
                  <c:v>-11167.689167694447</c:v>
                </c:pt>
                <c:pt idx="117">
                  <c:v>-11154.837332286044</c:v>
                </c:pt>
                <c:pt idx="118">
                  <c:v>-11141.985496877642</c:v>
                </c:pt>
                <c:pt idx="119">
                  <c:v>-11129.133661469239</c:v>
                </c:pt>
                <c:pt idx="120">
                  <c:v>-11116.281826060836</c:v>
                </c:pt>
                <c:pt idx="121">
                  <c:v>-11103.429990652434</c:v>
                </c:pt>
                <c:pt idx="122">
                  <c:v>-11090.578155244031</c:v>
                </c:pt>
                <c:pt idx="123">
                  <c:v>-11077.72631983563</c:v>
                </c:pt>
                <c:pt idx="124">
                  <c:v>-11064.874484427226</c:v>
                </c:pt>
                <c:pt idx="125">
                  <c:v>-11052.022649018825</c:v>
                </c:pt>
                <c:pt idx="126">
                  <c:v>-11039.170813610423</c:v>
                </c:pt>
                <c:pt idx="127">
                  <c:v>-11026.31897820202</c:v>
                </c:pt>
                <c:pt idx="128">
                  <c:v>-11013.467142793617</c:v>
                </c:pt>
                <c:pt idx="129">
                  <c:v>-11000.615307385215</c:v>
                </c:pt>
                <c:pt idx="130">
                  <c:v>-10987.763471976812</c:v>
                </c:pt>
                <c:pt idx="131">
                  <c:v>-10974.911636568409</c:v>
                </c:pt>
                <c:pt idx="132">
                  <c:v>-10962.059801160007</c:v>
                </c:pt>
                <c:pt idx="133">
                  <c:v>-10949.207965751604</c:v>
                </c:pt>
                <c:pt idx="134">
                  <c:v>-10936.356130343202</c:v>
                </c:pt>
                <c:pt idx="135">
                  <c:v>-10923.504294934799</c:v>
                </c:pt>
                <c:pt idx="136">
                  <c:v>-10910.652459526398</c:v>
                </c:pt>
                <c:pt idx="137">
                  <c:v>-10897.800624117996</c:v>
                </c:pt>
                <c:pt idx="138">
                  <c:v>-10884.948788709593</c:v>
                </c:pt>
                <c:pt idx="139">
                  <c:v>-10872.09695330119</c:v>
                </c:pt>
                <c:pt idx="140">
                  <c:v>-10859.245117892788</c:v>
                </c:pt>
                <c:pt idx="141">
                  <c:v>-10846.393282484385</c:v>
                </c:pt>
                <c:pt idx="142">
                  <c:v>-10833.541447075982</c:v>
                </c:pt>
                <c:pt idx="143">
                  <c:v>-10820.68961166758</c:v>
                </c:pt>
                <c:pt idx="144">
                  <c:v>-10807.837776259177</c:v>
                </c:pt>
                <c:pt idx="145">
                  <c:v>-10794.985940850775</c:v>
                </c:pt>
                <c:pt idx="146">
                  <c:v>-10782.134105442372</c:v>
                </c:pt>
                <c:pt idx="147">
                  <c:v>-10769.282270033971</c:v>
                </c:pt>
                <c:pt idx="148">
                  <c:v>-10756.430434625569</c:v>
                </c:pt>
                <c:pt idx="149">
                  <c:v>-10743.578599217166</c:v>
                </c:pt>
                <c:pt idx="150">
                  <c:v>-10730.726763808763</c:v>
                </c:pt>
                <c:pt idx="151">
                  <c:v>-10717.874928400361</c:v>
                </c:pt>
                <c:pt idx="152">
                  <c:v>-10705.023092991958</c:v>
                </c:pt>
                <c:pt idx="153">
                  <c:v>-10692.171257583555</c:v>
                </c:pt>
                <c:pt idx="154">
                  <c:v>-10679.319422175153</c:v>
                </c:pt>
                <c:pt idx="155">
                  <c:v>-10666.46758676675</c:v>
                </c:pt>
                <c:pt idx="156">
                  <c:v>-10653.615751358348</c:v>
                </c:pt>
                <c:pt idx="157">
                  <c:v>-10640.763915949945</c:v>
                </c:pt>
                <c:pt idx="158">
                  <c:v>-10627.912080541542</c:v>
                </c:pt>
                <c:pt idx="159">
                  <c:v>-10615.06024513314</c:v>
                </c:pt>
                <c:pt idx="160">
                  <c:v>-10602.208409724739</c:v>
                </c:pt>
                <c:pt idx="161">
                  <c:v>-10589.356574316336</c:v>
                </c:pt>
                <c:pt idx="162">
                  <c:v>-10576.504738907934</c:v>
                </c:pt>
                <c:pt idx="163">
                  <c:v>-10563.652903499531</c:v>
                </c:pt>
                <c:pt idx="164">
                  <c:v>-10550.801068091128</c:v>
                </c:pt>
                <c:pt idx="165">
                  <c:v>-10537.949232682726</c:v>
                </c:pt>
                <c:pt idx="166">
                  <c:v>-10525.097397274323</c:v>
                </c:pt>
                <c:pt idx="167">
                  <c:v>-10512.245561865921</c:v>
                </c:pt>
                <c:pt idx="168">
                  <c:v>-10499.393726457518</c:v>
                </c:pt>
                <c:pt idx="169">
                  <c:v>-10486.541891049115</c:v>
                </c:pt>
                <c:pt idx="170">
                  <c:v>-10473.690055640713</c:v>
                </c:pt>
                <c:pt idx="171">
                  <c:v>-10460.838220232312</c:v>
                </c:pt>
                <c:pt idx="172">
                  <c:v>-10447.986384823909</c:v>
                </c:pt>
                <c:pt idx="173">
                  <c:v>-10435.134549415507</c:v>
                </c:pt>
                <c:pt idx="174">
                  <c:v>-10422.282714007104</c:v>
                </c:pt>
                <c:pt idx="175">
                  <c:v>-10409.430878598701</c:v>
                </c:pt>
                <c:pt idx="176">
                  <c:v>-10396.579043190299</c:v>
                </c:pt>
                <c:pt idx="177">
                  <c:v>-10383.727207781896</c:v>
                </c:pt>
                <c:pt idx="178">
                  <c:v>-10370.875372373494</c:v>
                </c:pt>
                <c:pt idx="179">
                  <c:v>-10358.023536965091</c:v>
                </c:pt>
                <c:pt idx="180">
                  <c:v>-10345.171701556688</c:v>
                </c:pt>
                <c:pt idx="181">
                  <c:v>-10332.319866148286</c:v>
                </c:pt>
                <c:pt idx="182">
                  <c:v>-10319.468030739885</c:v>
                </c:pt>
                <c:pt idx="183">
                  <c:v>-10306.61619533148</c:v>
                </c:pt>
                <c:pt idx="184">
                  <c:v>-10293.76435992308</c:v>
                </c:pt>
                <c:pt idx="185">
                  <c:v>-10280.912524514677</c:v>
                </c:pt>
                <c:pt idx="186">
                  <c:v>-10268.060689106274</c:v>
                </c:pt>
                <c:pt idx="187">
                  <c:v>-10255.208853697872</c:v>
                </c:pt>
                <c:pt idx="188">
                  <c:v>-10242.357018289469</c:v>
                </c:pt>
                <c:pt idx="189">
                  <c:v>-10229.505182881067</c:v>
                </c:pt>
                <c:pt idx="190">
                  <c:v>-10216.653347472664</c:v>
                </c:pt>
                <c:pt idx="191">
                  <c:v>-10203.801512064261</c:v>
                </c:pt>
                <c:pt idx="192">
                  <c:v>-10190.949676655859</c:v>
                </c:pt>
                <c:pt idx="193">
                  <c:v>-10178.097841247456</c:v>
                </c:pt>
                <c:pt idx="194">
                  <c:v>-10165.246005839053</c:v>
                </c:pt>
                <c:pt idx="195">
                  <c:v>-10152.394170430653</c:v>
                </c:pt>
                <c:pt idx="196">
                  <c:v>-10139.542335022248</c:v>
                </c:pt>
                <c:pt idx="197">
                  <c:v>-10126.690499613847</c:v>
                </c:pt>
                <c:pt idx="198">
                  <c:v>-10113.838664205445</c:v>
                </c:pt>
                <c:pt idx="199">
                  <c:v>-10100.986828797042</c:v>
                </c:pt>
                <c:pt idx="200">
                  <c:v>-10088.134993388639</c:v>
                </c:pt>
                <c:pt idx="201">
                  <c:v>-10075.283157980237</c:v>
                </c:pt>
                <c:pt idx="202">
                  <c:v>-10062.431322571834</c:v>
                </c:pt>
                <c:pt idx="203">
                  <c:v>-10049.579487163432</c:v>
                </c:pt>
                <c:pt idx="204">
                  <c:v>-10036.727651755031</c:v>
                </c:pt>
                <c:pt idx="205">
                  <c:v>-10023.875816346626</c:v>
                </c:pt>
                <c:pt idx="206">
                  <c:v>-10011.023980938226</c:v>
                </c:pt>
                <c:pt idx="207">
                  <c:v>-9998.172145529823</c:v>
                </c:pt>
                <c:pt idx="208">
                  <c:v>-9985.3203101214203</c:v>
                </c:pt>
                <c:pt idx="209">
                  <c:v>-9972.4684747130177</c:v>
                </c:pt>
                <c:pt idx="210">
                  <c:v>-9959.6166393046151</c:v>
                </c:pt>
                <c:pt idx="211">
                  <c:v>-9946.7648038962125</c:v>
                </c:pt>
                <c:pt idx="212">
                  <c:v>-9933.9129684878098</c:v>
                </c:pt>
                <c:pt idx="213">
                  <c:v>-9921.0611330794072</c:v>
                </c:pt>
                <c:pt idx="214">
                  <c:v>-9908.2092976710046</c:v>
                </c:pt>
                <c:pt idx="215">
                  <c:v>-9895.357462262602</c:v>
                </c:pt>
                <c:pt idx="216">
                  <c:v>-9882.5056268541994</c:v>
                </c:pt>
                <c:pt idx="217">
                  <c:v>-9869.6537914457986</c:v>
                </c:pt>
                <c:pt idx="218">
                  <c:v>-9856.8019560373941</c:v>
                </c:pt>
                <c:pt idx="219">
                  <c:v>-9843.9501206289933</c:v>
                </c:pt>
                <c:pt idx="220">
                  <c:v>-9831.0982852205907</c:v>
                </c:pt>
                <c:pt idx="221">
                  <c:v>-9818.2464498121881</c:v>
                </c:pt>
                <c:pt idx="222">
                  <c:v>-9805.3946144037855</c:v>
                </c:pt>
                <c:pt idx="223">
                  <c:v>-9792.5427789953828</c:v>
                </c:pt>
                <c:pt idx="224">
                  <c:v>-9779.6909435869802</c:v>
                </c:pt>
                <c:pt idx="225">
                  <c:v>-9766.8391081785776</c:v>
                </c:pt>
                <c:pt idx="226">
                  <c:v>-9753.987272770175</c:v>
                </c:pt>
                <c:pt idx="227">
                  <c:v>-9741.1354373617723</c:v>
                </c:pt>
                <c:pt idx="228">
                  <c:v>-9728.2836019533697</c:v>
                </c:pt>
                <c:pt idx="229">
                  <c:v>-9715.4317665449671</c:v>
                </c:pt>
                <c:pt idx="230">
                  <c:v>-9702.5799311365663</c:v>
                </c:pt>
                <c:pt idx="231">
                  <c:v>-9689.7280957281619</c:v>
                </c:pt>
                <c:pt idx="232">
                  <c:v>-9676.8762603197611</c:v>
                </c:pt>
                <c:pt idx="233">
                  <c:v>-9664.0244249113584</c:v>
                </c:pt>
                <c:pt idx="234">
                  <c:v>-9651.1725895029558</c:v>
                </c:pt>
                <c:pt idx="235">
                  <c:v>-9638.3207540945532</c:v>
                </c:pt>
                <c:pt idx="236">
                  <c:v>-9625.4689186861506</c:v>
                </c:pt>
                <c:pt idx="237">
                  <c:v>-9612.617083277748</c:v>
                </c:pt>
                <c:pt idx="238">
                  <c:v>-9599.7652478693453</c:v>
                </c:pt>
                <c:pt idx="239">
                  <c:v>-9586.9134124609445</c:v>
                </c:pt>
                <c:pt idx="240">
                  <c:v>-9574.0615770525401</c:v>
                </c:pt>
                <c:pt idx="241">
                  <c:v>-9561.2097416441393</c:v>
                </c:pt>
                <c:pt idx="242">
                  <c:v>-9548.3579062357348</c:v>
                </c:pt>
                <c:pt idx="243">
                  <c:v>-9535.506070827334</c:v>
                </c:pt>
                <c:pt idx="244">
                  <c:v>-9522.6542354189314</c:v>
                </c:pt>
                <c:pt idx="245">
                  <c:v>-9509.8024000105288</c:v>
                </c:pt>
                <c:pt idx="246">
                  <c:v>-9496.9505646021262</c:v>
                </c:pt>
                <c:pt idx="247">
                  <c:v>-9484.0987291937236</c:v>
                </c:pt>
                <c:pt idx="248">
                  <c:v>-9471.2468937853209</c:v>
                </c:pt>
                <c:pt idx="249">
                  <c:v>-9458.3950583769183</c:v>
                </c:pt>
                <c:pt idx="250">
                  <c:v>-9445.5432229685157</c:v>
                </c:pt>
                <c:pt idx="251">
                  <c:v>-9432.6913875601131</c:v>
                </c:pt>
                <c:pt idx="252">
                  <c:v>-9419.8395521517123</c:v>
                </c:pt>
                <c:pt idx="253">
                  <c:v>-9406.9877167433078</c:v>
                </c:pt>
                <c:pt idx="254">
                  <c:v>-9394.135881334907</c:v>
                </c:pt>
                <c:pt idx="255">
                  <c:v>-9381.2840459265044</c:v>
                </c:pt>
                <c:pt idx="256">
                  <c:v>-9368.4322105181018</c:v>
                </c:pt>
                <c:pt idx="257">
                  <c:v>-9355.5803751096992</c:v>
                </c:pt>
                <c:pt idx="258">
                  <c:v>-9342.7285397012965</c:v>
                </c:pt>
                <c:pt idx="259">
                  <c:v>-9329.8767042928939</c:v>
                </c:pt>
                <c:pt idx="260">
                  <c:v>-9317.0248688844913</c:v>
                </c:pt>
                <c:pt idx="261">
                  <c:v>-9304.1730334760887</c:v>
                </c:pt>
                <c:pt idx="262">
                  <c:v>-9291.3211980676861</c:v>
                </c:pt>
                <c:pt idx="263">
                  <c:v>-9278.4693626592834</c:v>
                </c:pt>
                <c:pt idx="264">
                  <c:v>-9265.6175272508808</c:v>
                </c:pt>
                <c:pt idx="265">
                  <c:v>-9252.76569184248</c:v>
                </c:pt>
                <c:pt idx="266">
                  <c:v>-9239.9138564340756</c:v>
                </c:pt>
                <c:pt idx="267">
                  <c:v>-9227.0620210256748</c:v>
                </c:pt>
                <c:pt idx="268">
                  <c:v>-9214.2101856172721</c:v>
                </c:pt>
                <c:pt idx="269">
                  <c:v>-9201.3583502088695</c:v>
                </c:pt>
                <c:pt idx="270">
                  <c:v>-9188.5065148004669</c:v>
                </c:pt>
                <c:pt idx="271">
                  <c:v>-9175.6546793920643</c:v>
                </c:pt>
                <c:pt idx="272">
                  <c:v>-9162.8028439836617</c:v>
                </c:pt>
                <c:pt idx="273">
                  <c:v>-9149.951008575259</c:v>
                </c:pt>
                <c:pt idx="274">
                  <c:v>-9137.0991731668564</c:v>
                </c:pt>
                <c:pt idx="275">
                  <c:v>-9124.2473377584538</c:v>
                </c:pt>
                <c:pt idx="276">
                  <c:v>-9111.3955023500512</c:v>
                </c:pt>
                <c:pt idx="277">
                  <c:v>-9098.5436669416486</c:v>
                </c:pt>
                <c:pt idx="278">
                  <c:v>-9085.6918315332478</c:v>
                </c:pt>
                <c:pt idx="279">
                  <c:v>-9072.8399961248433</c:v>
                </c:pt>
                <c:pt idx="280">
                  <c:v>-9059.9881607164425</c:v>
                </c:pt>
                <c:pt idx="281">
                  <c:v>-9047.1363253080399</c:v>
                </c:pt>
                <c:pt idx="282">
                  <c:v>-9034.2844898996373</c:v>
                </c:pt>
                <c:pt idx="283">
                  <c:v>-9021.4326544912346</c:v>
                </c:pt>
                <c:pt idx="284">
                  <c:v>-9008.580819082832</c:v>
                </c:pt>
                <c:pt idx="285">
                  <c:v>-8995.7289836744312</c:v>
                </c:pt>
                <c:pt idx="286">
                  <c:v>-8982.8771482660268</c:v>
                </c:pt>
                <c:pt idx="287">
                  <c:v>-8970.025312857626</c:v>
                </c:pt>
                <c:pt idx="288">
                  <c:v>-8957.1734774492234</c:v>
                </c:pt>
                <c:pt idx="289">
                  <c:v>-8944.3216420408207</c:v>
                </c:pt>
                <c:pt idx="290">
                  <c:v>-8931.4698066324181</c:v>
                </c:pt>
                <c:pt idx="291">
                  <c:v>-8918.6179712240155</c:v>
                </c:pt>
                <c:pt idx="292">
                  <c:v>-8905.7661358156129</c:v>
                </c:pt>
                <c:pt idx="293">
                  <c:v>-8892.9143004072102</c:v>
                </c:pt>
                <c:pt idx="294">
                  <c:v>-8880.0624649988076</c:v>
                </c:pt>
                <c:pt idx="295">
                  <c:v>-8867.210629590405</c:v>
                </c:pt>
                <c:pt idx="296">
                  <c:v>-8854.3587941820024</c:v>
                </c:pt>
                <c:pt idx="297">
                  <c:v>-8841.5069587735998</c:v>
                </c:pt>
                <c:pt idx="298">
                  <c:v>-8828.655123365199</c:v>
                </c:pt>
                <c:pt idx="299">
                  <c:v>-8815.8032879567945</c:v>
                </c:pt>
                <c:pt idx="300">
                  <c:v>-8802.9514525483937</c:v>
                </c:pt>
                <c:pt idx="301">
                  <c:v>-8790.0996171399911</c:v>
                </c:pt>
                <c:pt idx="302">
                  <c:v>-8777.2477817315885</c:v>
                </c:pt>
                <c:pt idx="303">
                  <c:v>-8764.3959463231859</c:v>
                </c:pt>
                <c:pt idx="304">
                  <c:v>-8751.5441109147832</c:v>
                </c:pt>
                <c:pt idx="305">
                  <c:v>-8738.6922755063806</c:v>
                </c:pt>
                <c:pt idx="306">
                  <c:v>-8725.840440097978</c:v>
                </c:pt>
                <c:pt idx="307">
                  <c:v>-8712.9886046895754</c:v>
                </c:pt>
                <c:pt idx="308">
                  <c:v>-8700.1367692811727</c:v>
                </c:pt>
                <c:pt idx="309">
                  <c:v>-8687.2849338727701</c:v>
                </c:pt>
                <c:pt idx="310">
                  <c:v>-8674.4330984643675</c:v>
                </c:pt>
                <c:pt idx="311">
                  <c:v>-8661.5812630559667</c:v>
                </c:pt>
                <c:pt idx="312">
                  <c:v>-8648.7294276475623</c:v>
                </c:pt>
                <c:pt idx="313">
                  <c:v>-8635.8775922391615</c:v>
                </c:pt>
                <c:pt idx="314">
                  <c:v>-8623.0257568307588</c:v>
                </c:pt>
                <c:pt idx="315">
                  <c:v>-8610.1739214223562</c:v>
                </c:pt>
                <c:pt idx="316">
                  <c:v>-8597.3220860139536</c:v>
                </c:pt>
                <c:pt idx="317">
                  <c:v>-8584.470250605551</c:v>
                </c:pt>
                <c:pt idx="318">
                  <c:v>-8571.6184151971484</c:v>
                </c:pt>
                <c:pt idx="319">
                  <c:v>-8558.7665797887457</c:v>
                </c:pt>
                <c:pt idx="320">
                  <c:v>-8545.9147443803431</c:v>
                </c:pt>
                <c:pt idx="321">
                  <c:v>-8533.0629089719405</c:v>
                </c:pt>
                <c:pt idx="322">
                  <c:v>-8520.2110735635397</c:v>
                </c:pt>
                <c:pt idx="323">
                  <c:v>-8507.3592381551352</c:v>
                </c:pt>
                <c:pt idx="324">
                  <c:v>-8494.5074027467344</c:v>
                </c:pt>
                <c:pt idx="325">
                  <c:v>-8481.65556733833</c:v>
                </c:pt>
                <c:pt idx="326">
                  <c:v>-8468.8037319299292</c:v>
                </c:pt>
                <c:pt idx="327">
                  <c:v>-8455.9518965215248</c:v>
                </c:pt>
                <c:pt idx="328">
                  <c:v>-8443.100061113124</c:v>
                </c:pt>
                <c:pt idx="329">
                  <c:v>-8430.2482257047213</c:v>
                </c:pt>
                <c:pt idx="330">
                  <c:v>-8417.3963902963187</c:v>
                </c:pt>
                <c:pt idx="331">
                  <c:v>-8404.5445548879161</c:v>
                </c:pt>
                <c:pt idx="332">
                  <c:v>-8391.6927194795135</c:v>
                </c:pt>
                <c:pt idx="333">
                  <c:v>-8378.8408840711108</c:v>
                </c:pt>
                <c:pt idx="334">
                  <c:v>-8365.9890486627082</c:v>
                </c:pt>
                <c:pt idx="335">
                  <c:v>-8353.1372132543074</c:v>
                </c:pt>
                <c:pt idx="336">
                  <c:v>-8340.285377845903</c:v>
                </c:pt>
                <c:pt idx="337">
                  <c:v>-8327.4335424375022</c:v>
                </c:pt>
                <c:pt idx="338">
                  <c:v>-8314.5817070290977</c:v>
                </c:pt>
                <c:pt idx="339">
                  <c:v>-8301.7298716206969</c:v>
                </c:pt>
                <c:pt idx="340">
                  <c:v>-8288.8780362122925</c:v>
                </c:pt>
                <c:pt idx="341">
                  <c:v>-8276.0262008038917</c:v>
                </c:pt>
                <c:pt idx="342">
                  <c:v>-8263.1743653954891</c:v>
                </c:pt>
                <c:pt idx="343">
                  <c:v>-8250.3225299870865</c:v>
                </c:pt>
                <c:pt idx="344">
                  <c:v>-8237.4706945786857</c:v>
                </c:pt>
                <c:pt idx="345">
                  <c:v>-8224.6188591702812</c:v>
                </c:pt>
                <c:pt idx="346">
                  <c:v>-8211.7670237618804</c:v>
                </c:pt>
                <c:pt idx="347">
                  <c:v>-8198.915188353476</c:v>
                </c:pt>
                <c:pt idx="348">
                  <c:v>-8186.0633529450743</c:v>
                </c:pt>
                <c:pt idx="349">
                  <c:v>-8173.2115175366725</c:v>
                </c:pt>
                <c:pt idx="350">
                  <c:v>-8160.3596821282699</c:v>
                </c:pt>
                <c:pt idx="351">
                  <c:v>-8147.5078467198673</c:v>
                </c:pt>
                <c:pt idx="352">
                  <c:v>-8134.6560113114647</c:v>
                </c:pt>
                <c:pt idx="353">
                  <c:v>-8121.8041759030621</c:v>
                </c:pt>
                <c:pt idx="354">
                  <c:v>-8108.9523404946594</c:v>
                </c:pt>
                <c:pt idx="355">
                  <c:v>-8096.1005050862577</c:v>
                </c:pt>
                <c:pt idx="356">
                  <c:v>-8083.2486696778551</c:v>
                </c:pt>
                <c:pt idx="357">
                  <c:v>-8070.3968342694525</c:v>
                </c:pt>
                <c:pt idx="358">
                  <c:v>-8057.5449988610499</c:v>
                </c:pt>
                <c:pt idx="359">
                  <c:v>-8044.6931634526472</c:v>
                </c:pt>
                <c:pt idx="360">
                  <c:v>-8031.8413280442446</c:v>
                </c:pt>
                <c:pt idx="361">
                  <c:v>-8018.9894926358429</c:v>
                </c:pt>
                <c:pt idx="362">
                  <c:v>-8006.1376572274403</c:v>
                </c:pt>
                <c:pt idx="363">
                  <c:v>-7993.2858218190377</c:v>
                </c:pt>
                <c:pt idx="364">
                  <c:v>-7980.433986410635</c:v>
                </c:pt>
                <c:pt idx="365">
                  <c:v>-7967.5821510022324</c:v>
                </c:pt>
                <c:pt idx="366">
                  <c:v>-7954.7303155938298</c:v>
                </c:pt>
                <c:pt idx="367">
                  <c:v>-7941.8784801854272</c:v>
                </c:pt>
                <c:pt idx="368">
                  <c:v>-7929.0266447770255</c:v>
                </c:pt>
                <c:pt idx="369">
                  <c:v>-7916.1748093686228</c:v>
                </c:pt>
                <c:pt idx="370">
                  <c:v>-7903.3229739602202</c:v>
                </c:pt>
                <c:pt idx="371">
                  <c:v>-7890.4711385518176</c:v>
                </c:pt>
                <c:pt idx="372">
                  <c:v>-7877.619303143415</c:v>
                </c:pt>
                <c:pt idx="373">
                  <c:v>-7864.7674677350124</c:v>
                </c:pt>
                <c:pt idx="374">
                  <c:v>-7851.9156323266106</c:v>
                </c:pt>
                <c:pt idx="375">
                  <c:v>-7839.063796918208</c:v>
                </c:pt>
                <c:pt idx="376">
                  <c:v>-7826.2119615098054</c:v>
                </c:pt>
                <c:pt idx="377">
                  <c:v>-7813.3601261014028</c:v>
                </c:pt>
                <c:pt idx="378">
                  <c:v>-7800.5082906930002</c:v>
                </c:pt>
                <c:pt idx="379">
                  <c:v>-7787.6564552845975</c:v>
                </c:pt>
                <c:pt idx="380">
                  <c:v>-7774.8046198761958</c:v>
                </c:pt>
                <c:pt idx="381">
                  <c:v>-7761.9527844677932</c:v>
                </c:pt>
                <c:pt idx="382">
                  <c:v>-7749.1009490593906</c:v>
                </c:pt>
                <c:pt idx="383">
                  <c:v>-7736.249113650988</c:v>
                </c:pt>
                <c:pt idx="384">
                  <c:v>-7723.3972782425853</c:v>
                </c:pt>
                <c:pt idx="385">
                  <c:v>-7710.5454428341827</c:v>
                </c:pt>
                <c:pt idx="386">
                  <c:v>-7697.6936074257801</c:v>
                </c:pt>
                <c:pt idx="387">
                  <c:v>-7684.8417720173784</c:v>
                </c:pt>
                <c:pt idx="388">
                  <c:v>-7671.9899366089758</c:v>
                </c:pt>
                <c:pt idx="389">
                  <c:v>-7659.1381012005731</c:v>
                </c:pt>
                <c:pt idx="390">
                  <c:v>-7646.2862657921705</c:v>
                </c:pt>
                <c:pt idx="391">
                  <c:v>-7633.4344303837679</c:v>
                </c:pt>
                <c:pt idx="392">
                  <c:v>-7620.5825949753653</c:v>
                </c:pt>
                <c:pt idx="393">
                  <c:v>-7607.7307595669636</c:v>
                </c:pt>
                <c:pt idx="394">
                  <c:v>-7594.8789241585609</c:v>
                </c:pt>
                <c:pt idx="395">
                  <c:v>-7582.0270887501583</c:v>
                </c:pt>
                <c:pt idx="396">
                  <c:v>-7569.1752533417557</c:v>
                </c:pt>
                <c:pt idx="397">
                  <c:v>-7556.3234179333531</c:v>
                </c:pt>
                <c:pt idx="398">
                  <c:v>-7543.4715825249505</c:v>
                </c:pt>
                <c:pt idx="399">
                  <c:v>-7530.6197471165488</c:v>
                </c:pt>
                <c:pt idx="400">
                  <c:v>-7517.7679117081461</c:v>
                </c:pt>
                <c:pt idx="401">
                  <c:v>-7504.9160762997435</c:v>
                </c:pt>
                <c:pt idx="402">
                  <c:v>-7492.0642408913409</c:v>
                </c:pt>
                <c:pt idx="403">
                  <c:v>-7479.2124054829383</c:v>
                </c:pt>
                <c:pt idx="404">
                  <c:v>-7466.3605700745356</c:v>
                </c:pt>
                <c:pt idx="405">
                  <c:v>-7453.508734666133</c:v>
                </c:pt>
                <c:pt idx="406">
                  <c:v>-7440.6568992577313</c:v>
                </c:pt>
                <c:pt idx="407">
                  <c:v>-7427.8050638493296</c:v>
                </c:pt>
                <c:pt idx="408">
                  <c:v>-7414.953228440927</c:v>
                </c:pt>
                <c:pt idx="409">
                  <c:v>-7402.1013930325244</c:v>
                </c:pt>
                <c:pt idx="410">
                  <c:v>-7389.2495576241217</c:v>
                </c:pt>
                <c:pt idx="411">
                  <c:v>-7376.3977222157191</c:v>
                </c:pt>
                <c:pt idx="412">
                  <c:v>-7363.5458868073165</c:v>
                </c:pt>
                <c:pt idx="413">
                  <c:v>-7350.6940513989148</c:v>
                </c:pt>
                <c:pt idx="414">
                  <c:v>-7337.8422159905122</c:v>
                </c:pt>
                <c:pt idx="415">
                  <c:v>-7324.9903805821095</c:v>
                </c:pt>
                <c:pt idx="416">
                  <c:v>-7312.1385451737069</c:v>
                </c:pt>
                <c:pt idx="417">
                  <c:v>-7299.2867097653043</c:v>
                </c:pt>
                <c:pt idx="418">
                  <c:v>-7286.4348743569017</c:v>
                </c:pt>
                <c:pt idx="419">
                  <c:v>-7273.5830389484991</c:v>
                </c:pt>
                <c:pt idx="420">
                  <c:v>-7260.7312035400973</c:v>
                </c:pt>
                <c:pt idx="421">
                  <c:v>-7247.8793681316947</c:v>
                </c:pt>
                <c:pt idx="422">
                  <c:v>-7235.0275327232921</c:v>
                </c:pt>
                <c:pt idx="423">
                  <c:v>-7222.1756973148895</c:v>
                </c:pt>
                <c:pt idx="424">
                  <c:v>-7209.3238619064869</c:v>
                </c:pt>
                <c:pt idx="425">
                  <c:v>-7196.4720264980842</c:v>
                </c:pt>
                <c:pt idx="426">
                  <c:v>-7183.6201910896825</c:v>
                </c:pt>
                <c:pt idx="427">
                  <c:v>-7170.7683556812799</c:v>
                </c:pt>
                <c:pt idx="428">
                  <c:v>-7157.9165202728773</c:v>
                </c:pt>
                <c:pt idx="429">
                  <c:v>-7145.0646848644747</c:v>
                </c:pt>
                <c:pt idx="430">
                  <c:v>-7132.212849456072</c:v>
                </c:pt>
                <c:pt idx="431">
                  <c:v>-7119.3610140476694</c:v>
                </c:pt>
                <c:pt idx="432">
                  <c:v>-7106.5091786392677</c:v>
                </c:pt>
                <c:pt idx="433">
                  <c:v>-7093.6573432308651</c:v>
                </c:pt>
                <c:pt idx="434">
                  <c:v>-7080.8055078224625</c:v>
                </c:pt>
                <c:pt idx="435">
                  <c:v>-7067.9536724140598</c:v>
                </c:pt>
                <c:pt idx="436">
                  <c:v>-7055.1018370056572</c:v>
                </c:pt>
                <c:pt idx="437">
                  <c:v>-7042.2500015972546</c:v>
                </c:pt>
                <c:pt idx="438">
                  <c:v>-7029.398166188852</c:v>
                </c:pt>
                <c:pt idx="439">
                  <c:v>-7016.5463307804503</c:v>
                </c:pt>
                <c:pt idx="440">
                  <c:v>-7003.6944953720476</c:v>
                </c:pt>
                <c:pt idx="441">
                  <c:v>-6990.842659963645</c:v>
                </c:pt>
                <c:pt idx="442">
                  <c:v>-6977.9908245552424</c:v>
                </c:pt>
                <c:pt idx="443">
                  <c:v>-6965.1389891468398</c:v>
                </c:pt>
                <c:pt idx="444">
                  <c:v>-6952.2871537384372</c:v>
                </c:pt>
                <c:pt idx="445">
                  <c:v>-6939.4353183300354</c:v>
                </c:pt>
                <c:pt idx="446">
                  <c:v>-6926.5834829216328</c:v>
                </c:pt>
                <c:pt idx="447">
                  <c:v>-6913.7316475132302</c:v>
                </c:pt>
                <c:pt idx="448">
                  <c:v>-6900.8798121048276</c:v>
                </c:pt>
                <c:pt idx="449">
                  <c:v>-6888.027976696425</c:v>
                </c:pt>
                <c:pt idx="450">
                  <c:v>-6875.1761412880223</c:v>
                </c:pt>
                <c:pt idx="451">
                  <c:v>-6862.3243058796206</c:v>
                </c:pt>
                <c:pt idx="452">
                  <c:v>-6849.472470471218</c:v>
                </c:pt>
                <c:pt idx="453">
                  <c:v>-6836.6206350628154</c:v>
                </c:pt>
                <c:pt idx="454">
                  <c:v>-6823.7687996544128</c:v>
                </c:pt>
                <c:pt idx="455">
                  <c:v>-6810.9169642460101</c:v>
                </c:pt>
                <c:pt idx="456">
                  <c:v>-6798.0651288376075</c:v>
                </c:pt>
                <c:pt idx="457">
                  <c:v>-6785.2132934292049</c:v>
                </c:pt>
                <c:pt idx="458">
                  <c:v>-6772.3614580208032</c:v>
                </c:pt>
                <c:pt idx="459">
                  <c:v>-6759.5096226124006</c:v>
                </c:pt>
                <c:pt idx="460">
                  <c:v>-6746.6577872039979</c:v>
                </c:pt>
                <c:pt idx="461">
                  <c:v>-6733.8059517955953</c:v>
                </c:pt>
                <c:pt idx="462">
                  <c:v>-6720.9541163871927</c:v>
                </c:pt>
                <c:pt idx="463">
                  <c:v>-6708.1022809787901</c:v>
                </c:pt>
                <c:pt idx="464">
                  <c:v>-6695.2504455703884</c:v>
                </c:pt>
                <c:pt idx="465">
                  <c:v>-6682.3986101619857</c:v>
                </c:pt>
                <c:pt idx="466">
                  <c:v>-6669.5467747535831</c:v>
                </c:pt>
                <c:pt idx="467">
                  <c:v>-6656.6949393451805</c:v>
                </c:pt>
                <c:pt idx="468">
                  <c:v>-6643.8431039367779</c:v>
                </c:pt>
                <c:pt idx="469">
                  <c:v>-6630.9912685283762</c:v>
                </c:pt>
                <c:pt idx="470">
                  <c:v>-6618.1394331199735</c:v>
                </c:pt>
                <c:pt idx="471">
                  <c:v>-6605.2875977115709</c:v>
                </c:pt>
                <c:pt idx="472">
                  <c:v>-6592.4357623031692</c:v>
                </c:pt>
                <c:pt idx="473">
                  <c:v>-6579.5839268947666</c:v>
                </c:pt>
                <c:pt idx="474">
                  <c:v>-6566.732091486364</c:v>
                </c:pt>
                <c:pt idx="475">
                  <c:v>-6553.8802560779613</c:v>
                </c:pt>
                <c:pt idx="476">
                  <c:v>-6541.0284206695587</c:v>
                </c:pt>
                <c:pt idx="477">
                  <c:v>-6528.1765852611561</c:v>
                </c:pt>
                <c:pt idx="478">
                  <c:v>-6515.3247498527544</c:v>
                </c:pt>
                <c:pt idx="479">
                  <c:v>-6502.4729144443518</c:v>
                </c:pt>
                <c:pt idx="480">
                  <c:v>-6489.6210790359492</c:v>
                </c:pt>
                <c:pt idx="481">
                  <c:v>-6476.7692436275465</c:v>
                </c:pt>
                <c:pt idx="482">
                  <c:v>-6463.9174082191439</c:v>
                </c:pt>
                <c:pt idx="483">
                  <c:v>-6451.0655728107413</c:v>
                </c:pt>
                <c:pt idx="484">
                  <c:v>-6438.2137374023387</c:v>
                </c:pt>
                <c:pt idx="485">
                  <c:v>-6425.361901993937</c:v>
                </c:pt>
                <c:pt idx="486">
                  <c:v>-6412.5100665855343</c:v>
                </c:pt>
                <c:pt idx="487">
                  <c:v>-6399.6582311771317</c:v>
                </c:pt>
                <c:pt idx="488">
                  <c:v>-6386.8063957687291</c:v>
                </c:pt>
                <c:pt idx="489">
                  <c:v>-6373.9545603603265</c:v>
                </c:pt>
                <c:pt idx="490">
                  <c:v>-6361.1027249519238</c:v>
                </c:pt>
                <c:pt idx="491">
                  <c:v>-6348.2508895435221</c:v>
                </c:pt>
                <c:pt idx="492">
                  <c:v>-6335.3990541351195</c:v>
                </c:pt>
                <c:pt idx="493">
                  <c:v>-6322.5472187267169</c:v>
                </c:pt>
                <c:pt idx="494">
                  <c:v>-6309.6953833183143</c:v>
                </c:pt>
                <c:pt idx="495">
                  <c:v>-6296.8435479099116</c:v>
                </c:pt>
                <c:pt idx="496">
                  <c:v>-6283.991712501509</c:v>
                </c:pt>
                <c:pt idx="497">
                  <c:v>-6271.1398770931073</c:v>
                </c:pt>
                <c:pt idx="498">
                  <c:v>-6258.2880416847047</c:v>
                </c:pt>
                <c:pt idx="499">
                  <c:v>-6245.4362062763021</c:v>
                </c:pt>
                <c:pt idx="500">
                  <c:v>-6232.5843708678995</c:v>
                </c:pt>
                <c:pt idx="501">
                  <c:v>-6219.7325354594968</c:v>
                </c:pt>
                <c:pt idx="502">
                  <c:v>-6206.8807000510942</c:v>
                </c:pt>
                <c:pt idx="503">
                  <c:v>-6194.0288646426916</c:v>
                </c:pt>
                <c:pt idx="504">
                  <c:v>-6181.1770292342899</c:v>
                </c:pt>
                <c:pt idx="505">
                  <c:v>-6168.3251938258873</c:v>
                </c:pt>
                <c:pt idx="506">
                  <c:v>-6155.4733584174846</c:v>
                </c:pt>
                <c:pt idx="507">
                  <c:v>-6142.621523009082</c:v>
                </c:pt>
                <c:pt idx="508">
                  <c:v>-6129.7696876006794</c:v>
                </c:pt>
                <c:pt idx="509">
                  <c:v>-6116.9178521922768</c:v>
                </c:pt>
                <c:pt idx="510">
                  <c:v>-6104.0660167838751</c:v>
                </c:pt>
                <c:pt idx="511">
                  <c:v>-6091.2141813754724</c:v>
                </c:pt>
                <c:pt idx="512">
                  <c:v>-6078.3623459670698</c:v>
                </c:pt>
                <c:pt idx="513">
                  <c:v>-6065.5105105586672</c:v>
                </c:pt>
                <c:pt idx="514">
                  <c:v>-6052.6586751502646</c:v>
                </c:pt>
                <c:pt idx="515">
                  <c:v>-6039.8068397418619</c:v>
                </c:pt>
                <c:pt idx="516">
                  <c:v>-6026.9550043334602</c:v>
                </c:pt>
                <c:pt idx="517">
                  <c:v>-6014.1031689250576</c:v>
                </c:pt>
                <c:pt idx="518">
                  <c:v>-6001.251333516655</c:v>
                </c:pt>
                <c:pt idx="519">
                  <c:v>-5988.3994981082524</c:v>
                </c:pt>
                <c:pt idx="520">
                  <c:v>-5975.5476626998498</c:v>
                </c:pt>
                <c:pt idx="521">
                  <c:v>-5962.6958272914471</c:v>
                </c:pt>
                <c:pt idx="522">
                  <c:v>-5949.8439918830445</c:v>
                </c:pt>
                <c:pt idx="523">
                  <c:v>-5936.9921564746428</c:v>
                </c:pt>
                <c:pt idx="524">
                  <c:v>-5924.1403210662402</c:v>
                </c:pt>
                <c:pt idx="525">
                  <c:v>-5911.2884856578376</c:v>
                </c:pt>
                <c:pt idx="526">
                  <c:v>-5898.4366502494349</c:v>
                </c:pt>
                <c:pt idx="527">
                  <c:v>-5885.5848148410323</c:v>
                </c:pt>
                <c:pt idx="528">
                  <c:v>-5872.7329794326297</c:v>
                </c:pt>
                <c:pt idx="529">
                  <c:v>-5859.881144024228</c:v>
                </c:pt>
                <c:pt idx="530">
                  <c:v>-5847.0293086158254</c:v>
                </c:pt>
                <c:pt idx="531">
                  <c:v>-5834.1774732074227</c:v>
                </c:pt>
                <c:pt idx="532">
                  <c:v>-5821.3256377990201</c:v>
                </c:pt>
                <c:pt idx="533">
                  <c:v>-5808.4738023906175</c:v>
                </c:pt>
                <c:pt idx="534">
                  <c:v>-5795.6219669822149</c:v>
                </c:pt>
                <c:pt idx="535">
                  <c:v>-5782.7701315738132</c:v>
                </c:pt>
                <c:pt idx="536">
                  <c:v>-5769.9182961654105</c:v>
                </c:pt>
                <c:pt idx="537">
                  <c:v>-5757.0664607570079</c:v>
                </c:pt>
                <c:pt idx="538">
                  <c:v>-5744.2146253486053</c:v>
                </c:pt>
                <c:pt idx="539">
                  <c:v>-5731.3627899402027</c:v>
                </c:pt>
                <c:pt idx="540">
                  <c:v>-5718.5109545318001</c:v>
                </c:pt>
                <c:pt idx="541">
                  <c:v>-5705.6591191233974</c:v>
                </c:pt>
                <c:pt idx="542">
                  <c:v>-5692.8072837149957</c:v>
                </c:pt>
                <c:pt idx="543">
                  <c:v>-5679.9554483065931</c:v>
                </c:pt>
                <c:pt idx="544">
                  <c:v>-5667.1036128981905</c:v>
                </c:pt>
                <c:pt idx="545">
                  <c:v>-5654.2517774897879</c:v>
                </c:pt>
                <c:pt idx="546">
                  <c:v>-5641.3999420813852</c:v>
                </c:pt>
                <c:pt idx="547">
                  <c:v>-5628.5481066729826</c:v>
                </c:pt>
                <c:pt idx="548">
                  <c:v>-5615.6962712645809</c:v>
                </c:pt>
                <c:pt idx="549">
                  <c:v>-5602.8444358561783</c:v>
                </c:pt>
                <c:pt idx="550">
                  <c:v>-5589.9926004477757</c:v>
                </c:pt>
                <c:pt idx="551">
                  <c:v>-5577.140765039373</c:v>
                </c:pt>
                <c:pt idx="552">
                  <c:v>-5564.2889296309704</c:v>
                </c:pt>
                <c:pt idx="553">
                  <c:v>-5551.4370942225678</c:v>
                </c:pt>
                <c:pt idx="554">
                  <c:v>-5538.5852588141661</c:v>
                </c:pt>
                <c:pt idx="555">
                  <c:v>-5525.7334234057635</c:v>
                </c:pt>
                <c:pt idx="556">
                  <c:v>-5512.8815879973608</c:v>
                </c:pt>
                <c:pt idx="557">
                  <c:v>-5500.0297525889582</c:v>
                </c:pt>
                <c:pt idx="558">
                  <c:v>-5487.1779171805556</c:v>
                </c:pt>
                <c:pt idx="559">
                  <c:v>-5474.326081772153</c:v>
                </c:pt>
                <c:pt idx="560">
                  <c:v>-5461.4742463637504</c:v>
                </c:pt>
                <c:pt idx="561">
                  <c:v>-5448.6224109553486</c:v>
                </c:pt>
                <c:pt idx="562">
                  <c:v>-5435.770575546946</c:v>
                </c:pt>
                <c:pt idx="563">
                  <c:v>-5422.9187401385443</c:v>
                </c:pt>
                <c:pt idx="564">
                  <c:v>-5410.0669047301426</c:v>
                </c:pt>
                <c:pt idx="565">
                  <c:v>-5397.21506932174</c:v>
                </c:pt>
                <c:pt idx="566">
                  <c:v>-5384.3632339133374</c:v>
                </c:pt>
                <c:pt idx="567">
                  <c:v>-5371.5113985049347</c:v>
                </c:pt>
                <c:pt idx="568">
                  <c:v>-5358.6595630965321</c:v>
                </c:pt>
                <c:pt idx="569">
                  <c:v>-5345.8077276881295</c:v>
                </c:pt>
                <c:pt idx="570">
                  <c:v>-5332.9558922797278</c:v>
                </c:pt>
                <c:pt idx="571">
                  <c:v>-5320.1040568713252</c:v>
                </c:pt>
                <c:pt idx="572">
                  <c:v>-5307.2522214629225</c:v>
                </c:pt>
                <c:pt idx="573">
                  <c:v>-5294.4003860545199</c:v>
                </c:pt>
                <c:pt idx="574">
                  <c:v>-5281.5485506461173</c:v>
                </c:pt>
                <c:pt idx="575">
                  <c:v>-5268.6967152377147</c:v>
                </c:pt>
                <c:pt idx="576">
                  <c:v>-5255.844879829313</c:v>
                </c:pt>
                <c:pt idx="577">
                  <c:v>-5242.9930444209103</c:v>
                </c:pt>
                <c:pt idx="578">
                  <c:v>-5230.1412090125077</c:v>
                </c:pt>
                <c:pt idx="579">
                  <c:v>-5217.2893736041051</c:v>
                </c:pt>
                <c:pt idx="580">
                  <c:v>-5204.4375381957025</c:v>
                </c:pt>
                <c:pt idx="581">
                  <c:v>-5191.5857027872999</c:v>
                </c:pt>
                <c:pt idx="582">
                  <c:v>-5178.7338673788972</c:v>
                </c:pt>
                <c:pt idx="583">
                  <c:v>-5165.8820319704955</c:v>
                </c:pt>
                <c:pt idx="584">
                  <c:v>-5153.0301965620929</c:v>
                </c:pt>
                <c:pt idx="585">
                  <c:v>-5140.1783611536903</c:v>
                </c:pt>
                <c:pt idx="586">
                  <c:v>-5127.3265257452877</c:v>
                </c:pt>
                <c:pt idx="587">
                  <c:v>-5114.474690336885</c:v>
                </c:pt>
                <c:pt idx="588">
                  <c:v>-5101.6228549284824</c:v>
                </c:pt>
                <c:pt idx="589">
                  <c:v>-5088.7710195200807</c:v>
                </c:pt>
                <c:pt idx="590">
                  <c:v>-5075.9191841116781</c:v>
                </c:pt>
                <c:pt idx="591">
                  <c:v>-5063.0673487032755</c:v>
                </c:pt>
                <c:pt idx="592">
                  <c:v>-5050.2155132948728</c:v>
                </c:pt>
                <c:pt idx="593">
                  <c:v>-5037.3636778864702</c:v>
                </c:pt>
                <c:pt idx="594">
                  <c:v>-5024.5118424780676</c:v>
                </c:pt>
                <c:pt idx="595">
                  <c:v>-5011.6600070696659</c:v>
                </c:pt>
                <c:pt idx="596">
                  <c:v>-4998.8081716612633</c:v>
                </c:pt>
                <c:pt idx="597">
                  <c:v>-4985.9563362528606</c:v>
                </c:pt>
                <c:pt idx="598">
                  <c:v>-4973.104500844458</c:v>
                </c:pt>
                <c:pt idx="599">
                  <c:v>-4960.2526654360554</c:v>
                </c:pt>
                <c:pt idx="600">
                  <c:v>-4947.4008300276528</c:v>
                </c:pt>
                <c:pt idx="601">
                  <c:v>-4934.5489946192502</c:v>
                </c:pt>
                <c:pt idx="602">
                  <c:v>-4921.6971592108484</c:v>
                </c:pt>
                <c:pt idx="603">
                  <c:v>-4908.8453238024458</c:v>
                </c:pt>
                <c:pt idx="604">
                  <c:v>-4895.9934883940432</c:v>
                </c:pt>
                <c:pt idx="605">
                  <c:v>-4883.1416529856406</c:v>
                </c:pt>
                <c:pt idx="606">
                  <c:v>-4870.289817577238</c:v>
                </c:pt>
                <c:pt idx="607">
                  <c:v>-4857.4379821688353</c:v>
                </c:pt>
                <c:pt idx="608">
                  <c:v>-4844.5861467604336</c:v>
                </c:pt>
                <c:pt idx="609">
                  <c:v>-4831.734311352031</c:v>
                </c:pt>
                <c:pt idx="610">
                  <c:v>-4818.8824759436284</c:v>
                </c:pt>
                <c:pt idx="611">
                  <c:v>-4806.0306405352258</c:v>
                </c:pt>
                <c:pt idx="612">
                  <c:v>-4793.1788051268231</c:v>
                </c:pt>
                <c:pt idx="613">
                  <c:v>-4780.3269697184205</c:v>
                </c:pt>
                <c:pt idx="614">
                  <c:v>-4767.4751343100188</c:v>
                </c:pt>
                <c:pt idx="615">
                  <c:v>-4754.6232989016162</c:v>
                </c:pt>
                <c:pt idx="616">
                  <c:v>-4741.7714634932136</c:v>
                </c:pt>
                <c:pt idx="617">
                  <c:v>-4728.9196280848109</c:v>
                </c:pt>
                <c:pt idx="618">
                  <c:v>-4716.0677926764083</c:v>
                </c:pt>
                <c:pt idx="619">
                  <c:v>-4703.2159572680057</c:v>
                </c:pt>
                <c:pt idx="620">
                  <c:v>-4690.3641218596031</c:v>
                </c:pt>
                <c:pt idx="621">
                  <c:v>-4677.5122864512014</c:v>
                </c:pt>
                <c:pt idx="622">
                  <c:v>-4664.6604510427987</c:v>
                </c:pt>
                <c:pt idx="623">
                  <c:v>-4651.8086156343961</c:v>
                </c:pt>
                <c:pt idx="624">
                  <c:v>-4638.9567802259935</c:v>
                </c:pt>
                <c:pt idx="625">
                  <c:v>-4626.1049448175909</c:v>
                </c:pt>
                <c:pt idx="626">
                  <c:v>-4613.2531094091883</c:v>
                </c:pt>
                <c:pt idx="627">
                  <c:v>-4600.4012740007865</c:v>
                </c:pt>
                <c:pt idx="628">
                  <c:v>-4587.5494385923839</c:v>
                </c:pt>
                <c:pt idx="629">
                  <c:v>-4574.6976031839813</c:v>
                </c:pt>
                <c:pt idx="630">
                  <c:v>-4561.8457677755787</c:v>
                </c:pt>
                <c:pt idx="631">
                  <c:v>-4548.9939323671761</c:v>
                </c:pt>
                <c:pt idx="632">
                  <c:v>-4536.1420969587734</c:v>
                </c:pt>
                <c:pt idx="633">
                  <c:v>-4523.2902615503717</c:v>
                </c:pt>
                <c:pt idx="634">
                  <c:v>-4510.4384261419691</c:v>
                </c:pt>
                <c:pt idx="635">
                  <c:v>-4497.5865907335665</c:v>
                </c:pt>
                <c:pt idx="636">
                  <c:v>-4484.7347553251639</c:v>
                </c:pt>
                <c:pt idx="637">
                  <c:v>-4471.8829199167612</c:v>
                </c:pt>
                <c:pt idx="638">
                  <c:v>-4459.0310845083586</c:v>
                </c:pt>
                <c:pt idx="639">
                  <c:v>-4446.179249099956</c:v>
                </c:pt>
                <c:pt idx="640">
                  <c:v>-4433.3274136915534</c:v>
                </c:pt>
                <c:pt idx="641">
                  <c:v>-4420.4755782831508</c:v>
                </c:pt>
                <c:pt idx="642">
                  <c:v>-4407.6237428747481</c:v>
                </c:pt>
                <c:pt idx="643">
                  <c:v>-4394.7719074663473</c:v>
                </c:pt>
                <c:pt idx="644">
                  <c:v>-4381.9200720579447</c:v>
                </c:pt>
                <c:pt idx="645">
                  <c:v>-4369.0682366495421</c:v>
                </c:pt>
                <c:pt idx="646">
                  <c:v>-4356.2164012411395</c:v>
                </c:pt>
                <c:pt idx="647">
                  <c:v>-4343.3645658327368</c:v>
                </c:pt>
                <c:pt idx="648">
                  <c:v>-4330.5127304243342</c:v>
                </c:pt>
                <c:pt idx="649">
                  <c:v>-4317.6608950159316</c:v>
                </c:pt>
                <c:pt idx="650">
                  <c:v>-4304.809059607529</c:v>
                </c:pt>
                <c:pt idx="651">
                  <c:v>-4291.9572241991264</c:v>
                </c:pt>
                <c:pt idx="652">
                  <c:v>-4279.1053887907237</c:v>
                </c:pt>
                <c:pt idx="653">
                  <c:v>-4266.2535533823211</c:v>
                </c:pt>
                <c:pt idx="654">
                  <c:v>-4253.4017179739185</c:v>
                </c:pt>
                <c:pt idx="655">
                  <c:v>-4240.5498825655159</c:v>
                </c:pt>
                <c:pt idx="656">
                  <c:v>-4227.6980471571151</c:v>
                </c:pt>
                <c:pt idx="657">
                  <c:v>-4214.8462117487124</c:v>
                </c:pt>
                <c:pt idx="658">
                  <c:v>-4201.9943763403098</c:v>
                </c:pt>
                <c:pt idx="659">
                  <c:v>-4189.1425409319072</c:v>
                </c:pt>
                <c:pt idx="660">
                  <c:v>-4176.2907055235046</c:v>
                </c:pt>
                <c:pt idx="661">
                  <c:v>-4163.438870115102</c:v>
                </c:pt>
                <c:pt idx="662">
                  <c:v>-4150.5870347066993</c:v>
                </c:pt>
                <c:pt idx="663">
                  <c:v>-4137.7351992982967</c:v>
                </c:pt>
                <c:pt idx="664">
                  <c:v>-4124.8833638898941</c:v>
                </c:pt>
                <c:pt idx="665">
                  <c:v>-4112.0315284814915</c:v>
                </c:pt>
                <c:pt idx="666">
                  <c:v>-4099.1796930730889</c:v>
                </c:pt>
                <c:pt idx="667">
                  <c:v>-4086.3278576646862</c:v>
                </c:pt>
                <c:pt idx="668">
                  <c:v>-4073.4760222562854</c:v>
                </c:pt>
                <c:pt idx="669">
                  <c:v>-4060.6241868478828</c:v>
                </c:pt>
                <c:pt idx="670">
                  <c:v>-4047.7723514394802</c:v>
                </c:pt>
                <c:pt idx="671">
                  <c:v>-4034.9205160310776</c:v>
                </c:pt>
                <c:pt idx="672">
                  <c:v>-4022.0686806226749</c:v>
                </c:pt>
                <c:pt idx="673">
                  <c:v>-4009.2168452142723</c:v>
                </c:pt>
                <c:pt idx="674">
                  <c:v>-3996.3650098058697</c:v>
                </c:pt>
                <c:pt idx="675">
                  <c:v>-3983.5131743974671</c:v>
                </c:pt>
                <c:pt idx="676">
                  <c:v>-3970.6613389890645</c:v>
                </c:pt>
                <c:pt idx="677">
                  <c:v>-3957.8095035806618</c:v>
                </c:pt>
                <c:pt idx="678">
                  <c:v>-3944.9576681722592</c:v>
                </c:pt>
                <c:pt idx="679">
                  <c:v>-3932.1058327638566</c:v>
                </c:pt>
                <c:pt idx="680">
                  <c:v>-3919.253997355454</c:v>
                </c:pt>
                <c:pt idx="681">
                  <c:v>-3906.4021619470532</c:v>
                </c:pt>
                <c:pt idx="682">
                  <c:v>-3893.5503265386506</c:v>
                </c:pt>
                <c:pt idx="683">
                  <c:v>-3880.6984911302479</c:v>
                </c:pt>
                <c:pt idx="684">
                  <c:v>-3867.8466557218453</c:v>
                </c:pt>
                <c:pt idx="685">
                  <c:v>-3854.9948203134427</c:v>
                </c:pt>
                <c:pt idx="686">
                  <c:v>-3842.1429849050401</c:v>
                </c:pt>
                <c:pt idx="687">
                  <c:v>-3829.2911494966374</c:v>
                </c:pt>
                <c:pt idx="688">
                  <c:v>-3816.4393140882366</c:v>
                </c:pt>
                <c:pt idx="689">
                  <c:v>-3803.587478679834</c:v>
                </c:pt>
                <c:pt idx="690">
                  <c:v>-3790.7356432714314</c:v>
                </c:pt>
                <c:pt idx="691">
                  <c:v>-3777.8838078630288</c:v>
                </c:pt>
                <c:pt idx="692">
                  <c:v>-3765.0319724546262</c:v>
                </c:pt>
                <c:pt idx="693">
                  <c:v>-3752.1801370462235</c:v>
                </c:pt>
                <c:pt idx="694">
                  <c:v>-3739.3283016378209</c:v>
                </c:pt>
                <c:pt idx="695">
                  <c:v>-3726.4764662294183</c:v>
                </c:pt>
                <c:pt idx="696">
                  <c:v>-3713.6246308210157</c:v>
                </c:pt>
                <c:pt idx="697">
                  <c:v>-3700.7727954126149</c:v>
                </c:pt>
                <c:pt idx="698">
                  <c:v>-3687.9209600042122</c:v>
                </c:pt>
                <c:pt idx="699">
                  <c:v>-3675.0691245958096</c:v>
                </c:pt>
                <c:pt idx="700">
                  <c:v>-3662.217289187407</c:v>
                </c:pt>
                <c:pt idx="701">
                  <c:v>-3649.3654537790044</c:v>
                </c:pt>
                <c:pt idx="702">
                  <c:v>-3636.5136183706018</c:v>
                </c:pt>
                <c:pt idx="703">
                  <c:v>-3623.6617829621991</c:v>
                </c:pt>
                <c:pt idx="704">
                  <c:v>-3610.8099475537965</c:v>
                </c:pt>
                <c:pt idx="705">
                  <c:v>-3597.9581121453939</c:v>
                </c:pt>
                <c:pt idx="706">
                  <c:v>-3585.1062767369913</c:v>
                </c:pt>
                <c:pt idx="707">
                  <c:v>-3572.2544413285887</c:v>
                </c:pt>
                <c:pt idx="708">
                  <c:v>-3559.402605920186</c:v>
                </c:pt>
                <c:pt idx="709">
                  <c:v>-3546.5507705117852</c:v>
                </c:pt>
                <c:pt idx="710">
                  <c:v>-3533.6989351033826</c:v>
                </c:pt>
                <c:pt idx="711">
                  <c:v>-3520.84709969498</c:v>
                </c:pt>
                <c:pt idx="712">
                  <c:v>-3507.9952642865774</c:v>
                </c:pt>
                <c:pt idx="713">
                  <c:v>-3495.1434288781747</c:v>
                </c:pt>
                <c:pt idx="714">
                  <c:v>-3482.2915934697721</c:v>
                </c:pt>
                <c:pt idx="715">
                  <c:v>-3469.4397580613695</c:v>
                </c:pt>
                <c:pt idx="716">
                  <c:v>-3456.5879226529669</c:v>
                </c:pt>
                <c:pt idx="717">
                  <c:v>-3443.7360872445643</c:v>
                </c:pt>
                <c:pt idx="718">
                  <c:v>-3430.8842518361616</c:v>
                </c:pt>
                <c:pt idx="719">
                  <c:v>-3418.032416427759</c:v>
                </c:pt>
                <c:pt idx="720">
                  <c:v>-3405.1805810193564</c:v>
                </c:pt>
                <c:pt idx="721">
                  <c:v>-3392.3287456109538</c:v>
                </c:pt>
                <c:pt idx="722">
                  <c:v>-3379.476910202553</c:v>
                </c:pt>
                <c:pt idx="723">
                  <c:v>-3366.6250747941504</c:v>
                </c:pt>
                <c:pt idx="724">
                  <c:v>-3353.7732393857477</c:v>
                </c:pt>
                <c:pt idx="725">
                  <c:v>-3340.9214039773451</c:v>
                </c:pt>
                <c:pt idx="726">
                  <c:v>-3328.0695685689425</c:v>
                </c:pt>
                <c:pt idx="727">
                  <c:v>-3315.2177331605399</c:v>
                </c:pt>
                <c:pt idx="728">
                  <c:v>-3302.3658977521372</c:v>
                </c:pt>
                <c:pt idx="729">
                  <c:v>-3289.5140623437346</c:v>
                </c:pt>
                <c:pt idx="730">
                  <c:v>-3276.662226935332</c:v>
                </c:pt>
                <c:pt idx="731">
                  <c:v>-3263.8103915269294</c:v>
                </c:pt>
                <c:pt idx="732">
                  <c:v>-3250.9585561185268</c:v>
                </c:pt>
                <c:pt idx="733">
                  <c:v>-3238.1067207101241</c:v>
                </c:pt>
                <c:pt idx="734">
                  <c:v>-3225.2548853017215</c:v>
                </c:pt>
                <c:pt idx="735">
                  <c:v>-3212.4030498933207</c:v>
                </c:pt>
                <c:pt idx="736">
                  <c:v>-3199.5512144849181</c:v>
                </c:pt>
                <c:pt idx="737">
                  <c:v>-3186.6993790765155</c:v>
                </c:pt>
                <c:pt idx="738">
                  <c:v>-3173.8475436681128</c:v>
                </c:pt>
                <c:pt idx="739">
                  <c:v>-3160.9957082597102</c:v>
                </c:pt>
                <c:pt idx="740">
                  <c:v>-3148.1438728513076</c:v>
                </c:pt>
                <c:pt idx="741">
                  <c:v>-3135.292037442905</c:v>
                </c:pt>
                <c:pt idx="742">
                  <c:v>-3122.4402020345024</c:v>
                </c:pt>
                <c:pt idx="743">
                  <c:v>-3109.5883666260997</c:v>
                </c:pt>
                <c:pt idx="744">
                  <c:v>-3096.7365312176971</c:v>
                </c:pt>
                <c:pt idx="745">
                  <c:v>-3083.8846958092945</c:v>
                </c:pt>
                <c:pt idx="746">
                  <c:v>-3071.0328604008919</c:v>
                </c:pt>
                <c:pt idx="747">
                  <c:v>-3058.1810249924911</c:v>
                </c:pt>
                <c:pt idx="748">
                  <c:v>-3045.3291895840885</c:v>
                </c:pt>
                <c:pt idx="749">
                  <c:v>-3032.4773541756858</c:v>
                </c:pt>
                <c:pt idx="750">
                  <c:v>-3019.6255187672832</c:v>
                </c:pt>
                <c:pt idx="751">
                  <c:v>-3006.7736833588806</c:v>
                </c:pt>
                <c:pt idx="752">
                  <c:v>-2993.921847950478</c:v>
                </c:pt>
                <c:pt idx="753">
                  <c:v>-2981.0700125420753</c:v>
                </c:pt>
                <c:pt idx="754">
                  <c:v>-2968.2181771336727</c:v>
                </c:pt>
                <c:pt idx="755">
                  <c:v>-2955.3663417252701</c:v>
                </c:pt>
                <c:pt idx="756">
                  <c:v>-2942.5145063168675</c:v>
                </c:pt>
                <c:pt idx="757">
                  <c:v>-2929.6626709084649</c:v>
                </c:pt>
                <c:pt idx="758">
                  <c:v>-2916.8108355000622</c:v>
                </c:pt>
                <c:pt idx="759">
                  <c:v>-2903.9590000916596</c:v>
                </c:pt>
                <c:pt idx="760">
                  <c:v>-2891.1071646832588</c:v>
                </c:pt>
                <c:pt idx="761">
                  <c:v>-2878.2553292748562</c:v>
                </c:pt>
                <c:pt idx="762">
                  <c:v>-2865.4034938664536</c:v>
                </c:pt>
                <c:pt idx="763">
                  <c:v>-2852.551658458051</c:v>
                </c:pt>
                <c:pt idx="764">
                  <c:v>-2839.6998230496483</c:v>
                </c:pt>
                <c:pt idx="765">
                  <c:v>-2826.8479876412457</c:v>
                </c:pt>
                <c:pt idx="766">
                  <c:v>-2813.9961522328431</c:v>
                </c:pt>
                <c:pt idx="767">
                  <c:v>-2801.1443168244405</c:v>
                </c:pt>
                <c:pt idx="768">
                  <c:v>-2788.2924814160378</c:v>
                </c:pt>
                <c:pt idx="769">
                  <c:v>-2775.4406460076352</c:v>
                </c:pt>
                <c:pt idx="770">
                  <c:v>-2762.5888105992326</c:v>
                </c:pt>
                <c:pt idx="771">
                  <c:v>-2749.73697519083</c:v>
                </c:pt>
                <c:pt idx="772">
                  <c:v>-2736.8851397824274</c:v>
                </c:pt>
                <c:pt idx="773">
                  <c:v>-2724.0333043740266</c:v>
                </c:pt>
                <c:pt idx="774">
                  <c:v>-2711.1814689656239</c:v>
                </c:pt>
                <c:pt idx="775">
                  <c:v>-2698.3296335572213</c:v>
                </c:pt>
                <c:pt idx="776">
                  <c:v>-2685.4777981488187</c:v>
                </c:pt>
                <c:pt idx="777">
                  <c:v>-2672.6259627404161</c:v>
                </c:pt>
                <c:pt idx="778">
                  <c:v>-2659.7741273320134</c:v>
                </c:pt>
                <c:pt idx="779">
                  <c:v>-2646.9222919236108</c:v>
                </c:pt>
                <c:pt idx="780">
                  <c:v>-2634.0704565152082</c:v>
                </c:pt>
                <c:pt idx="781">
                  <c:v>-2621.2186211068056</c:v>
                </c:pt>
                <c:pt idx="782">
                  <c:v>-2608.366785698403</c:v>
                </c:pt>
                <c:pt idx="783">
                  <c:v>-2595.5149502900003</c:v>
                </c:pt>
                <c:pt idx="784">
                  <c:v>-2582.6631148815977</c:v>
                </c:pt>
                <c:pt idx="785">
                  <c:v>-2569.8112794731969</c:v>
                </c:pt>
                <c:pt idx="786">
                  <c:v>-2556.9594440647943</c:v>
                </c:pt>
                <c:pt idx="787">
                  <c:v>-2544.1076086563917</c:v>
                </c:pt>
                <c:pt idx="788">
                  <c:v>-2531.2557732479891</c:v>
                </c:pt>
                <c:pt idx="789">
                  <c:v>-2518.4039378395864</c:v>
                </c:pt>
                <c:pt idx="790">
                  <c:v>-2505.5521024311838</c:v>
                </c:pt>
                <c:pt idx="791">
                  <c:v>-2492.7002670227812</c:v>
                </c:pt>
                <c:pt idx="792">
                  <c:v>-2479.8484316143786</c:v>
                </c:pt>
                <c:pt idx="793">
                  <c:v>-2466.9965962059759</c:v>
                </c:pt>
                <c:pt idx="794">
                  <c:v>-2454.1447607975733</c:v>
                </c:pt>
                <c:pt idx="795">
                  <c:v>-2441.2929253891707</c:v>
                </c:pt>
                <c:pt idx="796">
                  <c:v>-2428.4410899807681</c:v>
                </c:pt>
                <c:pt idx="797">
                  <c:v>-2415.5892545723655</c:v>
                </c:pt>
                <c:pt idx="798">
                  <c:v>-2402.7374191639647</c:v>
                </c:pt>
                <c:pt idx="799">
                  <c:v>-2389.885583755562</c:v>
                </c:pt>
                <c:pt idx="800">
                  <c:v>-2377.0337483471594</c:v>
                </c:pt>
                <c:pt idx="801">
                  <c:v>-2364.1819129387568</c:v>
                </c:pt>
                <c:pt idx="802">
                  <c:v>-2351.3300775303542</c:v>
                </c:pt>
                <c:pt idx="803">
                  <c:v>-2338.4782421219516</c:v>
                </c:pt>
                <c:pt idx="804">
                  <c:v>-2325.6264067135489</c:v>
                </c:pt>
                <c:pt idx="805">
                  <c:v>-2312.7745713051463</c:v>
                </c:pt>
                <c:pt idx="806">
                  <c:v>-2299.9227358967437</c:v>
                </c:pt>
                <c:pt idx="807">
                  <c:v>-2287.0709004883411</c:v>
                </c:pt>
                <c:pt idx="808">
                  <c:v>-2274.2190650799384</c:v>
                </c:pt>
                <c:pt idx="809">
                  <c:v>-2261.3672296715358</c:v>
                </c:pt>
                <c:pt idx="810">
                  <c:v>-2248.5153942631332</c:v>
                </c:pt>
                <c:pt idx="811">
                  <c:v>-2235.6635588547324</c:v>
                </c:pt>
                <c:pt idx="812">
                  <c:v>-2222.8117234463298</c:v>
                </c:pt>
                <c:pt idx="813">
                  <c:v>-2209.9598880379272</c:v>
                </c:pt>
                <c:pt idx="814">
                  <c:v>-2197.1080526295264</c:v>
                </c:pt>
                <c:pt idx="815">
                  <c:v>-2184.2562172211237</c:v>
                </c:pt>
                <c:pt idx="816">
                  <c:v>-2171.4043818127211</c:v>
                </c:pt>
                <c:pt idx="817">
                  <c:v>-2158.5525464043185</c:v>
                </c:pt>
                <c:pt idx="818">
                  <c:v>-2145.7007109959159</c:v>
                </c:pt>
                <c:pt idx="819">
                  <c:v>-2132.8488755875132</c:v>
                </c:pt>
                <c:pt idx="820">
                  <c:v>-2119.9970401791106</c:v>
                </c:pt>
                <c:pt idx="821">
                  <c:v>-2107.145204770708</c:v>
                </c:pt>
                <c:pt idx="822">
                  <c:v>-2094.2933693623054</c:v>
                </c:pt>
                <c:pt idx="823">
                  <c:v>-2081.4415339539028</c:v>
                </c:pt>
                <c:pt idx="824">
                  <c:v>-2068.5896985455001</c:v>
                </c:pt>
                <c:pt idx="825">
                  <c:v>-2055.7378631370975</c:v>
                </c:pt>
                <c:pt idx="826">
                  <c:v>-2042.8860277286967</c:v>
                </c:pt>
                <c:pt idx="827">
                  <c:v>-2030.0341923202941</c:v>
                </c:pt>
                <c:pt idx="828">
                  <c:v>-2017.1823569118915</c:v>
                </c:pt>
                <c:pt idx="829">
                  <c:v>-2004.3305215034889</c:v>
                </c:pt>
                <c:pt idx="830">
                  <c:v>-1991.4786860950862</c:v>
                </c:pt>
                <c:pt idx="831">
                  <c:v>-1978.6268506866836</c:v>
                </c:pt>
                <c:pt idx="832">
                  <c:v>-1965.775015278281</c:v>
                </c:pt>
                <c:pt idx="833">
                  <c:v>-1952.9231798698784</c:v>
                </c:pt>
                <c:pt idx="834">
                  <c:v>-1940.0713444614757</c:v>
                </c:pt>
                <c:pt idx="835">
                  <c:v>-1927.2195090530731</c:v>
                </c:pt>
                <c:pt idx="836">
                  <c:v>-1914.3676736446705</c:v>
                </c:pt>
                <c:pt idx="837">
                  <c:v>-1901.5158382362679</c:v>
                </c:pt>
                <c:pt idx="838">
                  <c:v>-1888.6640028278653</c:v>
                </c:pt>
                <c:pt idx="839">
                  <c:v>-1875.8121674194645</c:v>
                </c:pt>
                <c:pt idx="840">
                  <c:v>-1862.9603320110618</c:v>
                </c:pt>
                <c:pt idx="841">
                  <c:v>-1850.1084966026592</c:v>
                </c:pt>
                <c:pt idx="842">
                  <c:v>-1837.2566611942566</c:v>
                </c:pt>
                <c:pt idx="843">
                  <c:v>-1824.404825785854</c:v>
                </c:pt>
                <c:pt idx="844">
                  <c:v>-1811.5529903774514</c:v>
                </c:pt>
                <c:pt idx="845">
                  <c:v>-1798.7011549690487</c:v>
                </c:pt>
                <c:pt idx="846">
                  <c:v>-1785.8493195606461</c:v>
                </c:pt>
                <c:pt idx="847">
                  <c:v>-1772.9974841522435</c:v>
                </c:pt>
                <c:pt idx="848">
                  <c:v>-1760.1456487438409</c:v>
                </c:pt>
                <c:pt idx="849">
                  <c:v>-1747.2938133354382</c:v>
                </c:pt>
                <c:pt idx="850">
                  <c:v>-1734.4419779270356</c:v>
                </c:pt>
                <c:pt idx="851">
                  <c:v>-1721.590142518633</c:v>
                </c:pt>
                <c:pt idx="852">
                  <c:v>-1708.7383071102322</c:v>
                </c:pt>
                <c:pt idx="853">
                  <c:v>-1695.8864717018296</c:v>
                </c:pt>
                <c:pt idx="854">
                  <c:v>-1683.034636293427</c:v>
                </c:pt>
                <c:pt idx="855">
                  <c:v>-1670.1828008850243</c:v>
                </c:pt>
                <c:pt idx="856">
                  <c:v>-1657.3309654766217</c:v>
                </c:pt>
                <c:pt idx="857">
                  <c:v>-1644.4791300682191</c:v>
                </c:pt>
                <c:pt idx="858">
                  <c:v>-1631.6272946598165</c:v>
                </c:pt>
                <c:pt idx="859">
                  <c:v>-1618.7754592514138</c:v>
                </c:pt>
                <c:pt idx="860">
                  <c:v>-1605.9236238430112</c:v>
                </c:pt>
                <c:pt idx="861">
                  <c:v>-1593.0717884346086</c:v>
                </c:pt>
                <c:pt idx="862">
                  <c:v>-1580.219953026206</c:v>
                </c:pt>
                <c:pt idx="863">
                  <c:v>-1567.3681176178034</c:v>
                </c:pt>
                <c:pt idx="864">
                  <c:v>-1554.5162822094026</c:v>
                </c:pt>
                <c:pt idx="865">
                  <c:v>-1541.6644468009999</c:v>
                </c:pt>
                <c:pt idx="866">
                  <c:v>-1528.8126113925973</c:v>
                </c:pt>
                <c:pt idx="867">
                  <c:v>-1515.9607759841947</c:v>
                </c:pt>
                <c:pt idx="868">
                  <c:v>-1503.1089405757921</c:v>
                </c:pt>
                <c:pt idx="869">
                  <c:v>-1490.2571051673895</c:v>
                </c:pt>
                <c:pt idx="870">
                  <c:v>-1477.4052697589868</c:v>
                </c:pt>
                <c:pt idx="871">
                  <c:v>-1464.5534343505842</c:v>
                </c:pt>
                <c:pt idx="872">
                  <c:v>-1451.7015989421816</c:v>
                </c:pt>
                <c:pt idx="873">
                  <c:v>-1438.849763533779</c:v>
                </c:pt>
                <c:pt idx="874">
                  <c:v>-1425.9979281253763</c:v>
                </c:pt>
                <c:pt idx="875">
                  <c:v>-1413.1460927169737</c:v>
                </c:pt>
                <c:pt idx="876">
                  <c:v>-1400.2942573085711</c:v>
                </c:pt>
                <c:pt idx="877">
                  <c:v>-1387.4424219001703</c:v>
                </c:pt>
                <c:pt idx="878">
                  <c:v>-1374.5905864917677</c:v>
                </c:pt>
                <c:pt idx="879">
                  <c:v>-1361.7387510833651</c:v>
                </c:pt>
                <c:pt idx="880">
                  <c:v>-1348.8869156749624</c:v>
                </c:pt>
                <c:pt idx="881">
                  <c:v>-1336.0350802665598</c:v>
                </c:pt>
                <c:pt idx="882">
                  <c:v>-1323.1832448581572</c:v>
                </c:pt>
                <c:pt idx="883">
                  <c:v>-1310.3314094497546</c:v>
                </c:pt>
                <c:pt idx="884">
                  <c:v>-1297.479574041352</c:v>
                </c:pt>
                <c:pt idx="885">
                  <c:v>-1284.6277386329493</c:v>
                </c:pt>
                <c:pt idx="886">
                  <c:v>-1271.7759032245467</c:v>
                </c:pt>
                <c:pt idx="887">
                  <c:v>-1258.9240678161441</c:v>
                </c:pt>
                <c:pt idx="888">
                  <c:v>-1246.0722324077415</c:v>
                </c:pt>
                <c:pt idx="889">
                  <c:v>-1233.2203969993388</c:v>
                </c:pt>
                <c:pt idx="890">
                  <c:v>-1220.368561590938</c:v>
                </c:pt>
                <c:pt idx="891">
                  <c:v>-1207.5167261825354</c:v>
                </c:pt>
                <c:pt idx="892">
                  <c:v>-1194.6648907741328</c:v>
                </c:pt>
                <c:pt idx="893">
                  <c:v>-1181.8130553657302</c:v>
                </c:pt>
                <c:pt idx="894">
                  <c:v>-1168.9612199573276</c:v>
                </c:pt>
                <c:pt idx="895">
                  <c:v>-1156.1093845489249</c:v>
                </c:pt>
                <c:pt idx="896">
                  <c:v>-1143.2575491405223</c:v>
                </c:pt>
                <c:pt idx="897">
                  <c:v>-1130.4057137321197</c:v>
                </c:pt>
                <c:pt idx="898">
                  <c:v>-1117.5538783237171</c:v>
                </c:pt>
                <c:pt idx="899">
                  <c:v>-1104.7020429153145</c:v>
                </c:pt>
                <c:pt idx="900">
                  <c:v>-1091.8502075069118</c:v>
                </c:pt>
                <c:pt idx="901">
                  <c:v>-1078.9983720985092</c:v>
                </c:pt>
                <c:pt idx="902">
                  <c:v>-1066.1465366901084</c:v>
                </c:pt>
                <c:pt idx="903">
                  <c:v>-1053.2947012817058</c:v>
                </c:pt>
                <c:pt idx="904">
                  <c:v>-1040.4428658733032</c:v>
                </c:pt>
                <c:pt idx="905">
                  <c:v>-1027.5910304649005</c:v>
                </c:pt>
                <c:pt idx="906">
                  <c:v>-1014.7391950564979</c:v>
                </c:pt>
                <c:pt idx="907">
                  <c:v>-1001.8873596480953</c:v>
                </c:pt>
                <c:pt idx="908">
                  <c:v>-989.03552423969268</c:v>
                </c:pt>
                <c:pt idx="909">
                  <c:v>-976.18368883129006</c:v>
                </c:pt>
                <c:pt idx="910">
                  <c:v>-963.33185342288743</c:v>
                </c:pt>
                <c:pt idx="911">
                  <c:v>-950.48001801448481</c:v>
                </c:pt>
                <c:pt idx="912">
                  <c:v>-937.62818260608219</c:v>
                </c:pt>
                <c:pt idx="913">
                  <c:v>-924.77634719767957</c:v>
                </c:pt>
                <c:pt idx="914">
                  <c:v>-911.92451178927695</c:v>
                </c:pt>
                <c:pt idx="915">
                  <c:v>-899.07267638087615</c:v>
                </c:pt>
                <c:pt idx="916">
                  <c:v>-886.22084097247352</c:v>
                </c:pt>
                <c:pt idx="917">
                  <c:v>-873.3690055640709</c:v>
                </c:pt>
                <c:pt idx="918">
                  <c:v>-860.51717015566828</c:v>
                </c:pt>
                <c:pt idx="919">
                  <c:v>-847.66533474726566</c:v>
                </c:pt>
                <c:pt idx="920">
                  <c:v>-834.81349933886304</c:v>
                </c:pt>
                <c:pt idx="921">
                  <c:v>-821.96166393046042</c:v>
                </c:pt>
                <c:pt idx="922">
                  <c:v>-809.1098285220578</c:v>
                </c:pt>
                <c:pt idx="923">
                  <c:v>-796.25799311365517</c:v>
                </c:pt>
                <c:pt idx="924">
                  <c:v>-783.40615770525255</c:v>
                </c:pt>
                <c:pt idx="925">
                  <c:v>-770.55432229684993</c:v>
                </c:pt>
                <c:pt idx="926">
                  <c:v>-757.70248688844731</c:v>
                </c:pt>
                <c:pt idx="927">
                  <c:v>-744.85065148004469</c:v>
                </c:pt>
                <c:pt idx="928">
                  <c:v>-731.99881607164389</c:v>
                </c:pt>
                <c:pt idx="929">
                  <c:v>-719.14698066324127</c:v>
                </c:pt>
                <c:pt idx="930">
                  <c:v>-706.29514525483864</c:v>
                </c:pt>
                <c:pt idx="931">
                  <c:v>-693.44330984643602</c:v>
                </c:pt>
                <c:pt idx="932">
                  <c:v>-680.5914744380334</c:v>
                </c:pt>
                <c:pt idx="933">
                  <c:v>-667.73963902963078</c:v>
                </c:pt>
                <c:pt idx="934">
                  <c:v>-654.88780362122816</c:v>
                </c:pt>
                <c:pt idx="935">
                  <c:v>-642.03596821282554</c:v>
                </c:pt>
                <c:pt idx="936">
                  <c:v>-629.18413280442292</c:v>
                </c:pt>
                <c:pt idx="937">
                  <c:v>-616.33229739602029</c:v>
                </c:pt>
                <c:pt idx="938">
                  <c:v>-603.48046198761949</c:v>
                </c:pt>
                <c:pt idx="939">
                  <c:v>-590.62862657921687</c:v>
                </c:pt>
                <c:pt idx="940">
                  <c:v>-577.77679117081425</c:v>
                </c:pt>
                <c:pt idx="941">
                  <c:v>-564.92495576241163</c:v>
                </c:pt>
                <c:pt idx="942">
                  <c:v>-552.07312035400901</c:v>
                </c:pt>
                <c:pt idx="943">
                  <c:v>-539.2212849456082</c:v>
                </c:pt>
                <c:pt idx="944">
                  <c:v>-526.36944953720558</c:v>
                </c:pt>
                <c:pt idx="945">
                  <c:v>-513.51761412880296</c:v>
                </c:pt>
                <c:pt idx="946">
                  <c:v>-500.66577872040034</c:v>
                </c:pt>
                <c:pt idx="947">
                  <c:v>-487.81394331199772</c:v>
                </c:pt>
                <c:pt idx="948">
                  <c:v>-474.9621079035951</c:v>
                </c:pt>
                <c:pt idx="949">
                  <c:v>-462.11027249519248</c:v>
                </c:pt>
                <c:pt idx="950">
                  <c:v>-449.25843708678985</c:v>
                </c:pt>
                <c:pt idx="951">
                  <c:v>-436.40660167838723</c:v>
                </c:pt>
                <c:pt idx="952">
                  <c:v>-423.55476626998461</c:v>
                </c:pt>
                <c:pt idx="953">
                  <c:v>-410.70293086158199</c:v>
                </c:pt>
                <c:pt idx="954">
                  <c:v>-397.85109545317937</c:v>
                </c:pt>
                <c:pt idx="955">
                  <c:v>-384.99926004477675</c:v>
                </c:pt>
                <c:pt idx="956">
                  <c:v>-372.14742463637594</c:v>
                </c:pt>
                <c:pt idx="957">
                  <c:v>-359.29558922797332</c:v>
                </c:pt>
                <c:pt idx="958">
                  <c:v>-346.4437538195707</c:v>
                </c:pt>
                <c:pt idx="959">
                  <c:v>-333.59191841116808</c:v>
                </c:pt>
                <c:pt idx="960">
                  <c:v>-320.74008300276546</c:v>
                </c:pt>
                <c:pt idx="961">
                  <c:v>-307.88824759436284</c:v>
                </c:pt>
                <c:pt idx="962">
                  <c:v>-295.03641218596022</c:v>
                </c:pt>
                <c:pt idx="963">
                  <c:v>-282.1845767775576</c:v>
                </c:pt>
                <c:pt idx="964">
                  <c:v>-269.33274136915497</c:v>
                </c:pt>
                <c:pt idx="965">
                  <c:v>-256.48090596075235</c:v>
                </c:pt>
                <c:pt idx="966">
                  <c:v>-243.62907055234973</c:v>
                </c:pt>
                <c:pt idx="967">
                  <c:v>-230.77723514394711</c:v>
                </c:pt>
                <c:pt idx="968">
                  <c:v>-217.92539973554449</c:v>
                </c:pt>
                <c:pt idx="969">
                  <c:v>-205.07356432714369</c:v>
                </c:pt>
                <c:pt idx="970">
                  <c:v>-192.22172891874106</c:v>
                </c:pt>
                <c:pt idx="971">
                  <c:v>-179.36989351033844</c:v>
                </c:pt>
                <c:pt idx="972">
                  <c:v>-166.51805810193582</c:v>
                </c:pt>
                <c:pt idx="973">
                  <c:v>-153.6662226935332</c:v>
                </c:pt>
                <c:pt idx="974">
                  <c:v>-140.81438728513058</c:v>
                </c:pt>
                <c:pt idx="975">
                  <c:v>-127.96255187672796</c:v>
                </c:pt>
                <c:pt idx="976">
                  <c:v>-115.11071646832534</c:v>
                </c:pt>
                <c:pt idx="977">
                  <c:v>-102.25888105992271</c:v>
                </c:pt>
                <c:pt idx="978">
                  <c:v>-89.407045651520093</c:v>
                </c:pt>
                <c:pt idx="979">
                  <c:v>-76.555210243117472</c:v>
                </c:pt>
                <c:pt idx="980">
                  <c:v>-63.70337483471485</c:v>
                </c:pt>
                <c:pt idx="981">
                  <c:v>-50.851539426314048</c:v>
                </c:pt>
                <c:pt idx="982">
                  <c:v>-37.999704017911426</c:v>
                </c:pt>
                <c:pt idx="983">
                  <c:v>-25.147868609508805</c:v>
                </c:pt>
                <c:pt idx="984">
                  <c:v>-12.296033201106184</c:v>
                </c:pt>
                <c:pt idx="985">
                  <c:v>0.5558022072964377</c:v>
                </c:pt>
                <c:pt idx="986">
                  <c:v>13.407637615699059</c:v>
                </c:pt>
                <c:pt idx="987">
                  <c:v>26.25947302410168</c:v>
                </c:pt>
                <c:pt idx="988">
                  <c:v>39.111308432504302</c:v>
                </c:pt>
                <c:pt idx="989">
                  <c:v>51.963143840906923</c:v>
                </c:pt>
                <c:pt idx="990">
                  <c:v>64.814979249309545</c:v>
                </c:pt>
                <c:pt idx="991">
                  <c:v>77.666814657712166</c:v>
                </c:pt>
                <c:pt idx="992">
                  <c:v>90.518650066114787</c:v>
                </c:pt>
                <c:pt idx="993">
                  <c:v>103.37048547451741</c:v>
                </c:pt>
                <c:pt idx="994">
                  <c:v>116.22232088291821</c:v>
                </c:pt>
                <c:pt idx="995">
                  <c:v>129.07415629132083</c:v>
                </c:pt>
                <c:pt idx="996">
                  <c:v>141.92599169972345</c:v>
                </c:pt>
                <c:pt idx="997">
                  <c:v>154.77782710812608</c:v>
                </c:pt>
                <c:pt idx="998">
                  <c:v>167.6296625165287</c:v>
                </c:pt>
                <c:pt idx="999">
                  <c:v>180.48149792493132</c:v>
                </c:pt>
                <c:pt idx="1000">
                  <c:v>193.33333333333394</c:v>
                </c:pt>
              </c:numCache>
            </c:numRef>
          </c:xVal>
          <c:yVal>
            <c:numRef>
              <c:f>psi!$H$28:$H$1028</c:f>
              <c:numCache>
                <c:formatCode>General</c:formatCode>
                <c:ptCount val="1001"/>
                <c:pt idx="0">
                  <c:v>0</c:v>
                </c:pt>
                <c:pt idx="1">
                  <c:v>321.40596975393794</c:v>
                </c:pt>
                <c:pt idx="2">
                  <c:v>454.14044874040968</c:v>
                </c:pt>
                <c:pt idx="3">
                  <c:v>555.72102233567261</c:v>
                </c:pt>
                <c:pt idx="4">
                  <c:v>641.13128507601357</c:v>
                </c:pt>
                <c:pt idx="5">
                  <c:v>716.18053709389642</c:v>
                </c:pt>
                <c:pt idx="6">
                  <c:v>783.85085932791901</c:v>
                </c:pt>
                <c:pt idx="7">
                  <c:v>845.91533388982657</c:v>
                </c:pt>
                <c:pt idx="8">
                  <c:v>903.53024970342585</c:v>
                </c:pt>
                <c:pt idx="9">
                  <c:v>957.49947904961175</c:v>
                </c:pt>
                <c:pt idx="10">
                  <c:v>1008.4088332992171</c:v>
                </c:pt>
                <c:pt idx="11">
                  <c:v>1056.7009425506512</c:v>
                </c:pt>
                <c:pt idx="12">
                  <c:v>1102.7199891383889</c:v>
                </c:pt>
                <c:pt idx="13">
                  <c:v>1146.7399240189909</c:v>
                </c:pt>
                <c:pt idx="14">
                  <c:v>1188.9830609041226</c:v>
                </c:pt>
                <c:pt idx="15">
                  <c:v>1229.6327792419404</c:v>
                </c:pt>
                <c:pt idx="16">
                  <c:v>1268.8424689114552</c:v>
                </c:pt>
                <c:pt idx="17">
                  <c:v>1306.7419927527237</c:v>
                </c:pt>
                <c:pt idx="18">
                  <c:v>1343.4424604725637</c:v>
                </c:pt>
                <c:pt idx="19">
                  <c:v>1379.0398239674403</c:v>
                </c:pt>
                <c:pt idx="20">
                  <c:v>1413.617631429443</c:v>
                </c:pt>
                <c:pt idx="21">
                  <c:v>1447.2491690658428</c:v>
                </c:pt>
                <c:pt idx="22">
                  <c:v>1479.9991491311559</c:v>
                </c:pt>
                <c:pt idx="23">
                  <c:v>1511.925056531808</c:v>
                </c:pt>
                <c:pt idx="24">
                  <c:v>1543.0782348341979</c:v>
                </c:pt>
                <c:pt idx="25">
                  <c:v>1573.5047708147633</c:v>
                </c:pt>
                <c:pt idx="26">
                  <c:v>1603.24622145133</c:v>
                </c:pt>
                <c:pt idx="27">
                  <c:v>1632.3402163756518</c:v>
                </c:pt>
                <c:pt idx="28">
                  <c:v>1660.8209609252463</c:v>
                </c:pt>
                <c:pt idx="29">
                  <c:v>1688.7196591455809</c:v>
                </c:pt>
                <c:pt idx="30">
                  <c:v>1716.0648717916683</c:v>
                </c:pt>
                <c:pt idx="31">
                  <c:v>1742.8828211434991</c:v>
                </c:pt>
                <c:pt idx="32">
                  <c:v>1769.1976519919153</c:v>
                </c:pt>
                <c:pt idx="33">
                  <c:v>1795.0316562656221</c:v>
                </c:pt>
                <c:pt idx="34">
                  <c:v>1820.4054673095998</c:v>
                </c:pt>
                <c:pt idx="35">
                  <c:v>1845.3382286846945</c:v>
                </c:pt>
                <c:pt idx="36">
                  <c:v>1869.8477414604215</c:v>
                </c:pt>
                <c:pt idx="37">
                  <c:v>1893.9505932609602</c:v>
                </c:pt>
                <c:pt idx="38">
                  <c:v>1917.6622717557138</c:v>
                </c:pt>
                <c:pt idx="39">
                  <c:v>1940.9972648286316</c:v>
                </c:pt>
                <c:pt idx="40">
                  <c:v>1963.9691492907164</c:v>
                </c:pt>
                <c:pt idx="41">
                  <c:v>1986.5906696992176</c:v>
                </c:pt>
                <c:pt idx="42">
                  <c:v>2008.8738086008061</c:v>
                </c:pt>
                <c:pt idx="43">
                  <c:v>2030.8298493135537</c:v>
                </c:pt>
                <c:pt idx="44">
                  <c:v>2052.4694321950178</c:v>
                </c:pt>
                <c:pt idx="45">
                  <c:v>2073.8026052048731</c:v>
                </c:pt>
                <c:pt idx="46">
                  <c:v>2094.8388694543414</c:v>
                </c:pt>
                <c:pt idx="47">
                  <c:v>2115.5872203375702</c:v>
                </c:pt>
                <c:pt idx="48">
                  <c:v>2136.056184758314</c:v>
                </c:pt>
                <c:pt idx="49">
                  <c:v>2156.2538548961475</c:v>
                </c:pt>
                <c:pt idx="50">
                  <c:v>2176.1879188979387</c:v>
                </c:pt>
                <c:pt idx="51">
                  <c:v>2195.8656888304099</c:v>
                </c:pt>
                <c:pt idx="52">
                  <c:v>2215.2941261871479</c:v>
                </c:pt>
                <c:pt idx="53">
                  <c:v>2234.4798652068948</c:v>
                </c:pt>
                <c:pt idx="54">
                  <c:v>2253.4292342287272</c:v>
                </c:pt>
                <c:pt idx="55">
                  <c:v>2272.1482752826528</c:v>
                </c:pt>
                <c:pt idx="56">
                  <c:v>2290.6427620909189</c:v>
                </c:pt>
                <c:pt idx="57">
                  <c:v>2308.9182166350201</c:v>
                </c:pt>
                <c:pt idx="58">
                  <c:v>2326.9799244258943</c:v>
                </c:pt>
                <c:pt idx="59">
                  <c:v>2344.8329485994027</c:v>
                </c:pt>
                <c:pt idx="60">
                  <c:v>2362.4821429459003</c:v>
                </c:pt>
                <c:pt idx="61">
                  <c:v>2379.9321639709178</c:v>
                </c:pt>
                <c:pt idx="62">
                  <c:v>2397.187482073718</c:v>
                </c:pt>
                <c:pt idx="63">
                  <c:v>2414.2523919214768</c:v>
                </c:pt>
                <c:pt idx="64">
                  <c:v>2431.1310220888131</c:v>
                </c:pt>
                <c:pt idx="65">
                  <c:v>2447.8273440253743</c:v>
                </c:pt>
                <c:pt idx="66">
                  <c:v>2464.3451804079778</c:v>
                </c:pt>
                <c:pt idx="67">
                  <c:v>2480.6882129282185</c:v>
                </c:pt>
                <c:pt idx="68">
                  <c:v>2496.859989561573</c:v>
                </c:pt>
                <c:pt idx="69">
                  <c:v>2512.8639313596877</c:v>
                </c:pt>
                <c:pt idx="70">
                  <c:v>2528.7033388035588</c:v>
                </c:pt>
                <c:pt idx="71">
                  <c:v>2544.3813977518998</c:v>
                </c:pt>
                <c:pt idx="72">
                  <c:v>2559.9011850158313</c:v>
                </c:pt>
                <c:pt idx="73">
                  <c:v>2575.2656735882438</c:v>
                </c:pt>
                <c:pt idx="74">
                  <c:v>2590.477737553681</c:v>
                </c:pt>
                <c:pt idx="75">
                  <c:v>2605.5401567023255</c:v>
                </c:pt>
                <c:pt idx="76">
                  <c:v>2620.4556208696272</c:v>
                </c:pt>
                <c:pt idx="77">
                  <c:v>2635.226734021307</c:v>
                </c:pt>
                <c:pt idx="78">
                  <c:v>2649.8560181018061</c:v>
                </c:pt>
                <c:pt idx="79">
                  <c:v>2664.3459166627094</c:v>
                </c:pt>
                <c:pt idx="80">
                  <c:v>2678.6987982864034</c:v>
                </c:pt>
                <c:pt idx="81">
                  <c:v>2692.9169598189142</c:v>
                </c:pt>
                <c:pt idx="82">
                  <c:v>2707.0026294248178</c:v>
                </c:pt>
                <c:pt idx="83">
                  <c:v>2720.9579694760523</c:v>
                </c:pt>
                <c:pt idx="84">
                  <c:v>2734.7850792855738</c:v>
                </c:pt>
                <c:pt idx="85">
                  <c:v>2748.4859976959488</c:v>
                </c:pt>
                <c:pt idx="86">
                  <c:v>2762.0627055321925</c:v>
                </c:pt>
                <c:pt idx="87">
                  <c:v>2775.5171279274805</c:v>
                </c:pt>
                <c:pt idx="88">
                  <c:v>2788.8511365297163</c:v>
                </c:pt>
                <c:pt idx="89">
                  <c:v>2802.0665515963469</c:v>
                </c:pt>
                <c:pt idx="90">
                  <c:v>2815.1651439842744</c:v>
                </c:pt>
                <c:pt idx="91">
                  <c:v>2828.148637041244</c:v>
                </c:pt>
                <c:pt idx="92">
                  <c:v>2841.0187084046188</c:v>
                </c:pt>
                <c:pt idx="93">
                  <c:v>2853.7769917130181</c:v>
                </c:pt>
                <c:pt idx="94">
                  <c:v>2866.4250782359736</c:v>
                </c:pt>
                <c:pt idx="95">
                  <c:v>2878.9645184263172</c:v>
                </c:pt>
                <c:pt idx="96">
                  <c:v>2891.3968233997925</c:v>
                </c:pt>
                <c:pt idx="97">
                  <c:v>2903.7234663459903</c:v>
                </c:pt>
                <c:pt idx="98">
                  <c:v>2915.9458838744886</c:v>
                </c:pt>
                <c:pt idx="99">
                  <c:v>2928.0654772998137</c:v>
                </c:pt>
                <c:pt idx="100">
                  <c:v>2940.0836138685827</c:v>
                </c:pt>
                <c:pt idx="101">
                  <c:v>2952.0016279319952</c:v>
                </c:pt>
                <c:pt idx="102">
                  <c:v>2963.8208220666202</c:v>
                </c:pt>
                <c:pt idx="103">
                  <c:v>2975.5424681462514</c:v>
                </c:pt>
                <c:pt idx="104">
                  <c:v>2987.1678083674187</c:v>
                </c:pt>
                <c:pt idx="105">
                  <c:v>2998.6980562309977</c:v>
                </c:pt>
                <c:pt idx="106">
                  <c:v>3010.1343974821862</c:v>
                </c:pt>
                <c:pt idx="107">
                  <c:v>3021.4779910110069</c:v>
                </c:pt>
                <c:pt idx="108">
                  <c:v>3032.7299697153362</c:v>
                </c:pt>
                <c:pt idx="109">
                  <c:v>3043.8914413283592</c:v>
                </c:pt>
                <c:pt idx="110">
                  <c:v>3054.9634892122367</c:v>
                </c:pt>
                <c:pt idx="111">
                  <c:v>3065.9471731196527</c:v>
                </c:pt>
                <c:pt idx="112">
                  <c:v>3076.8435299248222</c:v>
                </c:pt>
                <c:pt idx="113">
                  <c:v>3087.6535743254594</c:v>
                </c:pt>
                <c:pt idx="114">
                  <c:v>3098.3782995170895</c:v>
                </c:pt>
                <c:pt idx="115">
                  <c:v>3109.018677841038</c:v>
                </c:pt>
                <c:pt idx="116">
                  <c:v>3119.5756614073612</c:v>
                </c:pt>
                <c:pt idx="117">
                  <c:v>3130.0501826938621</c:v>
                </c:pt>
                <c:pt idx="118">
                  <c:v>3140.443155122342</c:v>
                </c:pt>
                <c:pt idx="119">
                  <c:v>3150.7554736131178</c:v>
                </c:pt>
                <c:pt idx="120">
                  <c:v>3160.988015118814</c:v>
                </c:pt>
                <c:pt idx="121">
                  <c:v>3171.1416391383632</c:v>
                </c:pt>
                <c:pt idx="122">
                  <c:v>3181.2171882121111</c:v>
                </c:pt>
                <c:pt idx="123">
                  <c:v>3191.215488398876</c:v>
                </c:pt>
                <c:pt idx="124">
                  <c:v>3201.1373497357554</c:v>
                </c:pt>
                <c:pt idx="125">
                  <c:v>3210.9835666814351</c:v>
                </c:pt>
                <c:pt idx="126">
                  <c:v>3220.7549185437429</c:v>
                </c:pt>
                <c:pt idx="127">
                  <c:v>3230.4521698920976</c:v>
                </c:pt>
                <c:pt idx="128">
                  <c:v>3240.0760709555261</c:v>
                </c:pt>
                <c:pt idx="129">
                  <c:v>3249.6273580068537</c:v>
                </c:pt>
                <c:pt idx="130">
                  <c:v>3259.1067537336548</c:v>
                </c:pt>
                <c:pt idx="131">
                  <c:v>3268.5149675965145</c:v>
                </c:pt>
                <c:pt idx="132">
                  <c:v>3277.8526961751418</c:v>
                </c:pt>
                <c:pt idx="133">
                  <c:v>3287.1206235028149</c:v>
                </c:pt>
                <c:pt idx="134">
                  <c:v>3296.3194213896659</c:v>
                </c:pt>
                <c:pt idx="135">
                  <c:v>3305.4497497352295</c:v>
                </c:pt>
                <c:pt idx="136">
                  <c:v>3314.5122568307079</c:v>
                </c:pt>
                <c:pt idx="137">
                  <c:v>3323.5075796513665</c:v>
                </c:pt>
                <c:pt idx="138">
                  <c:v>3332.4363441394321</c:v>
                </c:pt>
                <c:pt idx="139">
                  <c:v>3341.2991654778939</c:v>
                </c:pt>
                <c:pt idx="140">
                  <c:v>3350.0966483555499</c:v>
                </c:pt>
                <c:pt idx="141">
                  <c:v>3358.8293872236427</c:v>
                </c:pt>
                <c:pt idx="142">
                  <c:v>3367.4979665444048</c:v>
                </c:pt>
                <c:pt idx="143">
                  <c:v>3376.1029610318446</c:v>
                </c:pt>
                <c:pt idx="144">
                  <c:v>3384.6449358850286</c:v>
                </c:pt>
                <c:pt idx="145">
                  <c:v>3393.1244470141983</c:v>
                </c:pt>
                <c:pt idx="146">
                  <c:v>3401.5420412599342</c:v>
                </c:pt>
                <c:pt idx="147">
                  <c:v>3409.8982566056729</c:v>
                </c:pt>
                <c:pt idx="148">
                  <c:v>3418.1936223837974</c:v>
                </c:pt>
                <c:pt idx="149">
                  <c:v>3426.4286594755408</c:v>
                </c:pt>
                <c:pt idx="150">
                  <c:v>3434.6038805049429</c:v>
                </c:pt>
                <c:pt idx="151">
                  <c:v>3442.719790027058</c:v>
                </c:pt>
                <c:pt idx="152">
                  <c:v>3450.7768847106363</c:v>
                </c:pt>
                <c:pt idx="153">
                  <c:v>3458.7756535154599</c:v>
                </c:pt>
                <c:pt idx="154">
                  <c:v>3466.7165778645522</c:v>
                </c:pt>
                <c:pt idx="155">
                  <c:v>3474.6001318114036</c:v>
                </c:pt>
                <c:pt idx="156">
                  <c:v>3482.4267822024267</c:v>
                </c:pt>
                <c:pt idx="157">
                  <c:v>3490.1969888347767</c:v>
                </c:pt>
                <c:pt idx="158">
                  <c:v>3497.9112046097225</c:v>
                </c:pt>
                <c:pt idx="159">
                  <c:v>3505.5698756817028</c:v>
                </c:pt>
                <c:pt idx="160">
                  <c:v>3513.1734416032232</c:v>
                </c:pt>
                <c:pt idx="161">
                  <c:v>3520.7223354657494</c:v>
                </c:pt>
                <c:pt idx="162">
                  <c:v>3528.2169840366914</c:v>
                </c:pt>
                <c:pt idx="163">
                  <c:v>3535.6578078926668</c:v>
                </c:pt>
                <c:pt idx="164">
                  <c:v>3543.0452215491132</c:v>
                </c:pt>
                <c:pt idx="165">
                  <c:v>3550.3796335864145</c:v>
                </c:pt>
                <c:pt idx="166">
                  <c:v>3557.6614467726249</c:v>
                </c:pt>
                <c:pt idx="167">
                  <c:v>3564.8910581829159</c:v>
                </c:pt>
                <c:pt idx="168">
                  <c:v>3572.0688593158607</c:v>
                </c:pt>
                <c:pt idx="169">
                  <c:v>3579.1952362066363</c:v>
                </c:pt>
                <c:pt idx="170">
                  <c:v>3586.2705695372688</c:v>
                </c:pt>
                <c:pt idx="171">
                  <c:v>3593.2952347439891</c:v>
                </c:pt>
                <c:pt idx="172">
                  <c:v>3600.2696021218253</c:v>
                </c:pt>
                <c:pt idx="173">
                  <c:v>3607.1940369264803</c:v>
                </c:pt>
                <c:pt idx="174">
                  <c:v>3614.0688994736088</c:v>
                </c:pt>
                <c:pt idx="175">
                  <c:v>3620.8945452355642</c:v>
                </c:pt>
                <c:pt idx="176">
                  <c:v>3627.6713249356962</c:v>
                </c:pt>
                <c:pt idx="177">
                  <c:v>3634.399584640274</c:v>
                </c:pt>
                <c:pt idx="178">
                  <c:v>3641.0796658481063</c:v>
                </c:pt>
                <c:pt idx="179">
                  <c:v>3647.7119055779299</c:v>
                </c:pt>
                <c:pt idx="180">
                  <c:v>3654.296636453641</c:v>
                </c:pt>
                <c:pt idx="181">
                  <c:v>3660.8341867874242</c:v>
                </c:pt>
                <c:pt idx="182">
                  <c:v>3667.3248806608431</c:v>
                </c:pt>
                <c:pt idx="183">
                  <c:v>3673.7690380039726</c:v>
                </c:pt>
                <c:pt idx="184">
                  <c:v>3680.1669746725893</c:v>
                </c:pt>
                <c:pt idx="185">
                  <c:v>3686.5190025235379</c:v>
                </c:pt>
                <c:pt idx="186">
                  <c:v>3692.8254294882599</c:v>
                </c:pt>
                <c:pt idx="187">
                  <c:v>3699.0865596445992</c:v>
                </c:pt>
                <c:pt idx="188">
                  <c:v>3705.3026932868875</c:v>
                </c:pt>
                <c:pt idx="189">
                  <c:v>3711.4741269943906</c:v>
                </c:pt>
                <c:pt idx="190">
                  <c:v>3717.6011536981496</c:v>
                </c:pt>
                <c:pt idx="191">
                  <c:v>3723.6840627462593</c:v>
                </c:pt>
                <c:pt idx="192">
                  <c:v>3729.7231399676411</c:v>
                </c:pt>
                <c:pt idx="193">
                  <c:v>3735.7186677343366</c:v>
                </c:pt>
                <c:pt idx="194">
                  <c:v>3741.6709250223853</c:v>
                </c:pt>
                <c:pt idx="195">
                  <c:v>3747.5801874712993</c:v>
                </c:pt>
                <c:pt idx="196">
                  <c:v>3753.4467274422036</c:v>
                </c:pt>
                <c:pt idx="197">
                  <c:v>3759.2708140746408</c:v>
                </c:pt>
                <c:pt idx="198">
                  <c:v>3765.0527133421333</c:v>
                </c:pt>
                <c:pt idx="199">
                  <c:v>3770.7926881064691</c:v>
                </c:pt>
                <c:pt idx="200">
                  <c:v>3776.4909981708033</c:v>
                </c:pt>
                <c:pt idx="201">
                  <c:v>3782.1479003315826</c:v>
                </c:pt>
                <c:pt idx="202">
                  <c:v>3787.7636484293103</c:v>
                </c:pt>
                <c:pt idx="203">
                  <c:v>3793.3384933982275</c:v>
                </c:pt>
                <c:pt idx="204">
                  <c:v>3798.8726833148821</c:v>
                </c:pt>
                <c:pt idx="205">
                  <c:v>3804.3664634456732</c:v>
                </c:pt>
                <c:pt idx="206">
                  <c:v>3809.8200762933402</c:v>
                </c:pt>
                <c:pt idx="207">
                  <c:v>3815.2337616424875</c:v>
                </c:pt>
                <c:pt idx="208">
                  <c:v>3820.6077566041022</c:v>
                </c:pt>
                <c:pt idx="209">
                  <c:v>3825.9422956591534</c:v>
                </c:pt>
                <c:pt idx="210">
                  <c:v>3831.2376107012533</c:v>
                </c:pt>
                <c:pt idx="211">
                  <c:v>3836.4939310784239</c:v>
                </c:pt>
                <c:pt idx="212">
                  <c:v>3841.711483633997</c:v>
                </c:pt>
                <c:pt idx="213">
                  <c:v>3846.8904927466419</c:v>
                </c:pt>
                <c:pt idx="214">
                  <c:v>3852.0311803695872</c:v>
                </c:pt>
                <c:pt idx="215">
                  <c:v>3857.1337660690133</c:v>
                </c:pt>
                <c:pt idx="216">
                  <c:v>3862.1984670616621</c:v>
                </c:pt>
                <c:pt idx="217">
                  <c:v>3867.2254982516797</c:v>
                </c:pt>
                <c:pt idx="218">
                  <c:v>3872.2150722667102</c:v>
                </c:pt>
                <c:pt idx="219">
                  <c:v>3877.1673994932485</c:v>
                </c:pt>
                <c:pt idx="220">
                  <c:v>3882.0826881112898</c:v>
                </c:pt>
                <c:pt idx="221">
                  <c:v>3886.9611441282782</c:v>
                </c:pt>
                <c:pt idx="222">
                  <c:v>3891.8029714123791</c:v>
                </c:pt>
                <c:pt idx="223">
                  <c:v>3896.6083717250895</c:v>
                </c:pt>
                <c:pt idx="224">
                  <c:v>3901.377544753198</c:v>
                </c:pt>
                <c:pt idx="225">
                  <c:v>3906.1106881401229</c:v>
                </c:pt>
                <c:pt idx="226">
                  <c:v>3910.8079975166274</c:v>
                </c:pt>
                <c:pt idx="227">
                  <c:v>3915.4696665309375</c:v>
                </c:pt>
                <c:pt idx="228">
                  <c:v>3920.0958868782759</c:v>
                </c:pt>
                <c:pt idx="229">
                  <c:v>3924.6868483298217</c:v>
                </c:pt>
                <c:pt idx="230">
                  <c:v>3929.2427387611128</c:v>
                </c:pt>
                <c:pt idx="231">
                  <c:v>3933.7637441799029</c:v>
                </c:pt>
                <c:pt idx="232">
                  <c:v>3938.2500487534826</c:v>
                </c:pt>
                <c:pt idx="233">
                  <c:v>3942.70183483549</c:v>
                </c:pt>
                <c:pt idx="234">
                  <c:v>3947.1192829922029</c:v>
                </c:pt>
                <c:pt idx="235">
                  <c:v>3951.5025720283411</c:v>
                </c:pt>
                <c:pt idx="236">
                  <c:v>3955.8518790123831</c:v>
                </c:pt>
                <c:pt idx="237">
                  <c:v>3960.1673793014083</c:v>
                </c:pt>
                <c:pt idx="238">
                  <c:v>3964.4492465654766</c:v>
                </c:pt>
                <c:pt idx="239">
                  <c:v>3968.6976528115583</c:v>
                </c:pt>
                <c:pt idx="240">
                  <c:v>3972.9127684070231</c:v>
                </c:pt>
                <c:pt idx="241">
                  <c:v>3977.094762102688</c:v>
                </c:pt>
                <c:pt idx="242">
                  <c:v>3981.2438010554565</c:v>
                </c:pt>
                <c:pt idx="243">
                  <c:v>3985.3600508505351</c:v>
                </c:pt>
                <c:pt idx="244">
                  <c:v>3989.4436755232537</c:v>
                </c:pt>
                <c:pt idx="245">
                  <c:v>3993.4948375804838</c:v>
                </c:pt>
                <c:pt idx="246">
                  <c:v>3997.5136980216821</c:v>
                </c:pt>
                <c:pt idx="247">
                  <c:v>4001.5004163595408</c:v>
                </c:pt>
                <c:pt idx="248">
                  <c:v>4005.4551506402877</c:v>
                </c:pt>
                <c:pt idx="249">
                  <c:v>4009.3780574636116</c:v>
                </c:pt>
                <c:pt idx="250">
                  <c:v>4013.2692920022391</c:v>
                </c:pt>
                <c:pt idx="251">
                  <c:v>4017.1290080211693</c:v>
                </c:pt>
                <c:pt idx="252">
                  <c:v>4020.9573578965683</c:v>
                </c:pt>
                <c:pt idx="253">
                  <c:v>4024.7544926343285</c:v>
                </c:pt>
                <c:pt idx="254">
                  <c:v>4028.5205618883128</c:v>
                </c:pt>
                <c:pt idx="255">
                  <c:v>4032.2557139782762</c:v>
                </c:pt>
                <c:pt idx="256">
                  <c:v>4035.9600959074833</c:v>
                </c:pt>
                <c:pt idx="257">
                  <c:v>4039.6338533800135</c:v>
                </c:pt>
                <c:pt idx="258">
                  <c:v>4043.2771308177785</c:v>
                </c:pt>
                <c:pt idx="259">
                  <c:v>4046.8900713772446</c:v>
                </c:pt>
                <c:pt idx="260">
                  <c:v>4050.4728169658706</c:v>
                </c:pt>
                <c:pt idx="261">
                  <c:v>4054.0255082582694</c:v>
                </c:pt>
                <c:pt idx="262">
                  <c:v>4057.5482847120943</c:v>
                </c:pt>
                <c:pt idx="263">
                  <c:v>4061.0412845836604</c:v>
                </c:pt>
                <c:pt idx="264">
                  <c:v>4064.5046449432998</c:v>
                </c:pt>
                <c:pt idx="265">
                  <c:v>4067.9385016904685</c:v>
                </c:pt>
                <c:pt idx="266">
                  <c:v>4071.3429895685917</c:v>
                </c:pt>
                <c:pt idx="267">
                  <c:v>4074.7182421796765</c:v>
                </c:pt>
                <c:pt idx="268">
                  <c:v>4078.0643919986701</c:v>
                </c:pt>
                <c:pt idx="269">
                  <c:v>4081.3815703875907</c:v>
                </c:pt>
                <c:pt idx="270">
                  <c:v>4084.6699076094233</c:v>
                </c:pt>
                <c:pt idx="271">
                  <c:v>4087.9295328417916</c:v>
                </c:pt>
                <c:pt idx="272">
                  <c:v>4091.1605741904054</c:v>
                </c:pt>
                <c:pt idx="273">
                  <c:v>4094.3631587022896</c:v>
                </c:pt>
                <c:pt idx="274">
                  <c:v>4097.5374123788051</c:v>
                </c:pt>
                <c:pt idx="275">
                  <c:v>4100.683460188453</c:v>
                </c:pt>
                <c:pt idx="276">
                  <c:v>4103.8014260794798</c:v>
                </c:pt>
                <c:pt idx="277">
                  <c:v>4106.8914329922773</c:v>
                </c:pt>
                <c:pt idx="278">
                  <c:v>4109.9536028715893</c:v>
                </c:pt>
                <c:pt idx="279">
                  <c:v>4112.9880566785232</c:v>
                </c:pt>
                <c:pt idx="280">
                  <c:v>4115.9949144023713</c:v>
                </c:pt>
                <c:pt idx="281">
                  <c:v>4118.9742950722457</c:v>
                </c:pt>
                <c:pt idx="282">
                  <c:v>4121.9263167685358</c:v>
                </c:pt>
                <c:pt idx="283">
                  <c:v>4124.8510966341828</c:v>
                </c:pt>
                <c:pt idx="284">
                  <c:v>4127.7487508857739</c:v>
                </c:pt>
                <c:pt idx="285">
                  <c:v>4130.6193948244809</c:v>
                </c:pt>
                <c:pt idx="286">
                  <c:v>4133.4631428468083</c:v>
                </c:pt>
                <c:pt idx="287">
                  <c:v>4136.2801084551947</c:v>
                </c:pt>
                <c:pt idx="288">
                  <c:v>4139.0704042684429</c:v>
                </c:pt>
                <c:pt idx="289">
                  <c:v>4141.8341420319894</c:v>
                </c:pt>
                <c:pt idx="290">
                  <c:v>4144.5714326280213</c:v>
                </c:pt>
                <c:pt idx="291">
                  <c:v>4147.2823860854378</c:v>
                </c:pt>
                <c:pt idx="292">
                  <c:v>4149.9671115896663</c:v>
                </c:pt>
                <c:pt idx="293">
                  <c:v>4152.6257174923176</c:v>
                </c:pt>
                <c:pt idx="294">
                  <c:v>4155.258311320712</c:v>
                </c:pt>
                <c:pt idx="295">
                  <c:v>4157.8649997872571</c:v>
                </c:pt>
                <c:pt idx="296">
                  <c:v>4160.4458887986739</c:v>
                </c:pt>
                <c:pt idx="297">
                  <c:v>4163.0010834651066</c:v>
                </c:pt>
                <c:pt idx="298">
                  <c:v>4165.5306881090828</c:v>
                </c:pt>
                <c:pt idx="299">
                  <c:v>4168.0348062743506</c:v>
                </c:pt>
                <c:pt idx="300">
                  <c:v>4170.5135407345679</c:v>
                </c:pt>
                <c:pt idx="301">
                  <c:v>4172.9669935018956</c:v>
                </c:pt>
                <c:pt idx="302">
                  <c:v>4175.3952658354319</c:v>
                </c:pt>
                <c:pt idx="303">
                  <c:v>4177.7984582495492</c:v>
                </c:pt>
                <c:pt idx="304">
                  <c:v>4180.1766705220944</c:v>
                </c:pt>
                <c:pt idx="305">
                  <c:v>4182.5300017024774</c:v>
                </c:pt>
                <c:pt idx="306">
                  <c:v>4184.8585501196421</c:v>
                </c:pt>
                <c:pt idx="307">
                  <c:v>4187.1624133899222</c:v>
                </c:pt>
                <c:pt idx="308">
                  <c:v>4189.4416884247848</c:v>
                </c:pt>
                <c:pt idx="309">
                  <c:v>4191.6964714384649</c:v>
                </c:pt>
                <c:pt idx="310">
                  <c:v>4193.9268579554864</c:v>
                </c:pt>
                <c:pt idx="311">
                  <c:v>4196.1329428180843</c:v>
                </c:pt>
                <c:pt idx="312">
                  <c:v>4198.3148201935146</c:v>
                </c:pt>
                <c:pt idx="313">
                  <c:v>4200.4725835812651</c:v>
                </c:pt>
                <c:pt idx="314">
                  <c:v>4202.6063258201675</c:v>
                </c:pt>
                <c:pt idx="315">
                  <c:v>4204.7161390953979</c:v>
                </c:pt>
                <c:pt idx="316">
                  <c:v>4206.8021149453998</c:v>
                </c:pt>
                <c:pt idx="317">
                  <c:v>4208.8643442686907</c:v>
                </c:pt>
                <c:pt idx="318">
                  <c:v>4210.9029173305862</c:v>
                </c:pt>
                <c:pt idx="319">
                  <c:v>4212.917923769829</c:v>
                </c:pt>
                <c:pt idx="320">
                  <c:v>4214.909452605124</c:v>
                </c:pt>
                <c:pt idx="321">
                  <c:v>4216.8775922415862</c:v>
                </c:pt>
                <c:pt idx="322">
                  <c:v>4218.8224304770984</c:v>
                </c:pt>
                <c:pt idx="323">
                  <c:v>4220.7440545085865</c:v>
                </c:pt>
                <c:pt idx="324">
                  <c:v>4222.6425509381988</c:v>
                </c:pt>
                <c:pt idx="325">
                  <c:v>4224.5180057794196</c:v>
                </c:pt>
                <c:pt idx="326">
                  <c:v>4226.3705044630788</c:v>
                </c:pt>
                <c:pt idx="327">
                  <c:v>4228.2001318432995</c:v>
                </c:pt>
                <c:pt idx="328">
                  <c:v>4230.0069722033504</c:v>
                </c:pt>
                <c:pt idx="329">
                  <c:v>4231.7911092614331</c:v>
                </c:pt>
                <c:pt idx="330">
                  <c:v>4233.5526261763807</c:v>
                </c:pt>
                <c:pt idx="331">
                  <c:v>4235.2916055532878</c:v>
                </c:pt>
                <c:pt idx="332">
                  <c:v>4237.0081294490674</c:v>
                </c:pt>
                <c:pt idx="333">
                  <c:v>4238.7022793779188</c:v>
                </c:pt>
                <c:pt idx="334">
                  <c:v>4240.3741363167519</c:v>
                </c:pt>
                <c:pt idx="335">
                  <c:v>4242.0237807105068</c:v>
                </c:pt>
                <c:pt idx="336">
                  <c:v>4243.6512924774343</c:v>
                </c:pt>
                <c:pt idx="337">
                  <c:v>4245.2567510142808</c:v>
                </c:pt>
                <c:pt idx="338">
                  <c:v>4246.8402352014282</c:v>
                </c:pt>
                <c:pt idx="339">
                  <c:v>4248.4018234079485</c:v>
                </c:pt>
                <c:pt idx="340">
                  <c:v>4249.94159349661</c:v>
                </c:pt>
                <c:pt idx="341">
                  <c:v>4251.4596228288037</c:v>
                </c:pt>
                <c:pt idx="342">
                  <c:v>4252.9559882694102</c:v>
                </c:pt>
                <c:pt idx="343">
                  <c:v>4254.4307661916218</c:v>
                </c:pt>
                <c:pt idx="344">
                  <c:v>4255.8840324816629</c:v>
                </c:pt>
                <c:pt idx="345">
                  <c:v>4257.315862543499</c:v>
                </c:pt>
                <c:pt idx="346">
                  <c:v>4258.7263313034464</c:v>
                </c:pt>
                <c:pt idx="347">
                  <c:v>4260.115513214746</c:v>
                </c:pt>
                <c:pt idx="348">
                  <c:v>4261.483482262066</c:v>
                </c:pt>
                <c:pt idx="349">
                  <c:v>4262.8303119659586</c:v>
                </c:pt>
                <c:pt idx="350">
                  <c:v>4264.1560753872545</c:v>
                </c:pt>
                <c:pt idx="351">
                  <c:v>4265.4608451313998</c:v>
                </c:pt>
                <c:pt idx="352">
                  <c:v>4266.7446933527481</c:v>
                </c:pt>
                <c:pt idx="353">
                  <c:v>4268.0076917587858</c:v>
                </c:pt>
                <c:pt idx="354">
                  <c:v>4269.2499116143208</c:v>
                </c:pt>
                <c:pt idx="355">
                  <c:v>4270.4714237456028</c:v>
                </c:pt>
                <c:pt idx="356">
                  <c:v>4271.6722985444021</c:v>
                </c:pt>
                <c:pt idx="357">
                  <c:v>4272.8526059720416</c:v>
                </c:pt>
                <c:pt idx="358">
                  <c:v>4274.0124155633675</c:v>
                </c:pt>
                <c:pt idx="359">
                  <c:v>4275.1517964306786</c:v>
                </c:pt>
                <c:pt idx="360">
                  <c:v>4276.2708172676121</c:v>
                </c:pt>
                <c:pt idx="361">
                  <c:v>4277.3695463529675</c:v>
                </c:pt>
                <c:pt idx="362">
                  <c:v>4278.4480515545019</c:v>
                </c:pt>
                <c:pt idx="363">
                  <c:v>4279.5064003326652</c:v>
                </c:pt>
                <c:pt idx="364">
                  <c:v>4280.5446597442951</c:v>
                </c:pt>
                <c:pt idx="365">
                  <c:v>4281.5628964462712</c:v>
                </c:pt>
                <c:pt idx="366">
                  <c:v>4282.5611766991169</c:v>
                </c:pt>
                <c:pt idx="367">
                  <c:v>4283.5395663705649</c:v>
                </c:pt>
                <c:pt idx="368">
                  <c:v>4284.4981309390787</c:v>
                </c:pt>
                <c:pt idx="369">
                  <c:v>4285.4369354973305</c:v>
                </c:pt>
                <c:pt idx="370">
                  <c:v>4286.3560447556356</c:v>
                </c:pt>
                <c:pt idx="371">
                  <c:v>4287.2555230453545</c:v>
                </c:pt>
                <c:pt idx="372">
                  <c:v>4288.135434322242</c:v>
                </c:pt>
                <c:pt idx="373">
                  <c:v>4288.9958421697684</c:v>
                </c:pt>
                <c:pt idx="374">
                  <c:v>4289.8368098023975</c:v>
                </c:pt>
                <c:pt idx="375">
                  <c:v>4290.6584000688208</c:v>
                </c:pt>
                <c:pt idx="376">
                  <c:v>4291.4606754551614</c:v>
                </c:pt>
                <c:pt idx="377">
                  <c:v>4292.2436980881375</c:v>
                </c:pt>
                <c:pt idx="378">
                  <c:v>4293.0075297381882</c:v>
                </c:pt>
                <c:pt idx="379">
                  <c:v>4293.7522318225638</c:v>
                </c:pt>
                <c:pt idx="380">
                  <c:v>4294.4778654083802</c:v>
                </c:pt>
                <c:pt idx="381">
                  <c:v>4295.1844912156394</c:v>
                </c:pt>
                <c:pt idx="382">
                  <c:v>4295.8721696202083</c:v>
                </c:pt>
                <c:pt idx="383">
                  <c:v>4296.5409606567764</c:v>
                </c:pt>
                <c:pt idx="384">
                  <c:v>4297.1909240217628</c:v>
                </c:pt>
                <c:pt idx="385">
                  <c:v>4297.8221190762115</c:v>
                </c:pt>
                <c:pt idx="386">
                  <c:v>4298.4346048486232</c:v>
                </c:pt>
                <c:pt idx="387">
                  <c:v>4299.0284400377886</c:v>
                </c:pt>
                <c:pt idx="388">
                  <c:v>4299.6036830155663</c:v>
                </c:pt>
                <c:pt idx="389">
                  <c:v>4300.160391829636</c:v>
                </c:pt>
                <c:pt idx="390">
                  <c:v>4300.6986242062194</c:v>
                </c:pt>
                <c:pt idx="391">
                  <c:v>4301.2184375527777</c:v>
                </c:pt>
                <c:pt idx="392">
                  <c:v>4301.7198889606716</c:v>
                </c:pt>
                <c:pt idx="393">
                  <c:v>4302.2030352077845</c:v>
                </c:pt>
                <c:pt idx="394">
                  <c:v>4302.6679327611364</c:v>
                </c:pt>
                <c:pt idx="395">
                  <c:v>4303.1146377794448</c:v>
                </c:pt>
                <c:pt idx="396">
                  <c:v>4303.5432061156835</c:v>
                </c:pt>
                <c:pt idx="397">
                  <c:v>4303.9536933195841</c:v>
                </c:pt>
                <c:pt idx="398">
                  <c:v>4304.3461546401313</c:v>
                </c:pt>
                <c:pt idx="399">
                  <c:v>4304.7206450280228</c:v>
                </c:pt>
                <c:pt idx="400">
                  <c:v>4305.0772191381029</c:v>
                </c:pt>
                <c:pt idx="401">
                  <c:v>4305.4159313317659</c:v>
                </c:pt>
                <c:pt idx="402">
                  <c:v>4305.7368356793413</c:v>
                </c:pt>
                <c:pt idx="403">
                  <c:v>4306.039985962444</c:v>
                </c:pt>
                <c:pt idx="404">
                  <c:v>4306.3254356763027</c:v>
                </c:pt>
                <c:pt idx="405">
                  <c:v>4306.5932380320628</c:v>
                </c:pt>
                <c:pt idx="406">
                  <c:v>4306.843445959068</c:v>
                </c:pt>
                <c:pt idx="407">
                  <c:v>4307.0761121071091</c:v>
                </c:pt>
                <c:pt idx="408">
                  <c:v>4307.2912888486517</c:v>
                </c:pt>
                <c:pt idx="409">
                  <c:v>4307.4890282810447</c:v>
                </c:pt>
                <c:pt idx="410">
                  <c:v>4307.6693822287007</c:v>
                </c:pt>
                <c:pt idx="411">
                  <c:v>4307.832402245248</c:v>
                </c:pt>
                <c:pt idx="412">
                  <c:v>4307.9781396156732</c:v>
                </c:pt>
                <c:pt idx="413">
                  <c:v>4308.1066453584235</c:v>
                </c:pt>
                <c:pt idx="414">
                  <c:v>4308.2179702275034</c:v>
                </c:pt>
                <c:pt idx="415">
                  <c:v>4308.3121647145335</c:v>
                </c:pt>
                <c:pt idx="416">
                  <c:v>4308.3892790508053</c:v>
                </c:pt>
                <c:pt idx="417">
                  <c:v>4308.4493632092899</c:v>
                </c:pt>
                <c:pt idx="418">
                  <c:v>4308.4924669066531</c:v>
                </c:pt>
                <c:pt idx="419">
                  <c:v>4308.5186396052268</c:v>
                </c:pt>
                <c:pt idx="420">
                  <c:v>4308.5279305149697</c:v>
                </c:pt>
                <c:pt idx="421">
                  <c:v>4308.5203885954106</c:v>
                </c:pt>
                <c:pt idx="422">
                  <c:v>4308.4960625575604</c:v>
                </c:pt>
                <c:pt idx="423">
                  <c:v>4308.4550008658143</c:v>
                </c:pt>
                <c:pt idx="424">
                  <c:v>4308.3972517398297</c:v>
                </c:pt>
                <c:pt idx="425">
                  <c:v>4308.3228631563825</c:v>
                </c:pt>
                <c:pt idx="426">
                  <c:v>4308.2318828512098</c:v>
                </c:pt>
                <c:pt idx="427">
                  <c:v>4308.1243583208279</c:v>
                </c:pt>
                <c:pt idx="428">
                  <c:v>4308.0003368243351</c:v>
                </c:pt>
                <c:pt idx="429">
                  <c:v>4307.8598653851923</c:v>
                </c:pt>
                <c:pt idx="430">
                  <c:v>4307.7029907929891</c:v>
                </c:pt>
                <c:pt idx="431">
                  <c:v>4307.5297596051923</c:v>
                </c:pt>
                <c:pt idx="432">
                  <c:v>4307.3402181488691</c:v>
                </c:pt>
                <c:pt idx="433">
                  <c:v>4307.1344125223986</c:v>
                </c:pt>
                <c:pt idx="434">
                  <c:v>4306.9123885971721</c:v>
                </c:pt>
                <c:pt idx="435">
                  <c:v>4306.6741920192553</c:v>
                </c:pt>
                <c:pt idx="436">
                  <c:v>4306.4198682110591</c:v>
                </c:pt>
                <c:pt idx="437">
                  <c:v>4306.1494623729768</c:v>
                </c:pt>
                <c:pt idx="438">
                  <c:v>4305.8630194850057</c:v>
                </c:pt>
                <c:pt idx="439">
                  <c:v>4305.5605843083622</c:v>
                </c:pt>
                <c:pt idx="440">
                  <c:v>4305.2422013870691</c:v>
                </c:pt>
                <c:pt idx="441">
                  <c:v>4304.9079150495345</c:v>
                </c:pt>
                <c:pt idx="442">
                  <c:v>4304.5577694101075</c:v>
                </c:pt>
                <c:pt idx="443">
                  <c:v>4304.1918083706341</c:v>
                </c:pt>
                <c:pt idx="444">
                  <c:v>4303.8100756219674</c:v>
                </c:pt>
                <c:pt idx="445">
                  <c:v>4303.4126146455028</c:v>
                </c:pt>
                <c:pt idx="446">
                  <c:v>4302.9994687146609</c:v>
                </c:pt>
                <c:pt idx="447">
                  <c:v>4302.570680896376</c:v>
                </c:pt>
                <c:pt idx="448">
                  <c:v>4302.1262940525703</c:v>
                </c:pt>
                <c:pt idx="449">
                  <c:v>4301.6663508415968</c:v>
                </c:pt>
                <c:pt idx="450">
                  <c:v>4301.1908937196904</c:v>
                </c:pt>
                <c:pt idx="451">
                  <c:v>4300.699964942386</c:v>
                </c:pt>
                <c:pt idx="452">
                  <c:v>4300.1936065659365</c:v>
                </c:pt>
                <c:pt idx="453">
                  <c:v>4299.6718604487005</c:v>
                </c:pt>
                <c:pt idx="454">
                  <c:v>4299.1347682525384</c:v>
                </c:pt>
                <c:pt idx="455">
                  <c:v>4298.5823714441703</c:v>
                </c:pt>
                <c:pt idx="456">
                  <c:v>4298.0147112965442</c:v>
                </c:pt>
                <c:pt idx="457">
                  <c:v>4297.4318288901677</c:v>
                </c:pt>
                <c:pt idx="458">
                  <c:v>4296.8337651144484</c:v>
                </c:pt>
                <c:pt idx="459">
                  <c:v>4296.220560669005</c:v>
                </c:pt>
                <c:pt idx="460">
                  <c:v>4295.5922560649742</c:v>
                </c:pt>
                <c:pt idx="461">
                  <c:v>4294.9488916263017</c:v>
                </c:pt>
                <c:pt idx="462">
                  <c:v>4294.2905074910186</c:v>
                </c:pt>
                <c:pt idx="463">
                  <c:v>4293.6171436125169</c:v>
                </c:pt>
                <c:pt idx="464">
                  <c:v>4292.9288397607907</c:v>
                </c:pt>
                <c:pt idx="465">
                  <c:v>4292.2256355236905</c:v>
                </c:pt>
                <c:pt idx="466">
                  <c:v>4291.5075703081457</c:v>
                </c:pt>
                <c:pt idx="467">
                  <c:v>4290.7746833413867</c:v>
                </c:pt>
                <c:pt idx="468">
                  <c:v>4290.027013672152</c:v>
                </c:pt>
                <c:pt idx="469">
                  <c:v>4289.2646001718786</c:v>
                </c:pt>
                <c:pt idx="470">
                  <c:v>4288.4874815358926</c:v>
                </c:pt>
                <c:pt idx="471">
                  <c:v>4287.6956962845761</c:v>
                </c:pt>
                <c:pt idx="472">
                  <c:v>4286.8892827645304</c:v>
                </c:pt>
                <c:pt idx="473">
                  <c:v>4286.0682791497238</c:v>
                </c:pt>
                <c:pt idx="474">
                  <c:v>4285.2327234426384</c:v>
                </c:pt>
                <c:pt idx="475">
                  <c:v>4284.3826534753825</c:v>
                </c:pt>
                <c:pt idx="476">
                  <c:v>4283.5181069108266</c:v>
                </c:pt>
                <c:pt idx="477">
                  <c:v>4282.6391212436974</c:v>
                </c:pt>
                <c:pt idx="478">
                  <c:v>4281.7457338016784</c:v>
                </c:pt>
                <c:pt idx="479">
                  <c:v>4280.8379817464956</c:v>
                </c:pt>
                <c:pt idx="480">
                  <c:v>4279.9159020749939</c:v>
                </c:pt>
                <c:pt idx="481">
                  <c:v>4278.9795316202008</c:v>
                </c:pt>
                <c:pt idx="482">
                  <c:v>4278.0289070523822</c:v>
                </c:pt>
                <c:pt idx="483">
                  <c:v>4277.0640648800918</c:v>
                </c:pt>
                <c:pt idx="484">
                  <c:v>4276.0850414511997</c:v>
                </c:pt>
                <c:pt idx="485">
                  <c:v>4275.0918729539244</c:v>
                </c:pt>
                <c:pt idx="486">
                  <c:v>4274.0845954178458</c:v>
                </c:pt>
                <c:pt idx="487">
                  <c:v>4273.0632447149146</c:v>
                </c:pt>
                <c:pt idx="488">
                  <c:v>4272.0278565604476</c:v>
                </c:pt>
                <c:pt idx="489">
                  <c:v>4270.978466514116</c:v>
                </c:pt>
                <c:pt idx="490">
                  <c:v>4269.9151099809242</c:v>
                </c:pt>
                <c:pt idx="491">
                  <c:v>4268.8378222121819</c:v>
                </c:pt>
                <c:pt idx="492">
                  <c:v>4267.7466383064602</c:v>
                </c:pt>
                <c:pt idx="493">
                  <c:v>4266.6415932105492</c:v>
                </c:pt>
                <c:pt idx="494">
                  <c:v>4265.5227217203965</c:v>
                </c:pt>
                <c:pt idx="495">
                  <c:v>4264.3900584820403</c:v>
                </c:pt>
                <c:pt idx="496">
                  <c:v>4263.2436379925412</c:v>
                </c:pt>
                <c:pt idx="497">
                  <c:v>4262.0834946008945</c:v>
                </c:pt>
                <c:pt idx="498">
                  <c:v>4260.9096625089342</c:v>
                </c:pt>
                <c:pt idx="499">
                  <c:v>4259.7221757722464</c:v>
                </c:pt>
                <c:pt idx="500">
                  <c:v>4258.5210683010473</c:v>
                </c:pt>
                <c:pt idx="501">
                  <c:v>4257.3063738610726</c:v>
                </c:pt>
                <c:pt idx="502">
                  <c:v>4256.0781260744552</c:v>
                </c:pt>
                <c:pt idx="503">
                  <c:v>4254.8363584205908</c:v>
                </c:pt>
                <c:pt idx="504">
                  <c:v>4253.5811042369905</c:v>
                </c:pt>
                <c:pt idx="505">
                  <c:v>4252.3123967201445</c:v>
                </c:pt>
                <c:pt idx="506">
                  <c:v>4251.0302689263581</c:v>
                </c:pt>
                <c:pt idx="507">
                  <c:v>4249.7347537725855</c:v>
                </c:pt>
                <c:pt idx="508">
                  <c:v>4248.4258840372668</c:v>
                </c:pt>
                <c:pt idx="509">
                  <c:v>4247.10369236114</c:v>
                </c:pt>
                <c:pt idx="510">
                  <c:v>4245.7682112480579</c:v>
                </c:pt>
                <c:pt idx="511">
                  <c:v>4244.4194730657955</c:v>
                </c:pt>
                <c:pt idx="512">
                  <c:v>4243.057510046845</c:v>
                </c:pt>
                <c:pt idx="513">
                  <c:v>4241.6823542892089</c:v>
                </c:pt>
                <c:pt idx="514">
                  <c:v>4240.2940377571831</c:v>
                </c:pt>
                <c:pt idx="515">
                  <c:v>4238.8925922821363</c:v>
                </c:pt>
                <c:pt idx="516">
                  <c:v>4237.4780495632731</c:v>
                </c:pt>
                <c:pt idx="517">
                  <c:v>4236.0504411684051</c:v>
                </c:pt>
                <c:pt idx="518">
                  <c:v>4234.6097985346978</c:v>
                </c:pt>
                <c:pt idx="519">
                  <c:v>4233.15615296943</c:v>
                </c:pt>
                <c:pt idx="520">
                  <c:v>4231.6895356507239</c:v>
                </c:pt>
                <c:pt idx="521">
                  <c:v>4230.2099776282912</c:v>
                </c:pt>
                <c:pt idx="522">
                  <c:v>4228.7175098241532</c:v>
                </c:pt>
                <c:pt idx="523">
                  <c:v>4227.2121630333722</c:v>
                </c:pt>
                <c:pt idx="524">
                  <c:v>4225.6939679247535</c:v>
                </c:pt>
                <c:pt idx="525">
                  <c:v>4224.1629550415691</c:v>
                </c:pt>
                <c:pt idx="526">
                  <c:v>4222.6191548022507</c:v>
                </c:pt>
                <c:pt idx="527">
                  <c:v>4221.0625975010889</c:v>
                </c:pt>
                <c:pt idx="528">
                  <c:v>4219.4933133089235</c:v>
                </c:pt>
                <c:pt idx="529">
                  <c:v>4217.911332273824</c:v>
                </c:pt>
                <c:pt idx="530">
                  <c:v>4216.3166843217732</c:v>
                </c:pt>
                <c:pt idx="531">
                  <c:v>4214.7093992573336</c:v>
                </c:pt>
                <c:pt idx="532">
                  <c:v>4213.0895067643123</c:v>
                </c:pt>
                <c:pt idx="533">
                  <c:v>4211.4570364064239</c:v>
                </c:pt>
                <c:pt idx="534">
                  <c:v>4209.8120176279408</c:v>
                </c:pt>
                <c:pt idx="535">
                  <c:v>4208.1544797543438</c:v>
                </c:pt>
                <c:pt idx="536">
                  <c:v>4206.4844519929575</c:v>
                </c:pt>
                <c:pt idx="537">
                  <c:v>4204.8019634335933</c:v>
                </c:pt>
                <c:pt idx="538">
                  <c:v>4203.1070430491736</c:v>
                </c:pt>
                <c:pt idx="539">
                  <c:v>4201.3997196963601</c:v>
                </c:pt>
                <c:pt idx="540">
                  <c:v>4199.6800221161693</c:v>
                </c:pt>
                <c:pt idx="541">
                  <c:v>4197.9479789345887</c:v>
                </c:pt>
                <c:pt idx="542">
                  <c:v>4196.2036186631794</c:v>
                </c:pt>
                <c:pt idx="543">
                  <c:v>4194.4469696996885</c:v>
                </c:pt>
                <c:pt idx="544">
                  <c:v>4192.6780603286261</c:v>
                </c:pt>
                <c:pt idx="545">
                  <c:v>4190.8969187218809</c:v>
                </c:pt>
                <c:pt idx="546">
                  <c:v>4189.103572939287</c:v>
                </c:pt>
                <c:pt idx="547">
                  <c:v>4187.2980509292111</c:v>
                </c:pt>
                <c:pt idx="548">
                  <c:v>4185.4803805291313</c:v>
                </c:pt>
                <c:pt idx="549">
                  <c:v>4183.6505894661996</c:v>
                </c:pt>
                <c:pt idx="550">
                  <c:v>4181.8087053578138</c:v>
                </c:pt>
                <c:pt idx="551">
                  <c:v>4179.9547557121705</c:v>
                </c:pt>
                <c:pt idx="552">
                  <c:v>4178.0887679288271</c:v>
                </c:pt>
                <c:pt idx="553">
                  <c:v>4176.2107692992431</c:v>
                </c:pt>
                <c:pt idx="554">
                  <c:v>4174.3207870073338</c:v>
                </c:pt>
                <c:pt idx="555">
                  <c:v>4172.4188481299998</c:v>
                </c:pt>
                <c:pt idx="556">
                  <c:v>4170.5049796376707</c:v>
                </c:pt>
                <c:pt idx="557">
                  <c:v>4168.5792083948299</c:v>
                </c:pt>
                <c:pt idx="558">
                  <c:v>4166.6415611605416</c:v>
                </c:pt>
                <c:pt idx="559">
                  <c:v>4164.6920645889686</c:v>
                </c:pt>
                <c:pt idx="560">
                  <c:v>4162.7307452298901</c:v>
                </c:pt>
                <c:pt idx="561">
                  <c:v>4160.7576295292138</c:v>
                </c:pt>
                <c:pt idx="562">
                  <c:v>4158.772743829476</c:v>
                </c:pt>
                <c:pt idx="563">
                  <c:v>4156.776114370351</c:v>
                </c:pt>
                <c:pt idx="564">
                  <c:v>4154.7677672891386</c:v>
                </c:pt>
                <c:pt idx="565">
                  <c:v>4152.747728621267</c:v>
                </c:pt>
                <c:pt idx="566">
                  <c:v>4150.7160243007711</c:v>
                </c:pt>
                <c:pt idx="567">
                  <c:v>4148.6726801607811</c:v>
                </c:pt>
                <c:pt idx="568">
                  <c:v>4146.6177219339997</c:v>
                </c:pt>
                <c:pt idx="569">
                  <c:v>4144.5511752531766</c:v>
                </c:pt>
                <c:pt idx="570">
                  <c:v>4142.4730656515776</c:v>
                </c:pt>
                <c:pt idx="571">
                  <c:v>4140.3834185634514</c:v>
                </c:pt>
                <c:pt idx="572">
                  <c:v>4138.282259324491</c:v>
                </c:pt>
                <c:pt idx="573">
                  <c:v>4136.1696131722883</c:v>
                </c:pt>
                <c:pt idx="574">
                  <c:v>4134.0455052467905</c:v>
                </c:pt>
                <c:pt idx="575">
                  <c:v>4131.909960590745</c:v>
                </c:pt>
                <c:pt idx="576">
                  <c:v>4129.7630041501488</c:v>
                </c:pt>
                <c:pt idx="577">
                  <c:v>4127.6046607746794</c:v>
                </c:pt>
                <c:pt idx="578">
                  <c:v>4125.4349552181429</c:v>
                </c:pt>
                <c:pt idx="579">
                  <c:v>4123.2539121388963</c:v>
                </c:pt>
                <c:pt idx="580">
                  <c:v>4121.0615561002805</c:v>
                </c:pt>
                <c:pt idx="581">
                  <c:v>4118.857911571039</c:v>
                </c:pt>
                <c:pt idx="582">
                  <c:v>4116.6430029257453</c:v>
                </c:pt>
                <c:pt idx="583">
                  <c:v>4114.4168544452132</c:v>
                </c:pt>
                <c:pt idx="584">
                  <c:v>4112.1794903169084</c:v>
                </c:pt>
                <c:pt idx="585">
                  <c:v>4109.9309346353621</c:v>
                </c:pt>
                <c:pt idx="586">
                  <c:v>4107.6712114025659</c:v>
                </c:pt>
                <c:pt idx="587">
                  <c:v>4105.4003445283815</c:v>
                </c:pt>
                <c:pt idx="588">
                  <c:v>4103.118357830931</c:v>
                </c:pt>
                <c:pt idx="589">
                  <c:v>4100.8252750369911</c:v>
                </c:pt>
                <c:pt idx="590">
                  <c:v>4098.5211197823819</c:v>
                </c:pt>
                <c:pt idx="591">
                  <c:v>4096.2059156123523</c:v>
                </c:pt>
                <c:pt idx="592">
                  <c:v>4093.8796859819622</c:v>
                </c:pt>
                <c:pt idx="593">
                  <c:v>4091.5424542564556</c:v>
                </c:pt>
                <c:pt idx="594">
                  <c:v>4089.1942437116418</c:v>
                </c:pt>
                <c:pt idx="595">
                  <c:v>4086.8350775342578</c:v>
                </c:pt>
                <c:pt idx="596">
                  <c:v>4084.4649788223401</c:v>
                </c:pt>
                <c:pt idx="597">
                  <c:v>4082.083970585586</c:v>
                </c:pt>
                <c:pt idx="598">
                  <c:v>4079.6920757457128</c:v>
                </c:pt>
                <c:pt idx="599">
                  <c:v>4077.2893171368141</c:v>
                </c:pt>
                <c:pt idx="600">
                  <c:v>4074.8757175057108</c:v>
                </c:pt>
                <c:pt idx="601">
                  <c:v>4072.4512995123009</c:v>
                </c:pt>
                <c:pt idx="602">
                  <c:v>4070.0160857299061</c:v>
                </c:pt>
                <c:pt idx="603">
                  <c:v>4067.5700986456095</c:v>
                </c:pt>
                <c:pt idx="604">
                  <c:v>4065.1133606605986</c:v>
                </c:pt>
                <c:pt idx="605">
                  <c:v>4062.6458940904963</c:v>
                </c:pt>
                <c:pt idx="606">
                  <c:v>4060.1677211656947</c:v>
                </c:pt>
                <c:pt idx="607">
                  <c:v>4057.6788640316822</c:v>
                </c:pt>
                <c:pt idx="608">
                  <c:v>4055.1793447493683</c:v>
                </c:pt>
                <c:pt idx="609">
                  <c:v>4052.6691852954041</c:v>
                </c:pt>
                <c:pt idx="610">
                  <c:v>4050.1484075625017</c:v>
                </c:pt>
                <c:pt idx="611">
                  <c:v>4047.6170333597488</c:v>
                </c:pt>
                <c:pt idx="612">
                  <c:v>4045.075084412917</c:v>
                </c:pt>
                <c:pt idx="613">
                  <c:v>4042.5225823647756</c:v>
                </c:pt>
                <c:pt idx="614">
                  <c:v>4039.9595487753904</c:v>
                </c:pt>
                <c:pt idx="615">
                  <c:v>4037.3860051224292</c:v>
                </c:pt>
                <c:pt idx="616">
                  <c:v>4034.8019728014569</c:v>
                </c:pt>
                <c:pt idx="617">
                  <c:v>4032.207473126236</c:v>
                </c:pt>
                <c:pt idx="618">
                  <c:v>4029.6025273290124</c:v>
                </c:pt>
                <c:pt idx="619">
                  <c:v>4026.9871565608069</c:v>
                </c:pt>
                <c:pt idx="620">
                  <c:v>4024.3613818917011</c:v>
                </c:pt>
                <c:pt idx="621">
                  <c:v>4021.7252243111197</c:v>
                </c:pt>
                <c:pt idx="622">
                  <c:v>4019.0787047281092</c:v>
                </c:pt>
                <c:pt idx="623">
                  <c:v>4016.4218439716137</c:v>
                </c:pt>
                <c:pt idx="624">
                  <c:v>4013.7546627907514</c:v>
                </c:pt>
                <c:pt idx="625">
                  <c:v>4011.0788089238731</c:v>
                </c:pt>
                <c:pt idx="626">
                  <c:v>4008.4019696450159</c:v>
                </c:pt>
                <c:pt idx="627">
                  <c:v>4005.7251303661587</c:v>
                </c:pt>
                <c:pt idx="628">
                  <c:v>4003.0482910873015</c:v>
                </c:pt>
                <c:pt idx="629">
                  <c:v>4000.3714518084444</c:v>
                </c:pt>
                <c:pt idx="630">
                  <c:v>3997.6946125295872</c:v>
                </c:pt>
                <c:pt idx="631">
                  <c:v>3995.0177732507295</c:v>
                </c:pt>
                <c:pt idx="632">
                  <c:v>3992.3409339718723</c:v>
                </c:pt>
                <c:pt idx="633">
                  <c:v>3989.6640946930152</c:v>
                </c:pt>
                <c:pt idx="634">
                  <c:v>3986.987255414158</c:v>
                </c:pt>
                <c:pt idx="635">
                  <c:v>3984.3104161353008</c:v>
                </c:pt>
                <c:pt idx="636">
                  <c:v>3981.6335768564431</c:v>
                </c:pt>
                <c:pt idx="637">
                  <c:v>3978.956737577586</c:v>
                </c:pt>
                <c:pt idx="638">
                  <c:v>3976.2798982987288</c:v>
                </c:pt>
                <c:pt idx="639">
                  <c:v>3973.6030590198716</c:v>
                </c:pt>
                <c:pt idx="640">
                  <c:v>3970.9262197410139</c:v>
                </c:pt>
                <c:pt idx="641">
                  <c:v>3968.2493804621568</c:v>
                </c:pt>
                <c:pt idx="642">
                  <c:v>3965.5725411832996</c:v>
                </c:pt>
                <c:pt idx="643">
                  <c:v>3962.8957019044428</c:v>
                </c:pt>
                <c:pt idx="644">
                  <c:v>3960.2188626255852</c:v>
                </c:pt>
                <c:pt idx="645">
                  <c:v>3957.542023346728</c:v>
                </c:pt>
                <c:pt idx="646">
                  <c:v>3954.8651840678704</c:v>
                </c:pt>
                <c:pt idx="647">
                  <c:v>3952.1883447890132</c:v>
                </c:pt>
                <c:pt idx="648">
                  <c:v>3949.511505510156</c:v>
                </c:pt>
                <c:pt idx="649">
                  <c:v>3946.8346662312988</c:v>
                </c:pt>
                <c:pt idx="650">
                  <c:v>3944.1578269524416</c:v>
                </c:pt>
                <c:pt idx="651">
                  <c:v>3941.480987673584</c:v>
                </c:pt>
                <c:pt idx="652">
                  <c:v>3938.8041483947268</c:v>
                </c:pt>
                <c:pt idx="653">
                  <c:v>3936.1273091158696</c:v>
                </c:pt>
                <c:pt idx="654">
                  <c:v>3933.450469837012</c:v>
                </c:pt>
                <c:pt idx="655">
                  <c:v>3930.7736305581548</c:v>
                </c:pt>
                <c:pt idx="656">
                  <c:v>3928.096791279298</c:v>
                </c:pt>
                <c:pt idx="657">
                  <c:v>3925.4199520004404</c:v>
                </c:pt>
                <c:pt idx="658">
                  <c:v>3922.7431127215832</c:v>
                </c:pt>
                <c:pt idx="659">
                  <c:v>3920.066273442726</c:v>
                </c:pt>
                <c:pt idx="660">
                  <c:v>3917.3894341638688</c:v>
                </c:pt>
                <c:pt idx="661">
                  <c:v>3914.7125948850112</c:v>
                </c:pt>
                <c:pt idx="662">
                  <c:v>3912.035755606154</c:v>
                </c:pt>
                <c:pt idx="663">
                  <c:v>3909.3589163272968</c:v>
                </c:pt>
                <c:pt idx="664">
                  <c:v>3906.6820770484392</c:v>
                </c:pt>
                <c:pt idx="665">
                  <c:v>3904.005237769582</c:v>
                </c:pt>
                <c:pt idx="666">
                  <c:v>3901.3283984907248</c:v>
                </c:pt>
                <c:pt idx="667">
                  <c:v>3898.6515592118676</c:v>
                </c:pt>
                <c:pt idx="668">
                  <c:v>3895.9747199330104</c:v>
                </c:pt>
                <c:pt idx="669">
                  <c:v>3893.2978806541532</c:v>
                </c:pt>
                <c:pt idx="670">
                  <c:v>3890.621041375296</c:v>
                </c:pt>
                <c:pt idx="671">
                  <c:v>3887.9442020964389</c:v>
                </c:pt>
                <c:pt idx="672">
                  <c:v>3885.2673628175812</c:v>
                </c:pt>
                <c:pt idx="673">
                  <c:v>3882.590523538724</c:v>
                </c:pt>
                <c:pt idx="674">
                  <c:v>3879.9136842598668</c:v>
                </c:pt>
                <c:pt idx="675">
                  <c:v>3877.2368449810092</c:v>
                </c:pt>
                <c:pt idx="676">
                  <c:v>3874.560005702152</c:v>
                </c:pt>
                <c:pt idx="677">
                  <c:v>3871.8831664232948</c:v>
                </c:pt>
                <c:pt idx="678">
                  <c:v>3869.2063271444376</c:v>
                </c:pt>
                <c:pt idx="679">
                  <c:v>3866.52948786558</c:v>
                </c:pt>
                <c:pt idx="680">
                  <c:v>3863.8526485867228</c:v>
                </c:pt>
                <c:pt idx="681">
                  <c:v>3861.1758093078661</c:v>
                </c:pt>
                <c:pt idx="682">
                  <c:v>3858.4989700290084</c:v>
                </c:pt>
                <c:pt idx="683">
                  <c:v>3855.8221307501512</c:v>
                </c:pt>
                <c:pt idx="684">
                  <c:v>3853.1452914712941</c:v>
                </c:pt>
                <c:pt idx="685">
                  <c:v>3850.4684521924364</c:v>
                </c:pt>
                <c:pt idx="686">
                  <c:v>3847.7916129135792</c:v>
                </c:pt>
                <c:pt idx="687">
                  <c:v>3845.114773634722</c:v>
                </c:pt>
                <c:pt idx="688">
                  <c:v>3842.4379343558649</c:v>
                </c:pt>
                <c:pt idx="689">
                  <c:v>3839.7610950770077</c:v>
                </c:pt>
                <c:pt idx="690">
                  <c:v>3837.0842557981505</c:v>
                </c:pt>
                <c:pt idx="691">
                  <c:v>3834.4074165192933</c:v>
                </c:pt>
                <c:pt idx="692">
                  <c:v>3831.7305772404361</c:v>
                </c:pt>
                <c:pt idx="693">
                  <c:v>3829.0537379615785</c:v>
                </c:pt>
                <c:pt idx="694">
                  <c:v>3826.3768986827213</c:v>
                </c:pt>
                <c:pt idx="695">
                  <c:v>3823.7000594038641</c:v>
                </c:pt>
                <c:pt idx="696">
                  <c:v>3821.0232201250064</c:v>
                </c:pt>
                <c:pt idx="697">
                  <c:v>3818.3463808461497</c:v>
                </c:pt>
                <c:pt idx="698">
                  <c:v>3815.6695415672925</c:v>
                </c:pt>
                <c:pt idx="699">
                  <c:v>3812.9927022884349</c:v>
                </c:pt>
                <c:pt idx="700">
                  <c:v>3810.3158630095777</c:v>
                </c:pt>
                <c:pt idx="701">
                  <c:v>3807.6390237307205</c:v>
                </c:pt>
                <c:pt idx="702">
                  <c:v>3804.9621844518633</c:v>
                </c:pt>
                <c:pt idx="703">
                  <c:v>3802.2853451730057</c:v>
                </c:pt>
                <c:pt idx="704">
                  <c:v>3799.6085058941485</c:v>
                </c:pt>
                <c:pt idx="705">
                  <c:v>3796.9316666152913</c:v>
                </c:pt>
                <c:pt idx="706">
                  <c:v>3794.2548273364337</c:v>
                </c:pt>
                <c:pt idx="707">
                  <c:v>3791.5779880575765</c:v>
                </c:pt>
                <c:pt idx="708">
                  <c:v>3788.9011487787193</c:v>
                </c:pt>
                <c:pt idx="709">
                  <c:v>3786.2243094998621</c:v>
                </c:pt>
                <c:pt idx="710">
                  <c:v>3783.5474702210049</c:v>
                </c:pt>
                <c:pt idx="711">
                  <c:v>3780.8706309421477</c:v>
                </c:pt>
                <c:pt idx="712">
                  <c:v>3778.1937916632905</c:v>
                </c:pt>
                <c:pt idx="713">
                  <c:v>3775.5169523844334</c:v>
                </c:pt>
                <c:pt idx="714">
                  <c:v>3772.8401131055757</c:v>
                </c:pt>
                <c:pt idx="715">
                  <c:v>3770.1632738267185</c:v>
                </c:pt>
                <c:pt idx="716">
                  <c:v>3767.4864345478613</c:v>
                </c:pt>
                <c:pt idx="717">
                  <c:v>3764.8095952690037</c:v>
                </c:pt>
                <c:pt idx="718">
                  <c:v>3762.1327559901465</c:v>
                </c:pt>
                <c:pt idx="719">
                  <c:v>3759.4559167112893</c:v>
                </c:pt>
                <c:pt idx="720">
                  <c:v>3756.7790774324321</c:v>
                </c:pt>
                <c:pt idx="721">
                  <c:v>3754.1022381535745</c:v>
                </c:pt>
                <c:pt idx="722">
                  <c:v>3751.4253988747178</c:v>
                </c:pt>
                <c:pt idx="723">
                  <c:v>3748.7485595958606</c:v>
                </c:pt>
                <c:pt idx="724">
                  <c:v>3746.0717203170029</c:v>
                </c:pt>
                <c:pt idx="725">
                  <c:v>3743.3948810381457</c:v>
                </c:pt>
                <c:pt idx="726">
                  <c:v>3740.7180417592886</c:v>
                </c:pt>
                <c:pt idx="727">
                  <c:v>3738.0412024804309</c:v>
                </c:pt>
                <c:pt idx="728">
                  <c:v>3735.3643632015737</c:v>
                </c:pt>
                <c:pt idx="729">
                  <c:v>3732.6875239227165</c:v>
                </c:pt>
                <c:pt idx="730">
                  <c:v>3730.0106846438593</c:v>
                </c:pt>
                <c:pt idx="731">
                  <c:v>3727.3338453650022</c:v>
                </c:pt>
                <c:pt idx="732">
                  <c:v>3724.6570060861445</c:v>
                </c:pt>
                <c:pt idx="733">
                  <c:v>3721.9801668072873</c:v>
                </c:pt>
                <c:pt idx="734">
                  <c:v>3719.3033275284297</c:v>
                </c:pt>
                <c:pt idx="735">
                  <c:v>3716.626488249573</c:v>
                </c:pt>
                <c:pt idx="736">
                  <c:v>3713.9496489707158</c:v>
                </c:pt>
                <c:pt idx="737">
                  <c:v>3711.2728096918586</c:v>
                </c:pt>
                <c:pt idx="738">
                  <c:v>3708.5959704130009</c:v>
                </c:pt>
                <c:pt idx="739">
                  <c:v>3705.9191311341438</c:v>
                </c:pt>
                <c:pt idx="740">
                  <c:v>3703.2422918552866</c:v>
                </c:pt>
                <c:pt idx="741">
                  <c:v>3700.5654525764294</c:v>
                </c:pt>
                <c:pt idx="742">
                  <c:v>3697.8886132975717</c:v>
                </c:pt>
                <c:pt idx="743">
                  <c:v>3695.2117740187146</c:v>
                </c:pt>
                <c:pt idx="744">
                  <c:v>3692.5349347398574</c:v>
                </c:pt>
                <c:pt idx="745">
                  <c:v>3689.8580954609997</c:v>
                </c:pt>
                <c:pt idx="746">
                  <c:v>3687.1812561821425</c:v>
                </c:pt>
                <c:pt idx="747">
                  <c:v>3684.5044169032858</c:v>
                </c:pt>
                <c:pt idx="748">
                  <c:v>3681.8275776244282</c:v>
                </c:pt>
                <c:pt idx="749">
                  <c:v>3679.150738345571</c:v>
                </c:pt>
                <c:pt idx="750">
                  <c:v>3676.4738990667138</c:v>
                </c:pt>
                <c:pt idx="751">
                  <c:v>3673.7970597878566</c:v>
                </c:pt>
                <c:pt idx="752">
                  <c:v>3671.1202205089994</c:v>
                </c:pt>
                <c:pt idx="753">
                  <c:v>3668.4433812301418</c:v>
                </c:pt>
                <c:pt idx="754">
                  <c:v>3665.7665419512846</c:v>
                </c:pt>
                <c:pt idx="755">
                  <c:v>3663.0897026724269</c:v>
                </c:pt>
                <c:pt idx="756">
                  <c:v>3660.4128633935698</c:v>
                </c:pt>
                <c:pt idx="757">
                  <c:v>3657.7360241147126</c:v>
                </c:pt>
                <c:pt idx="758">
                  <c:v>3655.0591848358554</c:v>
                </c:pt>
                <c:pt idx="759">
                  <c:v>3652.3823455569982</c:v>
                </c:pt>
                <c:pt idx="760">
                  <c:v>3649.705506278141</c:v>
                </c:pt>
                <c:pt idx="761">
                  <c:v>3647.0286669992838</c:v>
                </c:pt>
                <c:pt idx="762">
                  <c:v>3644.3518277204266</c:v>
                </c:pt>
                <c:pt idx="763">
                  <c:v>3641.674988441569</c:v>
                </c:pt>
                <c:pt idx="764">
                  <c:v>3638.9981491627118</c:v>
                </c:pt>
                <c:pt idx="765">
                  <c:v>3636.3213098838546</c:v>
                </c:pt>
                <c:pt idx="766">
                  <c:v>3633.644470604997</c:v>
                </c:pt>
                <c:pt idx="767">
                  <c:v>3630.9676313261398</c:v>
                </c:pt>
                <c:pt idx="768">
                  <c:v>3628.2907920472826</c:v>
                </c:pt>
                <c:pt idx="769">
                  <c:v>3625.6139527684254</c:v>
                </c:pt>
                <c:pt idx="770">
                  <c:v>3622.9371134895682</c:v>
                </c:pt>
                <c:pt idx="771">
                  <c:v>3620.2602742107106</c:v>
                </c:pt>
                <c:pt idx="772">
                  <c:v>3617.5834349318534</c:v>
                </c:pt>
                <c:pt idx="773">
                  <c:v>3614.9065956529967</c:v>
                </c:pt>
                <c:pt idx="774">
                  <c:v>3612.229756374139</c:v>
                </c:pt>
                <c:pt idx="775">
                  <c:v>3609.5529170952818</c:v>
                </c:pt>
                <c:pt idx="776">
                  <c:v>3606.8760778164242</c:v>
                </c:pt>
                <c:pt idx="777">
                  <c:v>3604.199238537567</c:v>
                </c:pt>
                <c:pt idx="778">
                  <c:v>3601.5223992587098</c:v>
                </c:pt>
                <c:pt idx="779">
                  <c:v>3598.8455599798526</c:v>
                </c:pt>
                <c:pt idx="780">
                  <c:v>3596.1687207009954</c:v>
                </c:pt>
                <c:pt idx="781">
                  <c:v>3593.4918814221378</c:v>
                </c:pt>
                <c:pt idx="782">
                  <c:v>3590.8150421432806</c:v>
                </c:pt>
                <c:pt idx="783">
                  <c:v>3588.1382028644234</c:v>
                </c:pt>
                <c:pt idx="784">
                  <c:v>3585.4613635855658</c:v>
                </c:pt>
                <c:pt idx="785">
                  <c:v>3582.784524306709</c:v>
                </c:pt>
                <c:pt idx="786">
                  <c:v>3580.1076850278519</c:v>
                </c:pt>
                <c:pt idx="787">
                  <c:v>3577.4308457489942</c:v>
                </c:pt>
                <c:pt idx="788">
                  <c:v>3574.754006470137</c:v>
                </c:pt>
                <c:pt idx="789">
                  <c:v>3572.0771671912798</c:v>
                </c:pt>
                <c:pt idx="790">
                  <c:v>3569.4003279124227</c:v>
                </c:pt>
                <c:pt idx="791">
                  <c:v>3566.7234886335655</c:v>
                </c:pt>
                <c:pt idx="792">
                  <c:v>3564.0466493547078</c:v>
                </c:pt>
                <c:pt idx="793">
                  <c:v>3561.3698100758506</c:v>
                </c:pt>
                <c:pt idx="794">
                  <c:v>3558.6929707969934</c:v>
                </c:pt>
                <c:pt idx="795">
                  <c:v>3556.0161315181358</c:v>
                </c:pt>
                <c:pt idx="796">
                  <c:v>3553.3392922392786</c:v>
                </c:pt>
                <c:pt idx="797">
                  <c:v>3550.6624529604214</c:v>
                </c:pt>
                <c:pt idx="798">
                  <c:v>3547.9856136815642</c:v>
                </c:pt>
                <c:pt idx="799">
                  <c:v>3545.3087744027071</c:v>
                </c:pt>
                <c:pt idx="800">
                  <c:v>3542.6319351238499</c:v>
                </c:pt>
                <c:pt idx="801">
                  <c:v>3539.9550958449927</c:v>
                </c:pt>
                <c:pt idx="802">
                  <c:v>3537.278256566135</c:v>
                </c:pt>
                <c:pt idx="803">
                  <c:v>3534.6014172872779</c:v>
                </c:pt>
                <c:pt idx="804">
                  <c:v>3531.9245780084207</c:v>
                </c:pt>
                <c:pt idx="805">
                  <c:v>3529.247738729563</c:v>
                </c:pt>
                <c:pt idx="806">
                  <c:v>3526.5708994507058</c:v>
                </c:pt>
                <c:pt idx="807">
                  <c:v>3523.8940601718487</c:v>
                </c:pt>
                <c:pt idx="808">
                  <c:v>3521.2172208929915</c:v>
                </c:pt>
                <c:pt idx="809">
                  <c:v>3518.5403816141338</c:v>
                </c:pt>
                <c:pt idx="810">
                  <c:v>3515.8635423352766</c:v>
                </c:pt>
                <c:pt idx="811">
                  <c:v>3513.1867030564199</c:v>
                </c:pt>
                <c:pt idx="812">
                  <c:v>3510.5098637775623</c:v>
                </c:pt>
                <c:pt idx="813">
                  <c:v>3507.8330244987051</c:v>
                </c:pt>
                <c:pt idx="814">
                  <c:v>3505.1561852198483</c:v>
                </c:pt>
                <c:pt idx="815">
                  <c:v>3502.4793459409907</c:v>
                </c:pt>
                <c:pt idx="816">
                  <c:v>3499.8025066621335</c:v>
                </c:pt>
                <c:pt idx="817">
                  <c:v>3497.1256673832763</c:v>
                </c:pt>
                <c:pt idx="818">
                  <c:v>3494.4488281044191</c:v>
                </c:pt>
                <c:pt idx="819">
                  <c:v>3491.7719888255615</c:v>
                </c:pt>
                <c:pt idx="820">
                  <c:v>3489.0951495467043</c:v>
                </c:pt>
                <c:pt idx="821">
                  <c:v>3486.4183102678471</c:v>
                </c:pt>
                <c:pt idx="822">
                  <c:v>3483.7414709889899</c:v>
                </c:pt>
                <c:pt idx="823">
                  <c:v>3481.0646317101323</c:v>
                </c:pt>
                <c:pt idx="824">
                  <c:v>3478.3877924312751</c:v>
                </c:pt>
                <c:pt idx="825">
                  <c:v>3475.7109531524179</c:v>
                </c:pt>
                <c:pt idx="826">
                  <c:v>3473.0341138735607</c:v>
                </c:pt>
                <c:pt idx="827">
                  <c:v>3470.3572745947035</c:v>
                </c:pt>
                <c:pt idx="828">
                  <c:v>3467.6804353158464</c:v>
                </c:pt>
                <c:pt idx="829">
                  <c:v>3465.0035960369887</c:v>
                </c:pt>
                <c:pt idx="830">
                  <c:v>3462.3006265093077</c:v>
                </c:pt>
                <c:pt idx="831">
                  <c:v>3459.4856542974544</c:v>
                </c:pt>
                <c:pt idx="832">
                  <c:v>3456.5521871525852</c:v>
                </c:pt>
                <c:pt idx="833">
                  <c:v>3453.5004743983304</c:v>
                </c:pt>
                <c:pt idx="834">
                  <c:v>3450.3307532105464</c:v>
                </c:pt>
                <c:pt idx="835">
                  <c:v>3447.0432486448199</c:v>
                </c:pt>
                <c:pt idx="836">
                  <c:v>3443.6381736577428</c:v>
                </c:pt>
                <c:pt idx="837">
                  <c:v>3440.1157291219529</c:v>
                </c:pt>
                <c:pt idx="838">
                  <c:v>3436.4761038349307</c:v>
                </c:pt>
                <c:pt idx="839">
                  <c:v>3432.7194745215529</c:v>
                </c:pt>
                <c:pt idx="840">
                  <c:v>3428.8460058303681</c:v>
                </c:pt>
                <c:pt idx="841">
                  <c:v>3424.8558503235849</c:v>
                </c:pt>
                <c:pt idx="842">
                  <c:v>3420.7491484607126</c:v>
                </c:pt>
                <c:pt idx="843">
                  <c:v>3416.5260285758395</c:v>
                </c:pt>
                <c:pt idx="844">
                  <c:v>3412.1866068484733</c:v>
                </c:pt>
                <c:pt idx="845">
                  <c:v>3407.7309872679025</c:v>
                </c:pt>
                <c:pt idx="846">
                  <c:v>3403.1592615909976</c:v>
                </c:pt>
                <c:pt idx="847">
                  <c:v>3398.471509293388</c:v>
                </c:pt>
                <c:pt idx="848">
                  <c:v>3393.6677975139223</c:v>
                </c:pt>
                <c:pt idx="849">
                  <c:v>3388.7481809923192</c:v>
                </c:pt>
                <c:pt idx="850">
                  <c:v>3383.7127019999134</c:v>
                </c:pt>
                <c:pt idx="851">
                  <c:v>3378.561390263375</c:v>
                </c:pt>
                <c:pt idx="852">
                  <c:v>3373.2942628812916</c:v>
                </c:pt>
                <c:pt idx="853">
                  <c:v>3367.9113242334702</c:v>
                </c:pt>
                <c:pt idx="854">
                  <c:v>3362.4125658828316</c:v>
                </c:pt>
                <c:pt idx="855">
                  <c:v>3356.7979664697327</c:v>
                </c:pt>
                <c:pt idx="856">
                  <c:v>3351.0674915985587</c:v>
                </c:pt>
                <c:pt idx="857">
                  <c:v>3345.2210937164136</c:v>
                </c:pt>
                <c:pt idx="858">
                  <c:v>3339.2587119837185</c:v>
                </c:pt>
                <c:pt idx="859">
                  <c:v>3333.1802721365225</c:v>
                </c:pt>
                <c:pt idx="860">
                  <c:v>3326.9856863403111</c:v>
                </c:pt>
                <c:pt idx="861">
                  <c:v>3320.6748530350915</c:v>
                </c:pt>
                <c:pt idx="862">
                  <c:v>3314.2476567715148</c:v>
                </c:pt>
                <c:pt idx="863">
                  <c:v>3307.7039680377798</c:v>
                </c:pt>
                <c:pt idx="864">
                  <c:v>3301.0436430770533</c:v>
                </c:pt>
                <c:pt idx="865">
                  <c:v>3294.2665236951134</c:v>
                </c:pt>
                <c:pt idx="866">
                  <c:v>3287.3724370579375</c:v>
                </c:pt>
                <c:pt idx="867">
                  <c:v>3280.3611954788817</c:v>
                </c:pt>
                <c:pt idx="868">
                  <c:v>3273.2325961951451</c:v>
                </c:pt>
                <c:pt idx="869">
                  <c:v>3265.9864211331442</c:v>
                </c:pt>
                <c:pt idx="870">
                  <c:v>3258.6224366624251</c:v>
                </c:pt>
                <c:pt idx="871">
                  <c:v>3251.1403933377192</c:v>
                </c:pt>
                <c:pt idx="872">
                  <c:v>3243.5400256287089</c:v>
                </c:pt>
                <c:pt idx="873">
                  <c:v>3235.8210516370764</c:v>
                </c:pt>
                <c:pt idx="874">
                  <c:v>3227.9831728003392</c:v>
                </c:pt>
                <c:pt idx="875">
                  <c:v>3220.0260735820025</c:v>
                </c:pt>
                <c:pt idx="876">
                  <c:v>3211.9494211474826</c:v>
                </c:pt>
                <c:pt idx="877">
                  <c:v>3203.7528650252525</c:v>
                </c:pt>
                <c:pt idx="878">
                  <c:v>3195.4360367526197</c:v>
                </c:pt>
                <c:pt idx="879">
                  <c:v>3186.9985495055316</c:v>
                </c:pt>
                <c:pt idx="880">
                  <c:v>3178.4399977117218</c:v>
                </c:pt>
                <c:pt idx="881">
                  <c:v>3169.759956646531</c:v>
                </c:pt>
                <c:pt idx="882">
                  <c:v>3160.9579820106542</c:v>
                </c:pt>
                <c:pt idx="883">
                  <c:v>3152.0336094890472</c:v>
                </c:pt>
                <c:pt idx="884">
                  <c:v>3142.9863542901639</c:v>
                </c:pt>
                <c:pt idx="885">
                  <c:v>3133.8157106646554</c:v>
                </c:pt>
                <c:pt idx="886">
                  <c:v>3124.5211514026191</c:v>
                </c:pt>
                <c:pt idx="887">
                  <c:v>3115.1021273084166</c:v>
                </c:pt>
                <c:pt idx="888">
                  <c:v>3105.5580666520268</c:v>
                </c:pt>
                <c:pt idx="889">
                  <c:v>3095.8883745958497</c:v>
                </c:pt>
                <c:pt idx="890">
                  <c:v>3086.0924325957913</c:v>
                </c:pt>
                <c:pt idx="891">
                  <c:v>3076.1695977754034</c:v>
                </c:pt>
                <c:pt idx="892">
                  <c:v>3066.1192022717823</c:v>
                </c:pt>
                <c:pt idx="893">
                  <c:v>3055.9405525518264</c:v>
                </c:pt>
                <c:pt idx="894">
                  <c:v>3045.632928697396</c:v>
                </c:pt>
                <c:pt idx="895">
                  <c:v>3035.1955836578022</c:v>
                </c:pt>
                <c:pt idx="896">
                  <c:v>3024.6277424679761</c:v>
                </c:pt>
                <c:pt idx="897">
                  <c:v>3013.9286014305462</c:v>
                </c:pt>
                <c:pt idx="898">
                  <c:v>3003.0973272599404</c:v>
                </c:pt>
                <c:pt idx="899">
                  <c:v>2992.1330561865284</c:v>
                </c:pt>
                <c:pt idx="900">
                  <c:v>2981.034893018656</c:v>
                </c:pt>
                <c:pt idx="901">
                  <c:v>2969.8019101603222</c:v>
                </c:pt>
                <c:pt idx="902">
                  <c:v>2958.4331465820578</c:v>
                </c:pt>
                <c:pt idx="903">
                  <c:v>2946.9276067424348</c:v>
                </c:pt>
                <c:pt idx="904">
                  <c:v>2935.2842594574636</c:v>
                </c:pt>
                <c:pt idx="905">
                  <c:v>2923.5020367149004</c:v>
                </c:pt>
                <c:pt idx="906">
                  <c:v>2911.5798324303455</c:v>
                </c:pt>
                <c:pt idx="907">
                  <c:v>2899.5165011417598</c:v>
                </c:pt>
                <c:pt idx="908">
                  <c:v>2887.3108566387896</c:v>
                </c:pt>
                <c:pt idx="909">
                  <c:v>2874.9616705230419</c:v>
                </c:pt>
                <c:pt idx="910">
                  <c:v>2862.4676706951864</c:v>
                </c:pt>
                <c:pt idx="911">
                  <c:v>2849.8275397644279</c:v>
                </c:pt>
                <c:pt idx="912">
                  <c:v>2837.0399133756059</c:v>
                </c:pt>
                <c:pt idx="913">
                  <c:v>2824.1033784487895</c:v>
                </c:pt>
                <c:pt idx="914">
                  <c:v>2811.016471325885</c:v>
                </c:pt>
                <c:pt idx="915">
                  <c:v>2797.7776758183272</c:v>
                </c:pt>
                <c:pt idx="916">
                  <c:v>2784.3854211494836</c:v>
                </c:pt>
                <c:pt idx="917">
                  <c:v>2770.8380797849222</c:v>
                </c:pt>
                <c:pt idx="918">
                  <c:v>2757.1339651431203</c:v>
                </c:pt>
                <c:pt idx="919">
                  <c:v>2743.271329178624</c:v>
                </c:pt>
                <c:pt idx="920">
                  <c:v>2729.2483598290287</c:v>
                </c:pt>
                <c:pt idx="921">
                  <c:v>2715.0631783164336</c:v>
                </c:pt>
                <c:pt idx="922">
                  <c:v>2700.7138362932619</c:v>
                </c:pt>
                <c:pt idx="923">
                  <c:v>2686.1983128214788</c:v>
                </c:pt>
                <c:pt idx="924">
                  <c:v>2671.5145111733364</c:v>
                </c:pt>
                <c:pt idx="925">
                  <c:v>2656.6602554407305</c:v>
                </c:pt>
                <c:pt idx="926">
                  <c:v>2641.6332869391481</c:v>
                </c:pt>
                <c:pt idx="927">
                  <c:v>2626.431260390937</c:v>
                </c:pt>
                <c:pt idx="928">
                  <c:v>2611.0517398712832</c:v>
                </c:pt>
                <c:pt idx="929">
                  <c:v>2595.4921944987482</c:v>
                </c:pt>
                <c:pt idx="930">
                  <c:v>2579.7499938505989</c:v>
                </c:pt>
                <c:pt idx="931">
                  <c:v>2563.8224030812594</c:v>
                </c:pt>
                <c:pt idx="932">
                  <c:v>2547.7065777202261</c:v>
                </c:pt>
                <c:pt idx="933">
                  <c:v>2531.3995581234835</c:v>
                </c:pt>
                <c:pt idx="934">
                  <c:v>2514.8982635499387</c:v>
                </c:pt>
                <c:pt idx="935">
                  <c:v>2498.1994858315925</c:v>
                </c:pt>
                <c:pt idx="936">
                  <c:v>2481.2998826030084</c:v>
                </c:pt>
                <c:pt idx="937">
                  <c:v>2464.1959700521425</c:v>
                </c:pt>
                <c:pt idx="938">
                  <c:v>2446.8841151506704</c:v>
                </c:pt>
                <c:pt idx="939">
                  <c:v>2429.3605273175372</c:v>
                </c:pt>
                <c:pt idx="940">
                  <c:v>2411.6212494645351</c:v>
                </c:pt>
                <c:pt idx="941">
                  <c:v>2393.662148367092</c:v>
                </c:pt>
                <c:pt idx="942">
                  <c:v>2375.478904297237</c:v>
                </c:pt>
                <c:pt idx="943">
                  <c:v>2357.0669998485914</c:v>
                </c:pt>
                <c:pt idx="944">
                  <c:v>2338.4217078751763</c:v>
                </c:pt>
                <c:pt idx="945">
                  <c:v>2319.5380784567974</c:v>
                </c:pt>
                <c:pt idx="946">
                  <c:v>2300.4109247933079</c:v>
                </c:pt>
                <c:pt idx="947">
                  <c:v>2281.0348079183427</c:v>
                </c:pt>
                <c:pt idx="948">
                  <c:v>2261.4040201095863</c:v>
                </c:pt>
                <c:pt idx="949">
                  <c:v>2241.5125668572368</c:v>
                </c:pt>
                <c:pt idx="950">
                  <c:v>2221.3541472345983</c:v>
                </c:pt>
                <c:pt idx="951">
                  <c:v>2200.9221324943746</c:v>
                </c:pt>
                <c:pt idx="952">
                  <c:v>2180.2095426907294</c:v>
                </c:pt>
                <c:pt idx="953">
                  <c:v>2159.2090210999531</c:v>
                </c:pt>
                <c:pt idx="954">
                  <c:v>2137.9128061810516</c:v>
                </c:pt>
                <c:pt idx="955">
                  <c:v>2116.3127007807998</c:v>
                </c:pt>
                <c:pt idx="956">
                  <c:v>2094.4000382449408</c:v>
                </c:pt>
                <c:pt idx="957">
                  <c:v>2072.1656450469368</c:v>
                </c:pt>
                <c:pt idx="958">
                  <c:v>2049.5997994866857</c:v>
                </c:pt>
                <c:pt idx="959">
                  <c:v>2026.6921859418649</c:v>
                </c:pt>
                <c:pt idx="960">
                  <c:v>2003.4318440721702</c:v>
                </c:pt>
                <c:pt idx="961">
                  <c:v>1979.8071122786221</c:v>
                </c:pt>
                <c:pt idx="962">
                  <c:v>1955.8055646031266</c:v>
                </c:pt>
                <c:pt idx="963">
                  <c:v>1931.4139401131874</c:v>
                </c:pt>
                <c:pt idx="964">
                  <c:v>1906.6180636478059</c:v>
                </c:pt>
                <c:pt idx="965">
                  <c:v>1881.4027565962392</c:v>
                </c:pt>
                <c:pt idx="966">
                  <c:v>1855.7517361329026</c:v>
                </c:pt>
                <c:pt idx="967">
                  <c:v>1829.6475010280078</c:v>
                </c:pt>
                <c:pt idx="968">
                  <c:v>1803.0712017803494</c:v>
                </c:pt>
                <c:pt idx="969">
                  <c:v>1776.0024923572396</c:v>
                </c:pt>
                <c:pt idx="970">
                  <c:v>1748.4193602525975</c:v>
                </c:pt>
                <c:pt idx="971">
                  <c:v>1720.2979308555186</c:v>
                </c:pt>
                <c:pt idx="972">
                  <c:v>1691.6122412151503</c:v>
                </c:pt>
                <c:pt idx="973">
                  <c:v>1662.3339771363549</c:v>
                </c:pt>
                <c:pt idx="974">
                  <c:v>1632.4321660659652</c:v>
                </c:pt>
                <c:pt idx="975">
                  <c:v>1601.8728163250137</c:v>
                </c:pt>
                <c:pt idx="976">
                  <c:v>1570.6184907601641</c:v>
                </c:pt>
                <c:pt idx="977">
                  <c:v>1538.6277996207029</c:v>
                </c:pt>
                <c:pt idx="978">
                  <c:v>1505.8547931221867</c:v>
                </c:pt>
                <c:pt idx="979">
                  <c:v>1472.2482283120166</c:v>
                </c:pt>
                <c:pt idx="980">
                  <c:v>1437.7506768899595</c:v>
                </c:pt>
                <c:pt idx="981">
                  <c:v>1402.2974296450561</c:v>
                </c:pt>
                <c:pt idx="982">
                  <c:v>1365.8151377727745</c:v>
                </c:pt>
                <c:pt idx="983">
                  <c:v>1328.2201094171751</c:v>
                </c:pt>
                <c:pt idx="984">
                  <c:v>1289.4161480219134</c:v>
                </c:pt>
                <c:pt idx="985">
                  <c:v>1249.2917721417791</c:v>
                </c:pt>
                <c:pt idx="986">
                  <c:v>1207.7165854841878</c:v>
                </c:pt>
                <c:pt idx="987">
                  <c:v>1164.5364562440932</c:v>
                </c:pt>
                <c:pt idx="988">
                  <c:v>1119.5669902445293</c:v>
                </c:pt>
                <c:pt idx="989">
                  <c:v>1072.5844957952017</c:v>
                </c:pt>
                <c:pt idx="990">
                  <c:v>1023.3131502810044</c:v>
                </c:pt>
                <c:pt idx="991">
                  <c:v>971.40621224359916</c:v>
                </c:pt>
                <c:pt idx="992">
                  <c:v>916.41750662294078</c:v>
                </c:pt>
                <c:pt idx="993">
                  <c:v>857.75621145798948</c:v>
                </c:pt>
                <c:pt idx="994">
                  <c:v>794.6111639087369</c:v>
                </c:pt>
                <c:pt idx="995">
                  <c:v>725.81502337381187</c:v>
                </c:pt>
                <c:pt idx="996">
                  <c:v>649.57694124699299</c:v>
                </c:pt>
                <c:pt idx="997">
                  <c:v>562.88365094646974</c:v>
                </c:pt>
                <c:pt idx="998">
                  <c:v>459.86268311335721</c:v>
                </c:pt>
                <c:pt idx="999">
                  <c:v>325.36145838674275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04-466B-9377-26BCC009D016}"/>
            </c:ext>
          </c:extLst>
        </c:ser>
        <c:ser>
          <c:idx val="1"/>
          <c:order val="1"/>
          <c:tx>
            <c:v>Hardened Surface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psi!$L$28:$L$1028</c:f>
              <c:numCache>
                <c:formatCode>General</c:formatCode>
                <c:ptCount val="1001"/>
                <c:pt idx="0">
                  <c:v>-14658.502075069133</c:v>
                </c:pt>
                <c:pt idx="1">
                  <c:v>-14642.65023966073</c:v>
                </c:pt>
                <c:pt idx="2">
                  <c:v>-14626.798404252328</c:v>
                </c:pt>
                <c:pt idx="3">
                  <c:v>-14610.946568843925</c:v>
                </c:pt>
                <c:pt idx="4">
                  <c:v>-14595.094733435522</c:v>
                </c:pt>
                <c:pt idx="5">
                  <c:v>-14579.24289802712</c:v>
                </c:pt>
                <c:pt idx="6">
                  <c:v>-14563.391062618719</c:v>
                </c:pt>
                <c:pt idx="7">
                  <c:v>-14547.539227210316</c:v>
                </c:pt>
                <c:pt idx="8">
                  <c:v>-14531.687391801914</c:v>
                </c:pt>
                <c:pt idx="9">
                  <c:v>-14515.835556393511</c:v>
                </c:pt>
                <c:pt idx="10">
                  <c:v>-14499.983720985108</c:v>
                </c:pt>
                <c:pt idx="11">
                  <c:v>-14484.131885576706</c:v>
                </c:pt>
                <c:pt idx="12">
                  <c:v>-14468.280050168303</c:v>
                </c:pt>
                <c:pt idx="13">
                  <c:v>-14452.428214759901</c:v>
                </c:pt>
                <c:pt idx="14">
                  <c:v>-14436.576379351498</c:v>
                </c:pt>
                <c:pt idx="15">
                  <c:v>-14420.724543943095</c:v>
                </c:pt>
                <c:pt idx="16">
                  <c:v>-14404.872708534693</c:v>
                </c:pt>
                <c:pt idx="17">
                  <c:v>-14389.02087312629</c:v>
                </c:pt>
                <c:pt idx="18">
                  <c:v>-14373.169037717889</c:v>
                </c:pt>
                <c:pt idx="19">
                  <c:v>-14357.317202309487</c:v>
                </c:pt>
                <c:pt idx="20">
                  <c:v>-14341.465366901084</c:v>
                </c:pt>
                <c:pt idx="21">
                  <c:v>-14325.613531492681</c:v>
                </c:pt>
                <c:pt idx="22">
                  <c:v>-14309.761696084279</c:v>
                </c:pt>
                <c:pt idx="23">
                  <c:v>-14293.909860675876</c:v>
                </c:pt>
                <c:pt idx="24">
                  <c:v>-14278.058025267474</c:v>
                </c:pt>
                <c:pt idx="25">
                  <c:v>-14262.206189859071</c:v>
                </c:pt>
                <c:pt idx="26">
                  <c:v>-14246.354354450668</c:v>
                </c:pt>
                <c:pt idx="27">
                  <c:v>-14230.502519042266</c:v>
                </c:pt>
                <c:pt idx="28">
                  <c:v>-14214.650683633863</c:v>
                </c:pt>
                <c:pt idx="29">
                  <c:v>-14198.79884822546</c:v>
                </c:pt>
                <c:pt idx="30">
                  <c:v>-14182.94701281706</c:v>
                </c:pt>
                <c:pt idx="31">
                  <c:v>-14167.095177408657</c:v>
                </c:pt>
                <c:pt idx="32">
                  <c:v>-14151.243342000254</c:v>
                </c:pt>
                <c:pt idx="33">
                  <c:v>-14135.391506591852</c:v>
                </c:pt>
                <c:pt idx="34">
                  <c:v>-14119.539671183449</c:v>
                </c:pt>
                <c:pt idx="35">
                  <c:v>-14103.687835775047</c:v>
                </c:pt>
                <c:pt idx="36">
                  <c:v>-14087.836000366644</c:v>
                </c:pt>
                <c:pt idx="37">
                  <c:v>-14071.984164958241</c:v>
                </c:pt>
                <c:pt idx="38">
                  <c:v>-14056.132329549839</c:v>
                </c:pt>
                <c:pt idx="39">
                  <c:v>-14040.280494141436</c:v>
                </c:pt>
                <c:pt idx="40">
                  <c:v>-14024.428658733033</c:v>
                </c:pt>
                <c:pt idx="41">
                  <c:v>-14008.576823324631</c:v>
                </c:pt>
                <c:pt idx="42">
                  <c:v>-13992.72498791623</c:v>
                </c:pt>
                <c:pt idx="43">
                  <c:v>-13976.873152507827</c:v>
                </c:pt>
                <c:pt idx="44">
                  <c:v>-13961.021317099425</c:v>
                </c:pt>
                <c:pt idx="45">
                  <c:v>-13945.169481691022</c:v>
                </c:pt>
                <c:pt idx="46">
                  <c:v>-13929.31764628262</c:v>
                </c:pt>
                <c:pt idx="47">
                  <c:v>-13913.465810874217</c:v>
                </c:pt>
                <c:pt idx="48">
                  <c:v>-13897.613975465814</c:v>
                </c:pt>
                <c:pt idx="49">
                  <c:v>-13881.762140057412</c:v>
                </c:pt>
                <c:pt idx="50">
                  <c:v>-13865.910304649009</c:v>
                </c:pt>
                <c:pt idx="51">
                  <c:v>-13850.058469240606</c:v>
                </c:pt>
                <c:pt idx="52">
                  <c:v>-13834.206633832204</c:v>
                </c:pt>
                <c:pt idx="53">
                  <c:v>-13818.354798423803</c:v>
                </c:pt>
                <c:pt idx="54">
                  <c:v>-13802.5029630154</c:v>
                </c:pt>
                <c:pt idx="55">
                  <c:v>-13786.651127606998</c:v>
                </c:pt>
                <c:pt idx="56">
                  <c:v>-13770.799292198595</c:v>
                </c:pt>
                <c:pt idx="57">
                  <c:v>-13754.947456790193</c:v>
                </c:pt>
                <c:pt idx="58">
                  <c:v>-13739.09562138179</c:v>
                </c:pt>
                <c:pt idx="59">
                  <c:v>-13723.243785973387</c:v>
                </c:pt>
                <c:pt idx="60">
                  <c:v>-13707.391950564985</c:v>
                </c:pt>
                <c:pt idx="61">
                  <c:v>-13691.540115156582</c:v>
                </c:pt>
                <c:pt idx="62">
                  <c:v>-13675.688279748179</c:v>
                </c:pt>
                <c:pt idx="63">
                  <c:v>-13659.836444339777</c:v>
                </c:pt>
                <c:pt idx="64">
                  <c:v>-13643.984608931374</c:v>
                </c:pt>
                <c:pt idx="65">
                  <c:v>-13628.132773522972</c:v>
                </c:pt>
                <c:pt idx="66">
                  <c:v>-13612.280938114571</c:v>
                </c:pt>
                <c:pt idx="67">
                  <c:v>-13596.429102706168</c:v>
                </c:pt>
                <c:pt idx="68">
                  <c:v>-13580.577267297766</c:v>
                </c:pt>
                <c:pt idx="69">
                  <c:v>-13564.725431889363</c:v>
                </c:pt>
                <c:pt idx="70">
                  <c:v>-13548.87359648096</c:v>
                </c:pt>
                <c:pt idx="71">
                  <c:v>-13533.021761072558</c:v>
                </c:pt>
                <c:pt idx="72">
                  <c:v>-13517.169925664155</c:v>
                </c:pt>
                <c:pt idx="73">
                  <c:v>-13501.318090255752</c:v>
                </c:pt>
                <c:pt idx="74">
                  <c:v>-13485.46625484735</c:v>
                </c:pt>
                <c:pt idx="75">
                  <c:v>-13469.614419438947</c:v>
                </c:pt>
                <c:pt idx="76">
                  <c:v>-13453.762584030545</c:v>
                </c:pt>
                <c:pt idx="77">
                  <c:v>-13437.910748622144</c:v>
                </c:pt>
                <c:pt idx="78">
                  <c:v>-13422.058913213741</c:v>
                </c:pt>
                <c:pt idx="79">
                  <c:v>-13406.207077805338</c:v>
                </c:pt>
                <c:pt idx="80">
                  <c:v>-13390.355242396936</c:v>
                </c:pt>
                <c:pt idx="81">
                  <c:v>-13374.503406988533</c:v>
                </c:pt>
                <c:pt idx="82">
                  <c:v>-13358.651571580131</c:v>
                </c:pt>
                <c:pt idx="83">
                  <c:v>-13342.799736171728</c:v>
                </c:pt>
                <c:pt idx="84">
                  <c:v>-13326.947900763325</c:v>
                </c:pt>
                <c:pt idx="85">
                  <c:v>-13311.096065354923</c:v>
                </c:pt>
                <c:pt idx="86">
                  <c:v>-13295.24422994652</c:v>
                </c:pt>
                <c:pt idx="87">
                  <c:v>-13279.392394538118</c:v>
                </c:pt>
                <c:pt idx="88">
                  <c:v>-13263.540559129717</c:v>
                </c:pt>
                <c:pt idx="89">
                  <c:v>-13247.688723721314</c:v>
                </c:pt>
                <c:pt idx="90">
                  <c:v>-13231.836888312911</c:v>
                </c:pt>
                <c:pt idx="91">
                  <c:v>-13215.985052904509</c:v>
                </c:pt>
                <c:pt idx="92">
                  <c:v>-13200.133217496106</c:v>
                </c:pt>
                <c:pt idx="93">
                  <c:v>-13184.281382087704</c:v>
                </c:pt>
                <c:pt idx="94">
                  <c:v>-13168.429546679301</c:v>
                </c:pt>
                <c:pt idx="95">
                  <c:v>-13152.577711270898</c:v>
                </c:pt>
                <c:pt idx="96">
                  <c:v>-13136.725875862496</c:v>
                </c:pt>
                <c:pt idx="97">
                  <c:v>-13120.874040454093</c:v>
                </c:pt>
                <c:pt idx="98">
                  <c:v>-13105.02220504569</c:v>
                </c:pt>
                <c:pt idx="99">
                  <c:v>-13089.170369637288</c:v>
                </c:pt>
                <c:pt idx="100">
                  <c:v>-13073.318534228885</c:v>
                </c:pt>
                <c:pt idx="101">
                  <c:v>-13057.466698820484</c:v>
                </c:pt>
                <c:pt idx="102">
                  <c:v>-13041.614863412082</c:v>
                </c:pt>
                <c:pt idx="103">
                  <c:v>-13025.763028003679</c:v>
                </c:pt>
                <c:pt idx="104">
                  <c:v>-13009.911192595277</c:v>
                </c:pt>
                <c:pt idx="105">
                  <c:v>-12994.059357186874</c:v>
                </c:pt>
                <c:pt idx="106">
                  <c:v>-12978.207521778471</c:v>
                </c:pt>
                <c:pt idx="107">
                  <c:v>-12962.355686370069</c:v>
                </c:pt>
                <c:pt idx="108">
                  <c:v>-12946.503850961666</c:v>
                </c:pt>
                <c:pt idx="109">
                  <c:v>-12930.652015553263</c:v>
                </c:pt>
                <c:pt idx="110">
                  <c:v>-12914.800180144861</c:v>
                </c:pt>
                <c:pt idx="111">
                  <c:v>-12898.948344736458</c:v>
                </c:pt>
                <c:pt idx="112">
                  <c:v>-12883.096509328057</c:v>
                </c:pt>
                <c:pt idx="113">
                  <c:v>-12867.244673919655</c:v>
                </c:pt>
                <c:pt idx="114">
                  <c:v>-12851.392838511252</c:v>
                </c:pt>
                <c:pt idx="115">
                  <c:v>-12835.54100310285</c:v>
                </c:pt>
                <c:pt idx="116">
                  <c:v>-12819.689167694447</c:v>
                </c:pt>
                <c:pt idx="117">
                  <c:v>-12803.837332286044</c:v>
                </c:pt>
                <c:pt idx="118">
                  <c:v>-12787.985496877642</c:v>
                </c:pt>
                <c:pt idx="119">
                  <c:v>-12772.133661469239</c:v>
                </c:pt>
                <c:pt idx="120">
                  <c:v>-12756.281826060836</c:v>
                </c:pt>
                <c:pt idx="121">
                  <c:v>-12740.429990652434</c:v>
                </c:pt>
                <c:pt idx="122">
                  <c:v>-12724.578155244031</c:v>
                </c:pt>
                <c:pt idx="123">
                  <c:v>-12708.72631983563</c:v>
                </c:pt>
                <c:pt idx="124">
                  <c:v>-12692.874484427226</c:v>
                </c:pt>
                <c:pt idx="125">
                  <c:v>-12677.022649018825</c:v>
                </c:pt>
                <c:pt idx="126">
                  <c:v>-12661.170813610423</c:v>
                </c:pt>
                <c:pt idx="127">
                  <c:v>-12645.31897820202</c:v>
                </c:pt>
                <c:pt idx="128">
                  <c:v>-12629.467142793617</c:v>
                </c:pt>
                <c:pt idx="129">
                  <c:v>-12613.615307385215</c:v>
                </c:pt>
                <c:pt idx="130">
                  <c:v>-12597.763471976812</c:v>
                </c:pt>
                <c:pt idx="131">
                  <c:v>-12581.911636568409</c:v>
                </c:pt>
                <c:pt idx="132">
                  <c:v>-12566.059801160007</c:v>
                </c:pt>
                <c:pt idx="133">
                  <c:v>-12550.207965751604</c:v>
                </c:pt>
                <c:pt idx="134">
                  <c:v>-12534.356130343202</c:v>
                </c:pt>
                <c:pt idx="135">
                  <c:v>-12518.504294934799</c:v>
                </c:pt>
                <c:pt idx="136">
                  <c:v>-12502.652459526398</c:v>
                </c:pt>
                <c:pt idx="137">
                  <c:v>-12486.800624117994</c:v>
                </c:pt>
                <c:pt idx="138">
                  <c:v>-12470.948788709593</c:v>
                </c:pt>
                <c:pt idx="139">
                  <c:v>-12455.09695330119</c:v>
                </c:pt>
                <c:pt idx="140">
                  <c:v>-12439.245117892788</c:v>
                </c:pt>
                <c:pt idx="141">
                  <c:v>-12423.393282484385</c:v>
                </c:pt>
                <c:pt idx="142">
                  <c:v>-12407.541447075982</c:v>
                </c:pt>
                <c:pt idx="143">
                  <c:v>-12391.68961166758</c:v>
                </c:pt>
                <c:pt idx="144">
                  <c:v>-12375.837776259177</c:v>
                </c:pt>
                <c:pt idx="145">
                  <c:v>-12359.985940850776</c:v>
                </c:pt>
                <c:pt idx="146">
                  <c:v>-12344.134105442372</c:v>
                </c:pt>
                <c:pt idx="147">
                  <c:v>-12328.282270033971</c:v>
                </c:pt>
                <c:pt idx="148">
                  <c:v>-12312.430434625569</c:v>
                </c:pt>
                <c:pt idx="149">
                  <c:v>-12296.578599217166</c:v>
                </c:pt>
                <c:pt idx="150">
                  <c:v>-12280.726763808763</c:v>
                </c:pt>
                <c:pt idx="151">
                  <c:v>-12264.874928400361</c:v>
                </c:pt>
                <c:pt idx="152">
                  <c:v>-12249.023092991958</c:v>
                </c:pt>
                <c:pt idx="153">
                  <c:v>-12233.171257583555</c:v>
                </c:pt>
                <c:pt idx="154">
                  <c:v>-12217.319422175153</c:v>
                </c:pt>
                <c:pt idx="155">
                  <c:v>-12201.46758676675</c:v>
                </c:pt>
                <c:pt idx="156">
                  <c:v>-12185.615751358348</c:v>
                </c:pt>
                <c:pt idx="157">
                  <c:v>-12169.763915949945</c:v>
                </c:pt>
                <c:pt idx="158">
                  <c:v>-12153.912080541544</c:v>
                </c:pt>
                <c:pt idx="159">
                  <c:v>-12138.06024513314</c:v>
                </c:pt>
                <c:pt idx="160">
                  <c:v>-12122.208409724739</c:v>
                </c:pt>
                <c:pt idx="161">
                  <c:v>-12106.356574316336</c:v>
                </c:pt>
                <c:pt idx="162">
                  <c:v>-12090.504738907934</c:v>
                </c:pt>
                <c:pt idx="163">
                  <c:v>-12074.652903499531</c:v>
                </c:pt>
                <c:pt idx="164">
                  <c:v>-12058.801068091128</c:v>
                </c:pt>
                <c:pt idx="165">
                  <c:v>-12042.949232682726</c:v>
                </c:pt>
                <c:pt idx="166">
                  <c:v>-12027.097397274323</c:v>
                </c:pt>
                <c:pt idx="167">
                  <c:v>-12011.245561865921</c:v>
                </c:pt>
                <c:pt idx="168">
                  <c:v>-11995.393726457518</c:v>
                </c:pt>
                <c:pt idx="169">
                  <c:v>-11979.541891049115</c:v>
                </c:pt>
                <c:pt idx="170">
                  <c:v>-11963.690055640713</c:v>
                </c:pt>
                <c:pt idx="171">
                  <c:v>-11947.838220232312</c:v>
                </c:pt>
                <c:pt idx="172">
                  <c:v>-11931.986384823909</c:v>
                </c:pt>
                <c:pt idx="173">
                  <c:v>-11916.134549415507</c:v>
                </c:pt>
                <c:pt idx="174">
                  <c:v>-11900.282714007104</c:v>
                </c:pt>
                <c:pt idx="175">
                  <c:v>-11884.430878598701</c:v>
                </c:pt>
                <c:pt idx="176">
                  <c:v>-11868.579043190299</c:v>
                </c:pt>
                <c:pt idx="177">
                  <c:v>-11852.727207781896</c:v>
                </c:pt>
                <c:pt idx="178">
                  <c:v>-11836.875372373494</c:v>
                </c:pt>
                <c:pt idx="179">
                  <c:v>-11821.023536965091</c:v>
                </c:pt>
                <c:pt idx="180">
                  <c:v>-11805.171701556688</c:v>
                </c:pt>
                <c:pt idx="181">
                  <c:v>-11789.319866148286</c:v>
                </c:pt>
                <c:pt idx="182">
                  <c:v>-11773.468030739885</c:v>
                </c:pt>
                <c:pt idx="183">
                  <c:v>-11757.61619533148</c:v>
                </c:pt>
                <c:pt idx="184">
                  <c:v>-11741.76435992308</c:v>
                </c:pt>
                <c:pt idx="185">
                  <c:v>-11725.912524514677</c:v>
                </c:pt>
                <c:pt idx="186">
                  <c:v>-11710.060689106274</c:v>
                </c:pt>
                <c:pt idx="187">
                  <c:v>-11694.208853697872</c:v>
                </c:pt>
                <c:pt idx="188">
                  <c:v>-11678.357018289469</c:v>
                </c:pt>
                <c:pt idx="189">
                  <c:v>-11662.505182881067</c:v>
                </c:pt>
                <c:pt idx="190">
                  <c:v>-11646.653347472664</c:v>
                </c:pt>
                <c:pt idx="191">
                  <c:v>-11630.801512064261</c:v>
                </c:pt>
                <c:pt idx="192">
                  <c:v>-11614.949676655859</c:v>
                </c:pt>
                <c:pt idx="193">
                  <c:v>-11599.097841247456</c:v>
                </c:pt>
                <c:pt idx="194">
                  <c:v>-11583.246005839053</c:v>
                </c:pt>
                <c:pt idx="195">
                  <c:v>-11567.394170430653</c:v>
                </c:pt>
                <c:pt idx="196">
                  <c:v>-11551.542335022248</c:v>
                </c:pt>
                <c:pt idx="197">
                  <c:v>-11535.690499613847</c:v>
                </c:pt>
                <c:pt idx="198">
                  <c:v>-11519.838664205445</c:v>
                </c:pt>
                <c:pt idx="199">
                  <c:v>-11503.986828797042</c:v>
                </c:pt>
                <c:pt idx="200">
                  <c:v>-11488.134993388639</c:v>
                </c:pt>
                <c:pt idx="201">
                  <c:v>-11472.283157980237</c:v>
                </c:pt>
                <c:pt idx="202">
                  <c:v>-11456.431322571834</c:v>
                </c:pt>
                <c:pt idx="203">
                  <c:v>-11440.579487163432</c:v>
                </c:pt>
                <c:pt idx="204">
                  <c:v>-11424.727651755031</c:v>
                </c:pt>
                <c:pt idx="205">
                  <c:v>-11408.875816346626</c:v>
                </c:pt>
                <c:pt idx="206">
                  <c:v>-11393.023980938226</c:v>
                </c:pt>
                <c:pt idx="207">
                  <c:v>-11377.172145529823</c:v>
                </c:pt>
                <c:pt idx="208">
                  <c:v>-11361.32031012142</c:v>
                </c:pt>
                <c:pt idx="209">
                  <c:v>-11345.468474713018</c:v>
                </c:pt>
                <c:pt idx="210">
                  <c:v>-11329.616639304615</c:v>
                </c:pt>
                <c:pt idx="211">
                  <c:v>-11313.764803896212</c:v>
                </c:pt>
                <c:pt idx="212">
                  <c:v>-11297.91296848781</c:v>
                </c:pt>
                <c:pt idx="213">
                  <c:v>-11282.061133079407</c:v>
                </c:pt>
                <c:pt idx="214">
                  <c:v>-11266.209297671005</c:v>
                </c:pt>
                <c:pt idx="215">
                  <c:v>-11250.357462262602</c:v>
                </c:pt>
                <c:pt idx="216">
                  <c:v>-11234.505626854199</c:v>
                </c:pt>
                <c:pt idx="217">
                  <c:v>-11218.653791445799</c:v>
                </c:pt>
                <c:pt idx="218">
                  <c:v>-11202.801956037394</c:v>
                </c:pt>
                <c:pt idx="219">
                  <c:v>-11186.950120628993</c:v>
                </c:pt>
                <c:pt idx="220">
                  <c:v>-11171.098285220591</c:v>
                </c:pt>
                <c:pt idx="221">
                  <c:v>-11155.246449812188</c:v>
                </c:pt>
                <c:pt idx="222">
                  <c:v>-11139.394614403785</c:v>
                </c:pt>
                <c:pt idx="223">
                  <c:v>-11123.542778995383</c:v>
                </c:pt>
                <c:pt idx="224">
                  <c:v>-11107.69094358698</c:v>
                </c:pt>
                <c:pt idx="225">
                  <c:v>-11091.839108178578</c:v>
                </c:pt>
                <c:pt idx="226">
                  <c:v>-11075.987272770175</c:v>
                </c:pt>
                <c:pt idx="227">
                  <c:v>-11060.135437361772</c:v>
                </c:pt>
                <c:pt idx="228">
                  <c:v>-11044.28360195337</c:v>
                </c:pt>
                <c:pt idx="229">
                  <c:v>-11028.431766544967</c:v>
                </c:pt>
                <c:pt idx="230">
                  <c:v>-11012.579931136566</c:v>
                </c:pt>
                <c:pt idx="231">
                  <c:v>-10996.728095728162</c:v>
                </c:pt>
                <c:pt idx="232">
                  <c:v>-10980.876260319761</c:v>
                </c:pt>
                <c:pt idx="233">
                  <c:v>-10965.024424911358</c:v>
                </c:pt>
                <c:pt idx="234">
                  <c:v>-10949.172589502956</c:v>
                </c:pt>
                <c:pt idx="235">
                  <c:v>-10933.320754094553</c:v>
                </c:pt>
                <c:pt idx="236">
                  <c:v>-10917.468918686151</c:v>
                </c:pt>
                <c:pt idx="237">
                  <c:v>-10901.617083277748</c:v>
                </c:pt>
                <c:pt idx="238">
                  <c:v>-10885.765247869345</c:v>
                </c:pt>
                <c:pt idx="239">
                  <c:v>-10869.913412460945</c:v>
                </c:pt>
                <c:pt idx="240">
                  <c:v>-10854.06157705254</c:v>
                </c:pt>
                <c:pt idx="241">
                  <c:v>-10838.209741644139</c:v>
                </c:pt>
                <c:pt idx="242">
                  <c:v>-10822.357906235737</c:v>
                </c:pt>
                <c:pt idx="243">
                  <c:v>-10806.506070827334</c:v>
                </c:pt>
                <c:pt idx="244">
                  <c:v>-10790.654235418931</c:v>
                </c:pt>
                <c:pt idx="245">
                  <c:v>-10774.802400010529</c:v>
                </c:pt>
                <c:pt idx="246">
                  <c:v>-10758.950564602126</c:v>
                </c:pt>
                <c:pt idx="247">
                  <c:v>-10743.098729193724</c:v>
                </c:pt>
                <c:pt idx="248">
                  <c:v>-10727.246893785321</c:v>
                </c:pt>
                <c:pt idx="249">
                  <c:v>-10711.395058376918</c:v>
                </c:pt>
                <c:pt idx="250">
                  <c:v>-10695.543222968516</c:v>
                </c:pt>
                <c:pt idx="251">
                  <c:v>-10679.691387560113</c:v>
                </c:pt>
                <c:pt idx="252">
                  <c:v>-10663.839552151712</c:v>
                </c:pt>
                <c:pt idx="253">
                  <c:v>-10647.987716743308</c:v>
                </c:pt>
                <c:pt idx="254">
                  <c:v>-10632.135881334907</c:v>
                </c:pt>
                <c:pt idx="255">
                  <c:v>-10616.284045926504</c:v>
                </c:pt>
                <c:pt idx="256">
                  <c:v>-10600.432210518102</c:v>
                </c:pt>
                <c:pt idx="257">
                  <c:v>-10584.580375109699</c:v>
                </c:pt>
                <c:pt idx="258">
                  <c:v>-10568.728539701297</c:v>
                </c:pt>
                <c:pt idx="259">
                  <c:v>-10552.876704292894</c:v>
                </c:pt>
                <c:pt idx="260">
                  <c:v>-10537.024868884491</c:v>
                </c:pt>
                <c:pt idx="261">
                  <c:v>-10521.173033476089</c:v>
                </c:pt>
                <c:pt idx="262">
                  <c:v>-10505.321198067686</c:v>
                </c:pt>
                <c:pt idx="263">
                  <c:v>-10489.469362659285</c:v>
                </c:pt>
                <c:pt idx="264">
                  <c:v>-10473.617527250881</c:v>
                </c:pt>
                <c:pt idx="265">
                  <c:v>-10457.76569184248</c:v>
                </c:pt>
                <c:pt idx="266">
                  <c:v>-10441.913856434076</c:v>
                </c:pt>
                <c:pt idx="267">
                  <c:v>-10426.062021025675</c:v>
                </c:pt>
                <c:pt idx="268">
                  <c:v>-10410.21018561727</c:v>
                </c:pt>
                <c:pt idx="269">
                  <c:v>-10394.35835020887</c:v>
                </c:pt>
                <c:pt idx="270">
                  <c:v>-10378.506514800467</c:v>
                </c:pt>
                <c:pt idx="271">
                  <c:v>-10362.654679392064</c:v>
                </c:pt>
                <c:pt idx="272">
                  <c:v>-10346.802843983662</c:v>
                </c:pt>
                <c:pt idx="273">
                  <c:v>-10330.951008575259</c:v>
                </c:pt>
                <c:pt idx="274">
                  <c:v>-10315.099173166856</c:v>
                </c:pt>
                <c:pt idx="275">
                  <c:v>-10299.247337758454</c:v>
                </c:pt>
                <c:pt idx="276">
                  <c:v>-10283.395502350053</c:v>
                </c:pt>
                <c:pt idx="277">
                  <c:v>-10267.543666941649</c:v>
                </c:pt>
                <c:pt idx="278">
                  <c:v>-10251.691831533248</c:v>
                </c:pt>
                <c:pt idx="279">
                  <c:v>-10235.839996124843</c:v>
                </c:pt>
                <c:pt idx="280">
                  <c:v>-10219.988160716443</c:v>
                </c:pt>
                <c:pt idx="281">
                  <c:v>-10204.136325308038</c:v>
                </c:pt>
                <c:pt idx="282">
                  <c:v>-10188.284489899637</c:v>
                </c:pt>
                <c:pt idx="283">
                  <c:v>-10172.432654491236</c:v>
                </c:pt>
                <c:pt idx="284">
                  <c:v>-10156.580819082832</c:v>
                </c:pt>
                <c:pt idx="285">
                  <c:v>-10140.728983674431</c:v>
                </c:pt>
                <c:pt idx="286">
                  <c:v>-10124.877148266027</c:v>
                </c:pt>
                <c:pt idx="287">
                  <c:v>-10109.025312857626</c:v>
                </c:pt>
                <c:pt idx="288">
                  <c:v>-10093.173477449222</c:v>
                </c:pt>
                <c:pt idx="289">
                  <c:v>-10077.321642040821</c:v>
                </c:pt>
                <c:pt idx="290">
                  <c:v>-10061.469806632418</c:v>
                </c:pt>
                <c:pt idx="291">
                  <c:v>-10045.617971224015</c:v>
                </c:pt>
                <c:pt idx="292">
                  <c:v>-10029.766135815613</c:v>
                </c:pt>
                <c:pt idx="293">
                  <c:v>-10013.91430040721</c:v>
                </c:pt>
                <c:pt idx="294">
                  <c:v>-9998.0624649988076</c:v>
                </c:pt>
                <c:pt idx="295">
                  <c:v>-9982.210629590405</c:v>
                </c:pt>
                <c:pt idx="296">
                  <c:v>-9966.3587941820042</c:v>
                </c:pt>
                <c:pt idx="297">
                  <c:v>-9950.5069587735998</c:v>
                </c:pt>
                <c:pt idx="298">
                  <c:v>-9934.655123365199</c:v>
                </c:pt>
                <c:pt idx="299">
                  <c:v>-9918.8032879567945</c:v>
                </c:pt>
                <c:pt idx="300">
                  <c:v>-9902.9514525483937</c:v>
                </c:pt>
                <c:pt idx="301">
                  <c:v>-9887.0996171399893</c:v>
                </c:pt>
                <c:pt idx="302">
                  <c:v>-9871.2477817315885</c:v>
                </c:pt>
                <c:pt idx="303">
                  <c:v>-9855.3959463231859</c:v>
                </c:pt>
                <c:pt idx="304">
                  <c:v>-9839.5441109147832</c:v>
                </c:pt>
                <c:pt idx="305">
                  <c:v>-9823.6922755063806</c:v>
                </c:pt>
                <c:pt idx="306">
                  <c:v>-9807.840440097978</c:v>
                </c:pt>
                <c:pt idx="307">
                  <c:v>-9791.9886046895754</c:v>
                </c:pt>
                <c:pt idx="308">
                  <c:v>-9776.1367692811727</c:v>
                </c:pt>
                <c:pt idx="309">
                  <c:v>-9760.2849338727719</c:v>
                </c:pt>
                <c:pt idx="310">
                  <c:v>-9744.4330984643675</c:v>
                </c:pt>
                <c:pt idx="311">
                  <c:v>-9728.5812630559667</c:v>
                </c:pt>
                <c:pt idx="312">
                  <c:v>-9712.7294276475623</c:v>
                </c:pt>
                <c:pt idx="313">
                  <c:v>-9696.8775922391615</c:v>
                </c:pt>
                <c:pt idx="314">
                  <c:v>-9681.025756830757</c:v>
                </c:pt>
                <c:pt idx="315">
                  <c:v>-9665.1739214223562</c:v>
                </c:pt>
                <c:pt idx="316">
                  <c:v>-9649.3220860139536</c:v>
                </c:pt>
                <c:pt idx="317">
                  <c:v>-9633.470250605551</c:v>
                </c:pt>
                <c:pt idx="318">
                  <c:v>-9617.6184151971484</c:v>
                </c:pt>
                <c:pt idx="319">
                  <c:v>-9601.7665797887457</c:v>
                </c:pt>
                <c:pt idx="320">
                  <c:v>-9585.9147443803431</c:v>
                </c:pt>
                <c:pt idx="321">
                  <c:v>-9570.0629089719405</c:v>
                </c:pt>
                <c:pt idx="322">
                  <c:v>-9554.2110735635397</c:v>
                </c:pt>
                <c:pt idx="323">
                  <c:v>-9538.3592381551352</c:v>
                </c:pt>
                <c:pt idx="324">
                  <c:v>-9522.5074027467344</c:v>
                </c:pt>
                <c:pt idx="325">
                  <c:v>-9506.65556733833</c:v>
                </c:pt>
                <c:pt idx="326">
                  <c:v>-9490.8037319299292</c:v>
                </c:pt>
                <c:pt idx="327">
                  <c:v>-9474.9518965215248</c:v>
                </c:pt>
                <c:pt idx="328">
                  <c:v>-9459.100061113124</c:v>
                </c:pt>
                <c:pt idx="329">
                  <c:v>-9443.2482257047213</c:v>
                </c:pt>
                <c:pt idx="330">
                  <c:v>-9427.3963902963187</c:v>
                </c:pt>
                <c:pt idx="331">
                  <c:v>-9411.5445548879161</c:v>
                </c:pt>
                <c:pt idx="332">
                  <c:v>-9395.6927194795135</c:v>
                </c:pt>
                <c:pt idx="333">
                  <c:v>-9379.8408840711108</c:v>
                </c:pt>
                <c:pt idx="334">
                  <c:v>-9363.9890486627082</c:v>
                </c:pt>
                <c:pt idx="335">
                  <c:v>-9348.1372132543074</c:v>
                </c:pt>
                <c:pt idx="336">
                  <c:v>-9332.285377845903</c:v>
                </c:pt>
                <c:pt idx="337">
                  <c:v>-9316.4335424375022</c:v>
                </c:pt>
                <c:pt idx="338">
                  <c:v>-9300.5817070290977</c:v>
                </c:pt>
                <c:pt idx="339">
                  <c:v>-9284.7298716206969</c:v>
                </c:pt>
                <c:pt idx="340">
                  <c:v>-9268.8780362122925</c:v>
                </c:pt>
                <c:pt idx="341">
                  <c:v>-9253.0262008038917</c:v>
                </c:pt>
                <c:pt idx="342">
                  <c:v>-9237.1743653954891</c:v>
                </c:pt>
                <c:pt idx="343">
                  <c:v>-9221.3225299870865</c:v>
                </c:pt>
                <c:pt idx="344">
                  <c:v>-9205.4706945786857</c:v>
                </c:pt>
                <c:pt idx="345">
                  <c:v>-9189.6188591702812</c:v>
                </c:pt>
                <c:pt idx="346">
                  <c:v>-9173.7670237618804</c:v>
                </c:pt>
                <c:pt idx="347">
                  <c:v>-9157.915188353476</c:v>
                </c:pt>
                <c:pt idx="348">
                  <c:v>-9142.0633529450752</c:v>
                </c:pt>
                <c:pt idx="349">
                  <c:v>-9126.2115175366725</c:v>
                </c:pt>
                <c:pt idx="350">
                  <c:v>-9110.3596821282699</c:v>
                </c:pt>
                <c:pt idx="351">
                  <c:v>-9094.5078467198673</c:v>
                </c:pt>
                <c:pt idx="352">
                  <c:v>-9078.6560113114647</c:v>
                </c:pt>
                <c:pt idx="353">
                  <c:v>-9062.8041759030621</c:v>
                </c:pt>
                <c:pt idx="354">
                  <c:v>-9046.9523404946594</c:v>
                </c:pt>
                <c:pt idx="355">
                  <c:v>-9031.1005050862586</c:v>
                </c:pt>
                <c:pt idx="356">
                  <c:v>-9015.2486696778542</c:v>
                </c:pt>
                <c:pt idx="357">
                  <c:v>-8999.3968342694534</c:v>
                </c:pt>
                <c:pt idx="358">
                  <c:v>-8983.544998861049</c:v>
                </c:pt>
                <c:pt idx="359">
                  <c:v>-8967.6931634526482</c:v>
                </c:pt>
                <c:pt idx="360">
                  <c:v>-8951.8413280442437</c:v>
                </c:pt>
                <c:pt idx="361">
                  <c:v>-8935.9894926358429</c:v>
                </c:pt>
                <c:pt idx="362">
                  <c:v>-8920.1376572274403</c:v>
                </c:pt>
                <c:pt idx="363">
                  <c:v>-8904.2858218190377</c:v>
                </c:pt>
                <c:pt idx="364">
                  <c:v>-8888.433986410635</c:v>
                </c:pt>
                <c:pt idx="365">
                  <c:v>-8872.5821510022324</c:v>
                </c:pt>
                <c:pt idx="366">
                  <c:v>-8856.7303155938298</c:v>
                </c:pt>
                <c:pt idx="367">
                  <c:v>-8840.8784801854272</c:v>
                </c:pt>
                <c:pt idx="368">
                  <c:v>-8825.0266447770264</c:v>
                </c:pt>
                <c:pt idx="369">
                  <c:v>-8809.1748093686219</c:v>
                </c:pt>
                <c:pt idx="370">
                  <c:v>-8793.3229739602211</c:v>
                </c:pt>
                <c:pt idx="371">
                  <c:v>-8777.4711385518167</c:v>
                </c:pt>
                <c:pt idx="372">
                  <c:v>-8761.6193031434159</c:v>
                </c:pt>
                <c:pt idx="373">
                  <c:v>-8745.7674677350115</c:v>
                </c:pt>
                <c:pt idx="374">
                  <c:v>-8729.9156323266106</c:v>
                </c:pt>
                <c:pt idx="375">
                  <c:v>-8714.063796918208</c:v>
                </c:pt>
                <c:pt idx="376">
                  <c:v>-8698.2119615098054</c:v>
                </c:pt>
                <c:pt idx="377">
                  <c:v>-8682.3601261014028</c:v>
                </c:pt>
                <c:pt idx="378">
                  <c:v>-8666.5082906930002</c:v>
                </c:pt>
                <c:pt idx="379">
                  <c:v>-8650.6564552845975</c:v>
                </c:pt>
                <c:pt idx="380">
                  <c:v>-8634.8046198761949</c:v>
                </c:pt>
                <c:pt idx="381">
                  <c:v>-8618.9527844677941</c:v>
                </c:pt>
                <c:pt idx="382">
                  <c:v>-8603.1009490593897</c:v>
                </c:pt>
                <c:pt idx="383">
                  <c:v>-8587.2491136509889</c:v>
                </c:pt>
                <c:pt idx="384">
                  <c:v>-8571.3972782425844</c:v>
                </c:pt>
                <c:pt idx="385">
                  <c:v>-8555.5454428341836</c:v>
                </c:pt>
                <c:pt idx="386">
                  <c:v>-8539.6936074257792</c:v>
                </c:pt>
                <c:pt idx="387">
                  <c:v>-8523.8417720173784</c:v>
                </c:pt>
                <c:pt idx="388">
                  <c:v>-8507.9899366089758</c:v>
                </c:pt>
                <c:pt idx="389">
                  <c:v>-8492.1381012005731</c:v>
                </c:pt>
                <c:pt idx="390">
                  <c:v>-8476.2862657921705</c:v>
                </c:pt>
                <c:pt idx="391">
                  <c:v>-8460.4344303837679</c:v>
                </c:pt>
                <c:pt idx="392">
                  <c:v>-8444.5825949753653</c:v>
                </c:pt>
                <c:pt idx="393">
                  <c:v>-8428.7307595669627</c:v>
                </c:pt>
                <c:pt idx="394">
                  <c:v>-8412.8789241585619</c:v>
                </c:pt>
                <c:pt idx="395">
                  <c:v>-8397.0270887501574</c:v>
                </c:pt>
                <c:pt idx="396">
                  <c:v>-8381.1752533417566</c:v>
                </c:pt>
                <c:pt idx="397">
                  <c:v>-8365.3234179333522</c:v>
                </c:pt>
                <c:pt idx="398">
                  <c:v>-8349.4715825249514</c:v>
                </c:pt>
                <c:pt idx="399">
                  <c:v>-8333.6197471165469</c:v>
                </c:pt>
                <c:pt idx="400">
                  <c:v>-8317.7679117081461</c:v>
                </c:pt>
                <c:pt idx="401">
                  <c:v>-8301.9160762997435</c:v>
                </c:pt>
                <c:pt idx="402">
                  <c:v>-8286.0642408913409</c:v>
                </c:pt>
                <c:pt idx="403">
                  <c:v>-8270.2124054829383</c:v>
                </c:pt>
                <c:pt idx="404">
                  <c:v>-8254.3605700745356</c:v>
                </c:pt>
                <c:pt idx="405">
                  <c:v>-8238.508734666133</c:v>
                </c:pt>
                <c:pt idx="406">
                  <c:v>-8222.6568992577304</c:v>
                </c:pt>
                <c:pt idx="407">
                  <c:v>-8206.8050638493296</c:v>
                </c:pt>
                <c:pt idx="408">
                  <c:v>-8190.953228440927</c:v>
                </c:pt>
                <c:pt idx="409">
                  <c:v>-8175.1013930325244</c:v>
                </c:pt>
                <c:pt idx="410">
                  <c:v>-8159.2495576241217</c:v>
                </c:pt>
                <c:pt idx="411">
                  <c:v>-8143.3977222157191</c:v>
                </c:pt>
                <c:pt idx="412">
                  <c:v>-8127.5458868073165</c:v>
                </c:pt>
                <c:pt idx="413">
                  <c:v>-8111.6940513989148</c:v>
                </c:pt>
                <c:pt idx="414">
                  <c:v>-8095.8422159905122</c:v>
                </c:pt>
                <c:pt idx="415">
                  <c:v>-8079.9903805821095</c:v>
                </c:pt>
                <c:pt idx="416">
                  <c:v>-8064.1385451737069</c:v>
                </c:pt>
                <c:pt idx="417">
                  <c:v>-8048.2867097653043</c:v>
                </c:pt>
                <c:pt idx="418">
                  <c:v>-8032.4348743569017</c:v>
                </c:pt>
                <c:pt idx="419">
                  <c:v>-8016.5830389485</c:v>
                </c:pt>
                <c:pt idx="420">
                  <c:v>-8000.7312035400973</c:v>
                </c:pt>
                <c:pt idx="421">
                  <c:v>-7984.8793681316947</c:v>
                </c:pt>
                <c:pt idx="422">
                  <c:v>-7969.0275327232921</c:v>
                </c:pt>
                <c:pt idx="423">
                  <c:v>-7953.1756973148895</c:v>
                </c:pt>
                <c:pt idx="424">
                  <c:v>-7937.3238619064869</c:v>
                </c:pt>
                <c:pt idx="425">
                  <c:v>-7921.4720264980842</c:v>
                </c:pt>
                <c:pt idx="426">
                  <c:v>-7905.6201910896825</c:v>
                </c:pt>
                <c:pt idx="427">
                  <c:v>-7889.7683556812799</c:v>
                </c:pt>
                <c:pt idx="428">
                  <c:v>-7873.9165202728773</c:v>
                </c:pt>
                <c:pt idx="429">
                  <c:v>-7858.0646848644747</c:v>
                </c:pt>
                <c:pt idx="430">
                  <c:v>-7842.212849456072</c:v>
                </c:pt>
                <c:pt idx="431">
                  <c:v>-7826.3610140476694</c:v>
                </c:pt>
                <c:pt idx="432">
                  <c:v>-7810.5091786392677</c:v>
                </c:pt>
                <c:pt idx="433">
                  <c:v>-7794.6573432308651</c:v>
                </c:pt>
                <c:pt idx="434">
                  <c:v>-7778.8055078224625</c:v>
                </c:pt>
                <c:pt idx="435">
                  <c:v>-7762.9536724140598</c:v>
                </c:pt>
                <c:pt idx="436">
                  <c:v>-7747.1018370056572</c:v>
                </c:pt>
                <c:pt idx="437">
                  <c:v>-7731.2500015972546</c:v>
                </c:pt>
                <c:pt idx="438">
                  <c:v>-7715.398166188852</c:v>
                </c:pt>
                <c:pt idx="439">
                  <c:v>-7699.5463307804503</c:v>
                </c:pt>
                <c:pt idx="440">
                  <c:v>-7683.6944953720476</c:v>
                </c:pt>
                <c:pt idx="441">
                  <c:v>-7667.842659963645</c:v>
                </c:pt>
                <c:pt idx="442">
                  <c:v>-7651.9908245552424</c:v>
                </c:pt>
                <c:pt idx="443">
                  <c:v>-7636.1389891468398</c:v>
                </c:pt>
                <c:pt idx="444">
                  <c:v>-7620.2871537384372</c:v>
                </c:pt>
                <c:pt idx="445">
                  <c:v>-7604.4353183300354</c:v>
                </c:pt>
                <c:pt idx="446">
                  <c:v>-7588.5834829216328</c:v>
                </c:pt>
                <c:pt idx="447">
                  <c:v>-7572.7316475132302</c:v>
                </c:pt>
                <c:pt idx="448">
                  <c:v>-7556.8798121048276</c:v>
                </c:pt>
                <c:pt idx="449">
                  <c:v>-7541.027976696425</c:v>
                </c:pt>
                <c:pt idx="450">
                  <c:v>-7525.1761412880223</c:v>
                </c:pt>
                <c:pt idx="451">
                  <c:v>-7509.3243058796197</c:v>
                </c:pt>
                <c:pt idx="452">
                  <c:v>-7493.472470471218</c:v>
                </c:pt>
                <c:pt idx="453">
                  <c:v>-7477.6206350628154</c:v>
                </c:pt>
                <c:pt idx="454">
                  <c:v>-7461.7687996544128</c:v>
                </c:pt>
                <c:pt idx="455">
                  <c:v>-7445.9169642460101</c:v>
                </c:pt>
                <c:pt idx="456">
                  <c:v>-7430.0651288376075</c:v>
                </c:pt>
                <c:pt idx="457">
                  <c:v>-7414.2132934292049</c:v>
                </c:pt>
                <c:pt idx="458">
                  <c:v>-7398.3614580208032</c:v>
                </c:pt>
                <c:pt idx="459">
                  <c:v>-7382.5096226124006</c:v>
                </c:pt>
                <c:pt idx="460">
                  <c:v>-7366.6577872039979</c:v>
                </c:pt>
                <c:pt idx="461">
                  <c:v>-7350.8059517955953</c:v>
                </c:pt>
                <c:pt idx="462">
                  <c:v>-7334.9541163871927</c:v>
                </c:pt>
                <c:pt idx="463">
                  <c:v>-7319.1022809787901</c:v>
                </c:pt>
                <c:pt idx="464">
                  <c:v>-7303.2504455703875</c:v>
                </c:pt>
                <c:pt idx="465">
                  <c:v>-7287.3986101619857</c:v>
                </c:pt>
                <c:pt idx="466">
                  <c:v>-7271.5467747535831</c:v>
                </c:pt>
                <c:pt idx="467">
                  <c:v>-7255.6949393451805</c:v>
                </c:pt>
                <c:pt idx="468">
                  <c:v>-7239.8431039367779</c:v>
                </c:pt>
                <c:pt idx="469">
                  <c:v>-7223.9912685283762</c:v>
                </c:pt>
                <c:pt idx="470">
                  <c:v>-7208.1394331199735</c:v>
                </c:pt>
                <c:pt idx="471">
                  <c:v>-7192.2875977115718</c:v>
                </c:pt>
                <c:pt idx="472">
                  <c:v>-7176.4357623031692</c:v>
                </c:pt>
                <c:pt idx="473">
                  <c:v>-7160.5839268947666</c:v>
                </c:pt>
                <c:pt idx="474">
                  <c:v>-7144.732091486364</c:v>
                </c:pt>
                <c:pt idx="475">
                  <c:v>-7128.8802560779613</c:v>
                </c:pt>
                <c:pt idx="476">
                  <c:v>-7113.0284206695587</c:v>
                </c:pt>
                <c:pt idx="477">
                  <c:v>-7097.1765852611561</c:v>
                </c:pt>
                <c:pt idx="478">
                  <c:v>-7081.3247498527544</c:v>
                </c:pt>
                <c:pt idx="479">
                  <c:v>-7065.4729144443518</c:v>
                </c:pt>
                <c:pt idx="480">
                  <c:v>-7049.6210790359492</c:v>
                </c:pt>
                <c:pt idx="481">
                  <c:v>-7033.7692436275465</c:v>
                </c:pt>
                <c:pt idx="482">
                  <c:v>-7017.9174082191439</c:v>
                </c:pt>
                <c:pt idx="483">
                  <c:v>-7002.0655728107413</c:v>
                </c:pt>
                <c:pt idx="484">
                  <c:v>-6986.2137374023396</c:v>
                </c:pt>
                <c:pt idx="485">
                  <c:v>-6970.361901993937</c:v>
                </c:pt>
                <c:pt idx="486">
                  <c:v>-6954.5100665855343</c:v>
                </c:pt>
                <c:pt idx="487">
                  <c:v>-6938.6582311771317</c:v>
                </c:pt>
                <c:pt idx="488">
                  <c:v>-6922.8063957687291</c:v>
                </c:pt>
                <c:pt idx="489">
                  <c:v>-6906.9545603603265</c:v>
                </c:pt>
                <c:pt idx="490">
                  <c:v>-6891.1027249519238</c:v>
                </c:pt>
                <c:pt idx="491">
                  <c:v>-6875.2508895435221</c:v>
                </c:pt>
                <c:pt idx="492">
                  <c:v>-6859.3990541351195</c:v>
                </c:pt>
                <c:pt idx="493">
                  <c:v>-6843.5472187267169</c:v>
                </c:pt>
                <c:pt idx="494">
                  <c:v>-6827.6953833183143</c:v>
                </c:pt>
                <c:pt idx="495">
                  <c:v>-6811.8435479099116</c:v>
                </c:pt>
                <c:pt idx="496">
                  <c:v>-6795.991712501509</c:v>
                </c:pt>
                <c:pt idx="497">
                  <c:v>-6780.1398770931073</c:v>
                </c:pt>
                <c:pt idx="498">
                  <c:v>-6764.2880416847047</c:v>
                </c:pt>
                <c:pt idx="499">
                  <c:v>-6748.4362062763021</c:v>
                </c:pt>
                <c:pt idx="500">
                  <c:v>-6732.5843708678995</c:v>
                </c:pt>
                <c:pt idx="501">
                  <c:v>-6716.7325354594968</c:v>
                </c:pt>
                <c:pt idx="502">
                  <c:v>-6700.8807000510942</c:v>
                </c:pt>
                <c:pt idx="503">
                  <c:v>-6685.0288646426916</c:v>
                </c:pt>
                <c:pt idx="504">
                  <c:v>-6669.1770292342899</c:v>
                </c:pt>
                <c:pt idx="505">
                  <c:v>-6653.3251938258873</c:v>
                </c:pt>
                <c:pt idx="506">
                  <c:v>-6637.4733584174846</c:v>
                </c:pt>
                <c:pt idx="507">
                  <c:v>-6621.621523009082</c:v>
                </c:pt>
                <c:pt idx="508">
                  <c:v>-6605.7696876006794</c:v>
                </c:pt>
                <c:pt idx="509">
                  <c:v>-6589.9178521922768</c:v>
                </c:pt>
                <c:pt idx="510">
                  <c:v>-6574.0660167838751</c:v>
                </c:pt>
                <c:pt idx="511">
                  <c:v>-6558.2141813754724</c:v>
                </c:pt>
                <c:pt idx="512">
                  <c:v>-6542.3623459670698</c:v>
                </c:pt>
                <c:pt idx="513">
                  <c:v>-6526.5105105586672</c:v>
                </c:pt>
                <c:pt idx="514">
                  <c:v>-6510.6586751502646</c:v>
                </c:pt>
                <c:pt idx="515">
                  <c:v>-6494.8068397418619</c:v>
                </c:pt>
                <c:pt idx="516">
                  <c:v>-6478.9550043334593</c:v>
                </c:pt>
                <c:pt idx="517">
                  <c:v>-6463.1031689250576</c:v>
                </c:pt>
                <c:pt idx="518">
                  <c:v>-6447.251333516655</c:v>
                </c:pt>
                <c:pt idx="519">
                  <c:v>-6431.3994981082524</c:v>
                </c:pt>
                <c:pt idx="520">
                  <c:v>-6415.5476626998498</c:v>
                </c:pt>
                <c:pt idx="521">
                  <c:v>-6399.6958272914471</c:v>
                </c:pt>
                <c:pt idx="522">
                  <c:v>-6383.8439918830445</c:v>
                </c:pt>
                <c:pt idx="523">
                  <c:v>-6367.9921564746419</c:v>
                </c:pt>
                <c:pt idx="524">
                  <c:v>-6352.1403210662393</c:v>
                </c:pt>
                <c:pt idx="525">
                  <c:v>-6336.2884856578366</c:v>
                </c:pt>
                <c:pt idx="526">
                  <c:v>-6320.4366502494358</c:v>
                </c:pt>
                <c:pt idx="527">
                  <c:v>-6304.5848148410332</c:v>
                </c:pt>
                <c:pt idx="528">
                  <c:v>-6288.7329794326306</c:v>
                </c:pt>
                <c:pt idx="529">
                  <c:v>-6272.881144024228</c:v>
                </c:pt>
                <c:pt idx="530">
                  <c:v>-6257.0293086158254</c:v>
                </c:pt>
                <c:pt idx="531">
                  <c:v>-6241.1774732074227</c:v>
                </c:pt>
                <c:pt idx="532">
                  <c:v>-6225.3256377990201</c:v>
                </c:pt>
                <c:pt idx="533">
                  <c:v>-6209.4738023906175</c:v>
                </c:pt>
                <c:pt idx="534">
                  <c:v>-6193.6219669822149</c:v>
                </c:pt>
                <c:pt idx="535">
                  <c:v>-6177.7701315738123</c:v>
                </c:pt>
                <c:pt idx="536">
                  <c:v>-6161.9182961654096</c:v>
                </c:pt>
                <c:pt idx="537">
                  <c:v>-6146.066460757007</c:v>
                </c:pt>
                <c:pt idx="538">
                  <c:v>-6130.2146253486044</c:v>
                </c:pt>
                <c:pt idx="539">
                  <c:v>-6114.3627899402036</c:v>
                </c:pt>
                <c:pt idx="540">
                  <c:v>-6098.510954531801</c:v>
                </c:pt>
                <c:pt idx="541">
                  <c:v>-6082.6591191233983</c:v>
                </c:pt>
                <c:pt idx="542">
                  <c:v>-6066.8072837149957</c:v>
                </c:pt>
                <c:pt idx="543">
                  <c:v>-6050.9554483065931</c:v>
                </c:pt>
                <c:pt idx="544">
                  <c:v>-6035.1036128981905</c:v>
                </c:pt>
                <c:pt idx="545">
                  <c:v>-6019.2517774897879</c:v>
                </c:pt>
                <c:pt idx="546">
                  <c:v>-6003.3999420813852</c:v>
                </c:pt>
                <c:pt idx="547">
                  <c:v>-5987.5481066729826</c:v>
                </c:pt>
                <c:pt idx="548">
                  <c:v>-5971.69627126458</c:v>
                </c:pt>
                <c:pt idx="549">
                  <c:v>-5955.8444358561774</c:v>
                </c:pt>
                <c:pt idx="550">
                  <c:v>-5939.9926004477747</c:v>
                </c:pt>
                <c:pt idx="551">
                  <c:v>-5924.1407650393721</c:v>
                </c:pt>
                <c:pt idx="552">
                  <c:v>-5908.2889296309713</c:v>
                </c:pt>
                <c:pt idx="553">
                  <c:v>-5892.4370942225687</c:v>
                </c:pt>
                <c:pt idx="554">
                  <c:v>-5876.5852588141661</c:v>
                </c:pt>
                <c:pt idx="555">
                  <c:v>-5860.7334234057635</c:v>
                </c:pt>
                <c:pt idx="556">
                  <c:v>-5844.8815879973608</c:v>
                </c:pt>
                <c:pt idx="557">
                  <c:v>-5829.0297525889582</c:v>
                </c:pt>
                <c:pt idx="558">
                  <c:v>-5813.1779171805556</c:v>
                </c:pt>
                <c:pt idx="559">
                  <c:v>-5797.326081772153</c:v>
                </c:pt>
                <c:pt idx="560">
                  <c:v>-5781.4742463637504</c:v>
                </c:pt>
                <c:pt idx="561">
                  <c:v>-5765.6224109553477</c:v>
                </c:pt>
                <c:pt idx="562">
                  <c:v>-5749.7705755469451</c:v>
                </c:pt>
                <c:pt idx="563">
                  <c:v>-5733.9187401385443</c:v>
                </c:pt>
                <c:pt idx="564">
                  <c:v>-5718.0669047301417</c:v>
                </c:pt>
                <c:pt idx="565">
                  <c:v>-5702.2150693217391</c:v>
                </c:pt>
                <c:pt idx="566">
                  <c:v>-5686.3632339133383</c:v>
                </c:pt>
                <c:pt idx="567">
                  <c:v>-5670.5113985049356</c:v>
                </c:pt>
                <c:pt idx="568">
                  <c:v>-5654.659563096533</c:v>
                </c:pt>
                <c:pt idx="569">
                  <c:v>-5638.8077276881304</c:v>
                </c:pt>
                <c:pt idx="570">
                  <c:v>-5622.9558922797278</c:v>
                </c:pt>
                <c:pt idx="571">
                  <c:v>-5607.1040568713252</c:v>
                </c:pt>
                <c:pt idx="572">
                  <c:v>-5591.2522214629225</c:v>
                </c:pt>
                <c:pt idx="573">
                  <c:v>-5575.4003860545199</c:v>
                </c:pt>
                <c:pt idx="574">
                  <c:v>-5559.5485506461173</c:v>
                </c:pt>
                <c:pt idx="575">
                  <c:v>-5543.6967152377147</c:v>
                </c:pt>
                <c:pt idx="576">
                  <c:v>-5527.844879829312</c:v>
                </c:pt>
                <c:pt idx="577">
                  <c:v>-5511.9930444209094</c:v>
                </c:pt>
                <c:pt idx="578">
                  <c:v>-5496.1412090125068</c:v>
                </c:pt>
                <c:pt idx="579">
                  <c:v>-5480.289373604106</c:v>
                </c:pt>
                <c:pt idx="580">
                  <c:v>-5464.4375381957034</c:v>
                </c:pt>
                <c:pt idx="581">
                  <c:v>-5448.5857027873008</c:v>
                </c:pt>
                <c:pt idx="582">
                  <c:v>-5432.7338673788981</c:v>
                </c:pt>
                <c:pt idx="583">
                  <c:v>-5416.8820319704955</c:v>
                </c:pt>
                <c:pt idx="584">
                  <c:v>-5401.0301965620929</c:v>
                </c:pt>
                <c:pt idx="585">
                  <c:v>-5385.1783611536903</c:v>
                </c:pt>
                <c:pt idx="586">
                  <c:v>-5369.3265257452877</c:v>
                </c:pt>
                <c:pt idx="587">
                  <c:v>-5353.474690336885</c:v>
                </c:pt>
                <c:pt idx="588">
                  <c:v>-5337.6228549284824</c:v>
                </c:pt>
                <c:pt idx="589">
                  <c:v>-5321.7710195200798</c:v>
                </c:pt>
                <c:pt idx="590">
                  <c:v>-5305.9191841116772</c:v>
                </c:pt>
                <c:pt idx="591">
                  <c:v>-5290.0673487032745</c:v>
                </c:pt>
                <c:pt idx="592">
                  <c:v>-5274.2155132948737</c:v>
                </c:pt>
                <c:pt idx="593">
                  <c:v>-5258.3636778864711</c:v>
                </c:pt>
                <c:pt idx="594">
                  <c:v>-5242.5118424780685</c:v>
                </c:pt>
                <c:pt idx="595">
                  <c:v>-5226.6600070696659</c:v>
                </c:pt>
                <c:pt idx="596">
                  <c:v>-5210.8081716612633</c:v>
                </c:pt>
                <c:pt idx="597">
                  <c:v>-5194.9563362528606</c:v>
                </c:pt>
                <c:pt idx="598">
                  <c:v>-5179.104500844458</c:v>
                </c:pt>
                <c:pt idx="599">
                  <c:v>-5163.2526654360554</c:v>
                </c:pt>
                <c:pt idx="600">
                  <c:v>-5147.4008300276528</c:v>
                </c:pt>
                <c:pt idx="601">
                  <c:v>-5131.5489946192502</c:v>
                </c:pt>
                <c:pt idx="602">
                  <c:v>-5115.6971592108475</c:v>
                </c:pt>
                <c:pt idx="603">
                  <c:v>-5099.8453238024449</c:v>
                </c:pt>
                <c:pt idx="604">
                  <c:v>-5083.9934883940441</c:v>
                </c:pt>
                <c:pt idx="605">
                  <c:v>-5068.1416529856415</c:v>
                </c:pt>
                <c:pt idx="606">
                  <c:v>-5052.2898175772389</c:v>
                </c:pt>
                <c:pt idx="607">
                  <c:v>-5036.4379821688362</c:v>
                </c:pt>
                <c:pt idx="608">
                  <c:v>-5020.5861467604336</c:v>
                </c:pt>
                <c:pt idx="609">
                  <c:v>-5004.734311352031</c:v>
                </c:pt>
                <c:pt idx="610">
                  <c:v>-4988.8824759436284</c:v>
                </c:pt>
                <c:pt idx="611">
                  <c:v>-4973.0306405352258</c:v>
                </c:pt>
                <c:pt idx="612">
                  <c:v>-4957.1788051268231</c:v>
                </c:pt>
                <c:pt idx="613">
                  <c:v>-4941.3269697184205</c:v>
                </c:pt>
                <c:pt idx="614">
                  <c:v>-4925.4751343100179</c:v>
                </c:pt>
                <c:pt idx="615">
                  <c:v>-4909.6232989016153</c:v>
                </c:pt>
                <c:pt idx="616">
                  <c:v>-4893.7714634932127</c:v>
                </c:pt>
                <c:pt idx="617">
                  <c:v>-4877.9196280848118</c:v>
                </c:pt>
                <c:pt idx="618">
                  <c:v>-4862.0677926764092</c:v>
                </c:pt>
                <c:pt idx="619">
                  <c:v>-4846.2159572680066</c:v>
                </c:pt>
                <c:pt idx="620">
                  <c:v>-4830.364121859604</c:v>
                </c:pt>
                <c:pt idx="621">
                  <c:v>-4814.5122864512014</c:v>
                </c:pt>
                <c:pt idx="622">
                  <c:v>-4798.6604510427987</c:v>
                </c:pt>
                <c:pt idx="623">
                  <c:v>-4782.8086156343961</c:v>
                </c:pt>
                <c:pt idx="624">
                  <c:v>-4766.9567802259935</c:v>
                </c:pt>
                <c:pt idx="625">
                  <c:v>-4751.1049448175909</c:v>
                </c:pt>
                <c:pt idx="626">
                  <c:v>-4735.2531094091883</c:v>
                </c:pt>
                <c:pt idx="627">
                  <c:v>-4719.4012740007856</c:v>
                </c:pt>
                <c:pt idx="628">
                  <c:v>-4703.549438592383</c:v>
                </c:pt>
                <c:pt idx="629">
                  <c:v>-4687.6976031839804</c:v>
                </c:pt>
                <c:pt idx="630">
                  <c:v>-4671.8457677755796</c:v>
                </c:pt>
                <c:pt idx="631">
                  <c:v>-4655.993932367177</c:v>
                </c:pt>
                <c:pt idx="632">
                  <c:v>-4640.1420969587743</c:v>
                </c:pt>
                <c:pt idx="633">
                  <c:v>-4624.2902615503717</c:v>
                </c:pt>
                <c:pt idx="634">
                  <c:v>-4608.4384261419691</c:v>
                </c:pt>
                <c:pt idx="635">
                  <c:v>-4592.5865907335665</c:v>
                </c:pt>
                <c:pt idx="636">
                  <c:v>-4576.7347553251639</c:v>
                </c:pt>
                <c:pt idx="637">
                  <c:v>-4560.8829199167612</c:v>
                </c:pt>
                <c:pt idx="638">
                  <c:v>-4545.0310845083586</c:v>
                </c:pt>
                <c:pt idx="639">
                  <c:v>-4529.179249099956</c:v>
                </c:pt>
                <c:pt idx="640">
                  <c:v>-4513.3274136915534</c:v>
                </c:pt>
                <c:pt idx="641">
                  <c:v>-4497.4755782831508</c:v>
                </c:pt>
                <c:pt idx="642">
                  <c:v>-4481.6237428747481</c:v>
                </c:pt>
                <c:pt idx="643">
                  <c:v>-4465.7719074663473</c:v>
                </c:pt>
                <c:pt idx="644">
                  <c:v>-4449.9200720579447</c:v>
                </c:pt>
                <c:pt idx="645">
                  <c:v>-4434.0682366495421</c:v>
                </c:pt>
                <c:pt idx="646">
                  <c:v>-4418.2164012411395</c:v>
                </c:pt>
                <c:pt idx="647">
                  <c:v>-4402.3645658327368</c:v>
                </c:pt>
                <c:pt idx="648">
                  <c:v>-4386.5127304243342</c:v>
                </c:pt>
                <c:pt idx="649">
                  <c:v>-4370.6608950159316</c:v>
                </c:pt>
                <c:pt idx="650">
                  <c:v>-4354.809059607529</c:v>
                </c:pt>
                <c:pt idx="651">
                  <c:v>-4338.9572241991264</c:v>
                </c:pt>
                <c:pt idx="652">
                  <c:v>-4323.1053887907237</c:v>
                </c:pt>
                <c:pt idx="653">
                  <c:v>-4307.2535533823211</c:v>
                </c:pt>
                <c:pt idx="654">
                  <c:v>-4291.4017179739185</c:v>
                </c:pt>
                <c:pt idx="655">
                  <c:v>-4275.5498825655159</c:v>
                </c:pt>
                <c:pt idx="656">
                  <c:v>-4259.6980471571151</c:v>
                </c:pt>
                <c:pt idx="657">
                  <c:v>-4243.8462117487124</c:v>
                </c:pt>
                <c:pt idx="658">
                  <c:v>-4227.9943763403098</c:v>
                </c:pt>
                <c:pt idx="659">
                  <c:v>-4212.1425409319072</c:v>
                </c:pt>
                <c:pt idx="660">
                  <c:v>-4196.2907055235046</c:v>
                </c:pt>
                <c:pt idx="661">
                  <c:v>-4180.438870115102</c:v>
                </c:pt>
                <c:pt idx="662">
                  <c:v>-4164.5870347066993</c:v>
                </c:pt>
                <c:pt idx="663">
                  <c:v>-4148.7351992982967</c:v>
                </c:pt>
                <c:pt idx="664">
                  <c:v>-4132.8833638898941</c:v>
                </c:pt>
                <c:pt idx="665">
                  <c:v>-4117.0315284814915</c:v>
                </c:pt>
                <c:pt idx="666">
                  <c:v>-4101.1796930730889</c:v>
                </c:pt>
                <c:pt idx="667">
                  <c:v>-4085.3278576646862</c:v>
                </c:pt>
                <c:pt idx="668">
                  <c:v>-4069.4760222562836</c:v>
                </c:pt>
                <c:pt idx="669">
                  <c:v>-4053.6241868478828</c:v>
                </c:pt>
                <c:pt idx="670">
                  <c:v>-4037.7723514394802</c:v>
                </c:pt>
                <c:pt idx="671">
                  <c:v>-4021.9205160310776</c:v>
                </c:pt>
                <c:pt idx="672">
                  <c:v>-4006.0686806226749</c:v>
                </c:pt>
                <c:pt idx="673">
                  <c:v>-3990.2168452142723</c:v>
                </c:pt>
                <c:pt idx="674">
                  <c:v>-3974.3650098058697</c:v>
                </c:pt>
                <c:pt idx="675">
                  <c:v>-3958.5131743974671</c:v>
                </c:pt>
                <c:pt idx="676">
                  <c:v>-3942.6613389890645</c:v>
                </c:pt>
                <c:pt idx="677">
                  <c:v>-3926.8095035806618</c:v>
                </c:pt>
                <c:pt idx="678">
                  <c:v>-3910.9576681722592</c:v>
                </c:pt>
                <c:pt idx="679">
                  <c:v>-3895.1058327638566</c:v>
                </c:pt>
                <c:pt idx="680">
                  <c:v>-3879.253997355454</c:v>
                </c:pt>
                <c:pt idx="681">
                  <c:v>-3863.4021619470514</c:v>
                </c:pt>
                <c:pt idx="682">
                  <c:v>-3847.5503265386506</c:v>
                </c:pt>
                <c:pt idx="683">
                  <c:v>-3831.6984911302479</c:v>
                </c:pt>
                <c:pt idx="684">
                  <c:v>-3815.8466557218453</c:v>
                </c:pt>
                <c:pt idx="685">
                  <c:v>-3799.9948203134427</c:v>
                </c:pt>
                <c:pt idx="686">
                  <c:v>-3784.1429849050401</c:v>
                </c:pt>
                <c:pt idx="687">
                  <c:v>-3768.2911494966374</c:v>
                </c:pt>
                <c:pt idx="688">
                  <c:v>-3752.4393140882366</c:v>
                </c:pt>
                <c:pt idx="689">
                  <c:v>-3736.587478679834</c:v>
                </c:pt>
                <c:pt idx="690">
                  <c:v>-3720.7356432714314</c:v>
                </c:pt>
                <c:pt idx="691">
                  <c:v>-3704.8838078630288</c:v>
                </c:pt>
                <c:pt idx="692">
                  <c:v>-3689.0319724546262</c:v>
                </c:pt>
                <c:pt idx="693">
                  <c:v>-3673.1801370462235</c:v>
                </c:pt>
                <c:pt idx="694">
                  <c:v>-3657.3283016378209</c:v>
                </c:pt>
                <c:pt idx="695">
                  <c:v>-3641.4764662294201</c:v>
                </c:pt>
                <c:pt idx="696">
                  <c:v>-3625.6246308210175</c:v>
                </c:pt>
                <c:pt idx="697">
                  <c:v>-3609.7727954126149</c:v>
                </c:pt>
                <c:pt idx="698">
                  <c:v>-3593.9209600042122</c:v>
                </c:pt>
                <c:pt idx="699">
                  <c:v>-3578.0691245958096</c:v>
                </c:pt>
                <c:pt idx="700">
                  <c:v>-3562.217289187407</c:v>
                </c:pt>
                <c:pt idx="701">
                  <c:v>-3546.3654537790044</c:v>
                </c:pt>
                <c:pt idx="702">
                  <c:v>-3530.5136183706018</c:v>
                </c:pt>
                <c:pt idx="703">
                  <c:v>-3514.6617829621991</c:v>
                </c:pt>
                <c:pt idx="704">
                  <c:v>-3498.8099475537965</c:v>
                </c:pt>
                <c:pt idx="705">
                  <c:v>-3482.9581121453939</c:v>
                </c:pt>
                <c:pt idx="706">
                  <c:v>-3467.1062767369913</c:v>
                </c:pt>
                <c:pt idx="707">
                  <c:v>-3451.2544413285887</c:v>
                </c:pt>
                <c:pt idx="708">
                  <c:v>-3435.4026059201879</c:v>
                </c:pt>
                <c:pt idx="709">
                  <c:v>-3419.5507705117852</c:v>
                </c:pt>
                <c:pt idx="710">
                  <c:v>-3403.6989351033826</c:v>
                </c:pt>
                <c:pt idx="711">
                  <c:v>-3387.84709969498</c:v>
                </c:pt>
                <c:pt idx="712">
                  <c:v>-3371.9952642865774</c:v>
                </c:pt>
                <c:pt idx="713">
                  <c:v>-3356.1434288781747</c:v>
                </c:pt>
                <c:pt idx="714">
                  <c:v>-3340.2915934697721</c:v>
                </c:pt>
                <c:pt idx="715">
                  <c:v>-3324.4397580613695</c:v>
                </c:pt>
                <c:pt idx="716">
                  <c:v>-3308.5879226529669</c:v>
                </c:pt>
                <c:pt idx="717">
                  <c:v>-3292.7360872445643</c:v>
                </c:pt>
                <c:pt idx="718">
                  <c:v>-3276.8842518361616</c:v>
                </c:pt>
                <c:pt idx="719">
                  <c:v>-3261.032416427759</c:v>
                </c:pt>
                <c:pt idx="720">
                  <c:v>-3245.1805810193564</c:v>
                </c:pt>
                <c:pt idx="721">
                  <c:v>-3229.3287456109556</c:v>
                </c:pt>
                <c:pt idx="722">
                  <c:v>-3213.476910202553</c:v>
                </c:pt>
                <c:pt idx="723">
                  <c:v>-3197.6250747941504</c:v>
                </c:pt>
                <c:pt idx="724">
                  <c:v>-3181.7732393857477</c:v>
                </c:pt>
                <c:pt idx="725">
                  <c:v>-3165.9214039773451</c:v>
                </c:pt>
                <c:pt idx="726">
                  <c:v>-3150.0695685689425</c:v>
                </c:pt>
                <c:pt idx="727">
                  <c:v>-3134.2177331605399</c:v>
                </c:pt>
                <c:pt idx="728">
                  <c:v>-3118.3658977521372</c:v>
                </c:pt>
                <c:pt idx="729">
                  <c:v>-3102.5140623437346</c:v>
                </c:pt>
                <c:pt idx="730">
                  <c:v>-3086.662226935332</c:v>
                </c:pt>
                <c:pt idx="731">
                  <c:v>-3070.8103915269294</c:v>
                </c:pt>
                <c:pt idx="732">
                  <c:v>-3054.9585561185268</c:v>
                </c:pt>
                <c:pt idx="733">
                  <c:v>-3039.1067207101241</c:v>
                </c:pt>
                <c:pt idx="734">
                  <c:v>-3023.2548853017233</c:v>
                </c:pt>
                <c:pt idx="735">
                  <c:v>-3007.4030498933207</c:v>
                </c:pt>
                <c:pt idx="736">
                  <c:v>-2991.5512144849181</c:v>
                </c:pt>
                <c:pt idx="737">
                  <c:v>-2975.6993790765155</c:v>
                </c:pt>
                <c:pt idx="738">
                  <c:v>-2959.8475436681128</c:v>
                </c:pt>
                <c:pt idx="739">
                  <c:v>-2943.9957082597102</c:v>
                </c:pt>
                <c:pt idx="740">
                  <c:v>-2928.1438728513076</c:v>
                </c:pt>
                <c:pt idx="741">
                  <c:v>-2912.292037442905</c:v>
                </c:pt>
                <c:pt idx="742">
                  <c:v>-2896.4402020345024</c:v>
                </c:pt>
                <c:pt idx="743">
                  <c:v>-2880.5883666260997</c:v>
                </c:pt>
                <c:pt idx="744">
                  <c:v>-2864.7365312176971</c:v>
                </c:pt>
                <c:pt idx="745">
                  <c:v>-2848.8846958092945</c:v>
                </c:pt>
                <c:pt idx="746">
                  <c:v>-2833.0328604008919</c:v>
                </c:pt>
                <c:pt idx="747">
                  <c:v>-2817.1810249924911</c:v>
                </c:pt>
                <c:pt idx="748">
                  <c:v>-2801.3291895840885</c:v>
                </c:pt>
                <c:pt idx="749">
                  <c:v>-2785.4773541756858</c:v>
                </c:pt>
                <c:pt idx="750">
                  <c:v>-2769.6255187672832</c:v>
                </c:pt>
                <c:pt idx="751">
                  <c:v>-2753.7736833588806</c:v>
                </c:pt>
                <c:pt idx="752">
                  <c:v>-2737.921847950478</c:v>
                </c:pt>
                <c:pt idx="753">
                  <c:v>-2722.0700125420753</c:v>
                </c:pt>
                <c:pt idx="754">
                  <c:v>-2706.2181771336727</c:v>
                </c:pt>
                <c:pt idx="755">
                  <c:v>-2690.3663417252701</c:v>
                </c:pt>
                <c:pt idx="756">
                  <c:v>-2674.5145063168675</c:v>
                </c:pt>
                <c:pt idx="757">
                  <c:v>-2658.6626709084649</c:v>
                </c:pt>
                <c:pt idx="758">
                  <c:v>-2642.8108355000622</c:v>
                </c:pt>
                <c:pt idx="759">
                  <c:v>-2626.9590000916596</c:v>
                </c:pt>
                <c:pt idx="760">
                  <c:v>-2611.1071646832588</c:v>
                </c:pt>
                <c:pt idx="761">
                  <c:v>-2595.2553292748562</c:v>
                </c:pt>
                <c:pt idx="762">
                  <c:v>-2579.4034938664536</c:v>
                </c:pt>
                <c:pt idx="763">
                  <c:v>-2563.551658458051</c:v>
                </c:pt>
                <c:pt idx="764">
                  <c:v>-2547.6998230496483</c:v>
                </c:pt>
                <c:pt idx="765">
                  <c:v>-2531.8479876412457</c:v>
                </c:pt>
                <c:pt idx="766">
                  <c:v>-2515.9961522328431</c:v>
                </c:pt>
                <c:pt idx="767">
                  <c:v>-2500.1443168244405</c:v>
                </c:pt>
                <c:pt idx="768">
                  <c:v>-2484.2924814160378</c:v>
                </c:pt>
                <c:pt idx="769">
                  <c:v>-2468.4406460076352</c:v>
                </c:pt>
                <c:pt idx="770">
                  <c:v>-2452.5888105992326</c:v>
                </c:pt>
                <c:pt idx="771">
                  <c:v>-2436.73697519083</c:v>
                </c:pt>
                <c:pt idx="772">
                  <c:v>-2420.8851397824274</c:v>
                </c:pt>
                <c:pt idx="773">
                  <c:v>-2405.0333043740266</c:v>
                </c:pt>
                <c:pt idx="774">
                  <c:v>-2389.1814689656239</c:v>
                </c:pt>
                <c:pt idx="775">
                  <c:v>-2373.3296335572213</c:v>
                </c:pt>
                <c:pt idx="776">
                  <c:v>-2357.4777981488187</c:v>
                </c:pt>
                <c:pt idx="777">
                  <c:v>-2341.6259627404161</c:v>
                </c:pt>
                <c:pt idx="778">
                  <c:v>-2325.7741273320134</c:v>
                </c:pt>
                <c:pt idx="779">
                  <c:v>-2309.9222919236108</c:v>
                </c:pt>
                <c:pt idx="780">
                  <c:v>-2294.0704565152082</c:v>
                </c:pt>
                <c:pt idx="781">
                  <c:v>-2278.2186211068056</c:v>
                </c:pt>
                <c:pt idx="782">
                  <c:v>-2262.366785698403</c:v>
                </c:pt>
                <c:pt idx="783">
                  <c:v>-2246.5149502900003</c:v>
                </c:pt>
                <c:pt idx="784">
                  <c:v>-2230.6631148815977</c:v>
                </c:pt>
                <c:pt idx="785">
                  <c:v>-2214.8112794731951</c:v>
                </c:pt>
                <c:pt idx="786">
                  <c:v>-2198.9594440647943</c:v>
                </c:pt>
                <c:pt idx="787">
                  <c:v>-2183.1076086563917</c:v>
                </c:pt>
                <c:pt idx="788">
                  <c:v>-2167.2557732479891</c:v>
                </c:pt>
                <c:pt idx="789">
                  <c:v>-2151.4039378395864</c:v>
                </c:pt>
                <c:pt idx="790">
                  <c:v>-2135.5521024311838</c:v>
                </c:pt>
                <c:pt idx="791">
                  <c:v>-2119.7002670227812</c:v>
                </c:pt>
                <c:pt idx="792">
                  <c:v>-2103.8484316143786</c:v>
                </c:pt>
                <c:pt idx="793">
                  <c:v>-2087.9965962059759</c:v>
                </c:pt>
                <c:pt idx="794">
                  <c:v>-2072.1447607975733</c:v>
                </c:pt>
                <c:pt idx="795">
                  <c:v>-2056.2929253891707</c:v>
                </c:pt>
                <c:pt idx="796">
                  <c:v>-2040.4410899807681</c:v>
                </c:pt>
                <c:pt idx="797">
                  <c:v>-2024.5892545723655</c:v>
                </c:pt>
                <c:pt idx="798">
                  <c:v>-2008.7374191639628</c:v>
                </c:pt>
                <c:pt idx="799">
                  <c:v>-1992.885583755562</c:v>
                </c:pt>
                <c:pt idx="800">
                  <c:v>-1977.0337483471594</c:v>
                </c:pt>
                <c:pt idx="801">
                  <c:v>-1961.1819129387568</c:v>
                </c:pt>
                <c:pt idx="802">
                  <c:v>-1945.3300775303542</c:v>
                </c:pt>
                <c:pt idx="803">
                  <c:v>-1929.4782421219516</c:v>
                </c:pt>
                <c:pt idx="804">
                  <c:v>-1913.6264067135489</c:v>
                </c:pt>
                <c:pt idx="805">
                  <c:v>-1897.7745713051463</c:v>
                </c:pt>
                <c:pt idx="806">
                  <c:v>-1881.9227358967437</c:v>
                </c:pt>
                <c:pt idx="807">
                  <c:v>-1866.0709004883411</c:v>
                </c:pt>
                <c:pt idx="808">
                  <c:v>-1850.2190650799384</c:v>
                </c:pt>
                <c:pt idx="809">
                  <c:v>-1834.3672296715358</c:v>
                </c:pt>
                <c:pt idx="810">
                  <c:v>-1818.5153942631332</c:v>
                </c:pt>
                <c:pt idx="811">
                  <c:v>-1802.6635588547306</c:v>
                </c:pt>
                <c:pt idx="812">
                  <c:v>-1786.8117234463298</c:v>
                </c:pt>
                <c:pt idx="813">
                  <c:v>-1770.959888037929</c:v>
                </c:pt>
                <c:pt idx="814">
                  <c:v>-1755.1080526295264</c:v>
                </c:pt>
                <c:pt idx="815">
                  <c:v>-1739.2562172211237</c:v>
                </c:pt>
                <c:pt idx="816">
                  <c:v>-1723.4043818127211</c:v>
                </c:pt>
                <c:pt idx="817">
                  <c:v>-1707.5525464043185</c:v>
                </c:pt>
                <c:pt idx="818">
                  <c:v>-1691.7007109959159</c:v>
                </c:pt>
                <c:pt idx="819">
                  <c:v>-1675.8488755875132</c:v>
                </c:pt>
                <c:pt idx="820">
                  <c:v>-1659.9970401791106</c:v>
                </c:pt>
                <c:pt idx="821">
                  <c:v>-1644.145204770708</c:v>
                </c:pt>
                <c:pt idx="822">
                  <c:v>-1628.2933693623054</c:v>
                </c:pt>
                <c:pt idx="823">
                  <c:v>-1612.4415339539028</c:v>
                </c:pt>
                <c:pt idx="824">
                  <c:v>-1596.5896985455001</c:v>
                </c:pt>
                <c:pt idx="825">
                  <c:v>-1580.7378631370993</c:v>
                </c:pt>
                <c:pt idx="826">
                  <c:v>-1564.8860277286967</c:v>
                </c:pt>
                <c:pt idx="827">
                  <c:v>-1549.0341923202941</c:v>
                </c:pt>
                <c:pt idx="828">
                  <c:v>-1533.1823569118915</c:v>
                </c:pt>
                <c:pt idx="829">
                  <c:v>-1517.3305215034889</c:v>
                </c:pt>
                <c:pt idx="830">
                  <c:v>-1501.4786860950862</c:v>
                </c:pt>
                <c:pt idx="831">
                  <c:v>-1485.6268506866836</c:v>
                </c:pt>
                <c:pt idx="832">
                  <c:v>-1469.775015278281</c:v>
                </c:pt>
                <c:pt idx="833">
                  <c:v>-1453.9231798698784</c:v>
                </c:pt>
                <c:pt idx="834">
                  <c:v>-1438.0713444614757</c:v>
                </c:pt>
                <c:pt idx="835">
                  <c:v>-1422.2195090530731</c:v>
                </c:pt>
                <c:pt idx="836">
                  <c:v>-1406.3676736446705</c:v>
                </c:pt>
                <c:pt idx="837">
                  <c:v>-1390.5158382362679</c:v>
                </c:pt>
                <c:pt idx="838">
                  <c:v>-1374.6640028278671</c:v>
                </c:pt>
                <c:pt idx="839">
                  <c:v>-1358.8121674194645</c:v>
                </c:pt>
                <c:pt idx="840">
                  <c:v>-1342.9603320110618</c:v>
                </c:pt>
                <c:pt idx="841">
                  <c:v>-1327.1084966026592</c:v>
                </c:pt>
                <c:pt idx="842">
                  <c:v>-1311.2566611942566</c:v>
                </c:pt>
                <c:pt idx="843">
                  <c:v>-1295.404825785854</c:v>
                </c:pt>
                <c:pt idx="844">
                  <c:v>-1279.5529903774514</c:v>
                </c:pt>
                <c:pt idx="845">
                  <c:v>-1263.7011549690487</c:v>
                </c:pt>
                <c:pt idx="846">
                  <c:v>-1247.8493195606461</c:v>
                </c:pt>
                <c:pt idx="847">
                  <c:v>-1231.9974841522435</c:v>
                </c:pt>
                <c:pt idx="848">
                  <c:v>-1216.1456487438409</c:v>
                </c:pt>
                <c:pt idx="849">
                  <c:v>-1200.2938133354382</c:v>
                </c:pt>
                <c:pt idx="850">
                  <c:v>-1184.4419779270356</c:v>
                </c:pt>
                <c:pt idx="851">
                  <c:v>-1168.5901425186348</c:v>
                </c:pt>
                <c:pt idx="852">
                  <c:v>-1152.7383071102322</c:v>
                </c:pt>
                <c:pt idx="853">
                  <c:v>-1136.8864717018296</c:v>
                </c:pt>
                <c:pt idx="854">
                  <c:v>-1121.034636293427</c:v>
                </c:pt>
                <c:pt idx="855">
                  <c:v>-1105.1828008850243</c:v>
                </c:pt>
                <c:pt idx="856">
                  <c:v>-1089.3309654766217</c:v>
                </c:pt>
                <c:pt idx="857">
                  <c:v>-1073.4791300682191</c:v>
                </c:pt>
                <c:pt idx="858">
                  <c:v>-1057.6272946598165</c:v>
                </c:pt>
                <c:pt idx="859">
                  <c:v>-1041.7754592514138</c:v>
                </c:pt>
                <c:pt idx="860">
                  <c:v>-1025.9236238430112</c:v>
                </c:pt>
                <c:pt idx="861">
                  <c:v>-1010.0717884346086</c:v>
                </c:pt>
                <c:pt idx="862">
                  <c:v>-994.21995302620599</c:v>
                </c:pt>
                <c:pt idx="863">
                  <c:v>-978.36811761780336</c:v>
                </c:pt>
                <c:pt idx="864">
                  <c:v>-962.51628220940256</c:v>
                </c:pt>
                <c:pt idx="865">
                  <c:v>-946.66444680099994</c:v>
                </c:pt>
                <c:pt idx="866">
                  <c:v>-930.81261139259732</c:v>
                </c:pt>
                <c:pt idx="867">
                  <c:v>-914.9607759841947</c:v>
                </c:pt>
                <c:pt idx="868">
                  <c:v>-899.10894057579208</c:v>
                </c:pt>
                <c:pt idx="869">
                  <c:v>-883.25710516738945</c:v>
                </c:pt>
                <c:pt idx="870">
                  <c:v>-867.40526975898683</c:v>
                </c:pt>
                <c:pt idx="871">
                  <c:v>-851.55343435058421</c:v>
                </c:pt>
                <c:pt idx="872">
                  <c:v>-835.70159894218159</c:v>
                </c:pt>
                <c:pt idx="873">
                  <c:v>-819.84976353377897</c:v>
                </c:pt>
                <c:pt idx="874">
                  <c:v>-803.99792812537635</c:v>
                </c:pt>
                <c:pt idx="875">
                  <c:v>-788.14609271697373</c:v>
                </c:pt>
                <c:pt idx="876">
                  <c:v>-772.2942573085711</c:v>
                </c:pt>
                <c:pt idx="877">
                  <c:v>-756.4424219001703</c:v>
                </c:pt>
                <c:pt idx="878">
                  <c:v>-740.59058649176768</c:v>
                </c:pt>
                <c:pt idx="879">
                  <c:v>-724.73875108336506</c:v>
                </c:pt>
                <c:pt idx="880">
                  <c:v>-708.88691567496244</c:v>
                </c:pt>
                <c:pt idx="881">
                  <c:v>-693.03508026655982</c:v>
                </c:pt>
                <c:pt idx="882">
                  <c:v>-677.1832448581572</c:v>
                </c:pt>
                <c:pt idx="883">
                  <c:v>-661.33140944975457</c:v>
                </c:pt>
                <c:pt idx="884">
                  <c:v>-645.47957404135195</c:v>
                </c:pt>
                <c:pt idx="885">
                  <c:v>-629.62773863294933</c:v>
                </c:pt>
                <c:pt idx="886">
                  <c:v>-613.77590322454671</c:v>
                </c:pt>
                <c:pt idx="887">
                  <c:v>-597.92406781614409</c:v>
                </c:pt>
                <c:pt idx="888">
                  <c:v>-582.07223240774147</c:v>
                </c:pt>
                <c:pt idx="889">
                  <c:v>-566.22039699933885</c:v>
                </c:pt>
                <c:pt idx="890">
                  <c:v>-550.36856159093804</c:v>
                </c:pt>
                <c:pt idx="891">
                  <c:v>-534.51672618253542</c:v>
                </c:pt>
                <c:pt idx="892">
                  <c:v>-518.6648907741328</c:v>
                </c:pt>
                <c:pt idx="893">
                  <c:v>-502.81305536573018</c:v>
                </c:pt>
                <c:pt idx="894">
                  <c:v>-486.96121995732756</c:v>
                </c:pt>
                <c:pt idx="895">
                  <c:v>-471.10938454892494</c:v>
                </c:pt>
                <c:pt idx="896">
                  <c:v>-455.25754914052231</c:v>
                </c:pt>
                <c:pt idx="897">
                  <c:v>-439.40571373211969</c:v>
                </c:pt>
                <c:pt idx="898">
                  <c:v>-423.55387832371707</c:v>
                </c:pt>
                <c:pt idx="899">
                  <c:v>-407.70204291531445</c:v>
                </c:pt>
                <c:pt idx="900">
                  <c:v>-391.85020750691183</c:v>
                </c:pt>
                <c:pt idx="901">
                  <c:v>-375.99837209850921</c:v>
                </c:pt>
                <c:pt idx="902">
                  <c:v>-360.14653669010659</c:v>
                </c:pt>
                <c:pt idx="903">
                  <c:v>-344.29470128170578</c:v>
                </c:pt>
                <c:pt idx="904">
                  <c:v>-328.44286587330316</c:v>
                </c:pt>
                <c:pt idx="905">
                  <c:v>-312.59103046490054</c:v>
                </c:pt>
                <c:pt idx="906">
                  <c:v>-296.73919505649792</c:v>
                </c:pt>
                <c:pt idx="907">
                  <c:v>-280.8873596480953</c:v>
                </c:pt>
                <c:pt idx="908">
                  <c:v>-265.03552423969268</c:v>
                </c:pt>
                <c:pt idx="909">
                  <c:v>-249.18368883129006</c:v>
                </c:pt>
                <c:pt idx="910">
                  <c:v>-233.33185342288743</c:v>
                </c:pt>
                <c:pt idx="911">
                  <c:v>-217.48001801448481</c:v>
                </c:pt>
                <c:pt idx="912">
                  <c:v>-201.62818260608219</c:v>
                </c:pt>
                <c:pt idx="913">
                  <c:v>-185.77634719767957</c:v>
                </c:pt>
                <c:pt idx="914">
                  <c:v>-169.92451178927695</c:v>
                </c:pt>
                <c:pt idx="915">
                  <c:v>-154.07267638087433</c:v>
                </c:pt>
                <c:pt idx="916">
                  <c:v>-138.22084097247352</c:v>
                </c:pt>
                <c:pt idx="917">
                  <c:v>-122.3690055640709</c:v>
                </c:pt>
                <c:pt idx="918">
                  <c:v>-106.51717015566828</c:v>
                </c:pt>
                <c:pt idx="919">
                  <c:v>-90.665334747265661</c:v>
                </c:pt>
                <c:pt idx="920">
                  <c:v>-74.813499338863039</c:v>
                </c:pt>
                <c:pt idx="921">
                  <c:v>-58.961663930460418</c:v>
                </c:pt>
                <c:pt idx="922">
                  <c:v>-43.109828522057796</c:v>
                </c:pt>
                <c:pt idx="923">
                  <c:v>-27.257993113655175</c:v>
                </c:pt>
                <c:pt idx="924">
                  <c:v>-11.406157705252554</c:v>
                </c:pt>
                <c:pt idx="925">
                  <c:v>4.4456777031500678</c:v>
                </c:pt>
                <c:pt idx="926">
                  <c:v>20.297513111552689</c:v>
                </c:pt>
                <c:pt idx="927">
                  <c:v>36.149348519955311</c:v>
                </c:pt>
                <c:pt idx="928">
                  <c:v>52.001183928357932</c:v>
                </c:pt>
                <c:pt idx="929">
                  <c:v>67.853019336758734</c:v>
                </c:pt>
                <c:pt idx="930">
                  <c:v>83.704854745161356</c:v>
                </c:pt>
                <c:pt idx="931">
                  <c:v>99.556690153563977</c:v>
                </c:pt>
                <c:pt idx="932">
                  <c:v>115.4085255619666</c:v>
                </c:pt>
                <c:pt idx="933">
                  <c:v>131.26036097036922</c:v>
                </c:pt>
                <c:pt idx="934">
                  <c:v>147.11219637877184</c:v>
                </c:pt>
                <c:pt idx="935">
                  <c:v>162.96403178717446</c:v>
                </c:pt>
                <c:pt idx="936">
                  <c:v>178.81586719557708</c:v>
                </c:pt>
                <c:pt idx="937">
                  <c:v>194.66770260397971</c:v>
                </c:pt>
                <c:pt idx="938">
                  <c:v>210.51953801238051</c:v>
                </c:pt>
                <c:pt idx="939">
                  <c:v>226.37137342078313</c:v>
                </c:pt>
                <c:pt idx="940">
                  <c:v>242.22320882918575</c:v>
                </c:pt>
                <c:pt idx="941">
                  <c:v>258.07504423758837</c:v>
                </c:pt>
                <c:pt idx="942">
                  <c:v>273.92687964598917</c:v>
                </c:pt>
                <c:pt idx="943">
                  <c:v>289.7787150543918</c:v>
                </c:pt>
                <c:pt idx="944">
                  <c:v>305.63055046279442</c:v>
                </c:pt>
                <c:pt idx="945">
                  <c:v>321.48238587119704</c:v>
                </c:pt>
                <c:pt idx="946">
                  <c:v>337.33422127959966</c:v>
                </c:pt>
                <c:pt idx="947">
                  <c:v>353.18605668800228</c:v>
                </c:pt>
                <c:pt idx="948">
                  <c:v>369.0378920964049</c:v>
                </c:pt>
                <c:pt idx="949">
                  <c:v>384.88972750480752</c:v>
                </c:pt>
                <c:pt idx="950">
                  <c:v>400.74156291321015</c:v>
                </c:pt>
                <c:pt idx="951">
                  <c:v>416.59339832161277</c:v>
                </c:pt>
                <c:pt idx="952">
                  <c:v>432.44523373001539</c:v>
                </c:pt>
                <c:pt idx="953">
                  <c:v>448.29706913841801</c:v>
                </c:pt>
                <c:pt idx="954">
                  <c:v>464.14890454682063</c:v>
                </c:pt>
                <c:pt idx="955">
                  <c:v>480.00073995522143</c:v>
                </c:pt>
                <c:pt idx="956">
                  <c:v>495.85257536362406</c:v>
                </c:pt>
                <c:pt idx="957">
                  <c:v>511.70441077202668</c:v>
                </c:pt>
                <c:pt idx="958">
                  <c:v>527.5562461804293</c:v>
                </c:pt>
                <c:pt idx="959">
                  <c:v>543.40808158883192</c:v>
                </c:pt>
                <c:pt idx="960">
                  <c:v>559.25991699723454</c:v>
                </c:pt>
                <c:pt idx="961">
                  <c:v>575.11175240563716</c:v>
                </c:pt>
                <c:pt idx="962">
                  <c:v>590.96358781403978</c:v>
                </c:pt>
                <c:pt idx="963">
                  <c:v>606.8154232224424</c:v>
                </c:pt>
                <c:pt idx="964">
                  <c:v>622.66725863084503</c:v>
                </c:pt>
                <c:pt idx="965">
                  <c:v>638.51909403924765</c:v>
                </c:pt>
                <c:pt idx="966">
                  <c:v>654.37092944765027</c:v>
                </c:pt>
                <c:pt idx="967">
                  <c:v>670.22276485605289</c:v>
                </c:pt>
                <c:pt idx="968">
                  <c:v>686.07460026445369</c:v>
                </c:pt>
                <c:pt idx="969">
                  <c:v>701.92643567285631</c:v>
                </c:pt>
                <c:pt idx="970">
                  <c:v>717.77827108125894</c:v>
                </c:pt>
                <c:pt idx="971">
                  <c:v>733.63010648966156</c:v>
                </c:pt>
                <c:pt idx="972">
                  <c:v>749.48194189806418</c:v>
                </c:pt>
                <c:pt idx="973">
                  <c:v>765.3337773064668</c:v>
                </c:pt>
                <c:pt idx="974">
                  <c:v>781.18561271486942</c:v>
                </c:pt>
                <c:pt idx="975">
                  <c:v>797.03744812327204</c:v>
                </c:pt>
                <c:pt idx="976">
                  <c:v>812.88928353167466</c:v>
                </c:pt>
                <c:pt idx="977">
                  <c:v>828.74111894007729</c:v>
                </c:pt>
                <c:pt idx="978">
                  <c:v>844.59295434847991</c:v>
                </c:pt>
                <c:pt idx="979">
                  <c:v>860.44478975688253</c:v>
                </c:pt>
                <c:pt idx="980">
                  <c:v>876.29662516528515</c:v>
                </c:pt>
                <c:pt idx="981">
                  <c:v>892.14846057368595</c:v>
                </c:pt>
                <c:pt idx="982">
                  <c:v>908.00029598208857</c:v>
                </c:pt>
                <c:pt idx="983">
                  <c:v>923.85213139049119</c:v>
                </c:pt>
                <c:pt idx="984">
                  <c:v>939.70396679889382</c:v>
                </c:pt>
                <c:pt idx="985">
                  <c:v>955.55580220729644</c:v>
                </c:pt>
                <c:pt idx="986">
                  <c:v>971.40763761569906</c:v>
                </c:pt>
                <c:pt idx="987">
                  <c:v>987.25947302410168</c:v>
                </c:pt>
                <c:pt idx="988">
                  <c:v>1003.1113084325043</c:v>
                </c:pt>
                <c:pt idx="989">
                  <c:v>1018.9631438409069</c:v>
                </c:pt>
                <c:pt idx="990">
                  <c:v>1034.8149792493095</c:v>
                </c:pt>
                <c:pt idx="991">
                  <c:v>1050.6668146577122</c:v>
                </c:pt>
                <c:pt idx="992">
                  <c:v>1066.5186500661148</c:v>
                </c:pt>
                <c:pt idx="993">
                  <c:v>1082.3704854745174</c:v>
                </c:pt>
                <c:pt idx="994">
                  <c:v>1098.2223208829182</c:v>
                </c:pt>
                <c:pt idx="995">
                  <c:v>1114.0741562913208</c:v>
                </c:pt>
                <c:pt idx="996">
                  <c:v>1129.9259916997235</c:v>
                </c:pt>
                <c:pt idx="997">
                  <c:v>1145.7778271081261</c:v>
                </c:pt>
                <c:pt idx="998">
                  <c:v>1161.6296625165287</c:v>
                </c:pt>
                <c:pt idx="999">
                  <c:v>1177.4814979249313</c:v>
                </c:pt>
                <c:pt idx="1000">
                  <c:v>1193.3333333333339</c:v>
                </c:pt>
              </c:numCache>
            </c:numRef>
          </c:xVal>
          <c:yVal>
            <c:numRef>
              <c:f>psi!$P$28:$P$1028</c:f>
              <c:numCache>
                <c:formatCode>General</c:formatCode>
                <c:ptCount val="1001"/>
                <c:pt idx="0">
                  <c:v>0</c:v>
                </c:pt>
                <c:pt idx="1">
                  <c:v>398.96489406100824</c:v>
                </c:pt>
                <c:pt idx="2">
                  <c:v>563.73593441580442</c:v>
                </c:pt>
                <c:pt idx="3">
                  <c:v>689.83806826194802</c:v>
                </c:pt>
                <c:pt idx="4">
                  <c:v>795.86994245403014</c:v>
                </c:pt>
                <c:pt idx="5">
                  <c:v>889.04236475342839</c:v>
                </c:pt>
                <c:pt idx="6">
                  <c:v>973.05680758236997</c:v>
                </c:pt>
                <c:pt idx="7">
                  <c:v>1050.1140629955769</c:v>
                </c:pt>
                <c:pt idx="8">
                  <c:v>1121.6493283818861</c:v>
                </c:pt>
                <c:pt idx="9">
                  <c:v>1188.6603668755126</c:v>
                </c:pt>
                <c:pt idx="10">
                  <c:v>1251.8742771274033</c:v>
                </c:pt>
                <c:pt idx="11">
                  <c:v>1311.8404376036174</c:v>
                </c:pt>
                <c:pt idx="12">
                  <c:v>1368.9860317540263</c:v>
                </c:pt>
                <c:pt idx="13">
                  <c:v>1423.6510712447769</c:v>
                </c:pt>
                <c:pt idx="14">
                  <c:v>1476.1114755806013</c:v>
                </c:pt>
                <c:pt idx="15">
                  <c:v>1526.5948393692331</c:v>
                </c:pt>
                <c:pt idx="16">
                  <c:v>1575.291534651491</c:v>
                </c:pt>
                <c:pt idx="17">
                  <c:v>1622.3627322822222</c:v>
                </c:pt>
                <c:pt idx="18">
                  <c:v>1667.946327339529</c:v>
                </c:pt>
                <c:pt idx="19">
                  <c:v>1712.1614016464416</c:v>
                </c:pt>
                <c:pt idx="20">
                  <c:v>1755.1116421564834</c:v>
                </c:pt>
                <c:pt idx="21">
                  <c:v>1796.8879992350328</c:v>
                </c:pt>
                <c:pt idx="22">
                  <c:v>1837.5707818182516</c:v>
                </c:pt>
                <c:pt idx="23">
                  <c:v>1877.2313287898937</c:v>
                </c:pt>
                <c:pt idx="24">
                  <c:v>1915.9333569047446</c:v>
                </c:pt>
                <c:pt idx="25">
                  <c:v>1953.7340586628472</c:v>
                </c:pt>
                <c:pt idx="26">
                  <c:v>1990.6850046227278</c:v>
                </c:pt>
                <c:pt idx="27">
                  <c:v>2026.8328911384917</c:v>
                </c:pt>
                <c:pt idx="28">
                  <c:v>2062.2201647221841</c:v>
                </c:pt>
                <c:pt idx="29">
                  <c:v>2096.8855470502554</c:v>
                </c:pt>
                <c:pt idx="30">
                  <c:v>2130.8644792927212</c:v>
                </c:pt>
                <c:pt idx="31">
                  <c:v>2164.1895004293456</c:v>
                </c:pt>
                <c:pt idx="32">
                  <c:v>2196.8905711659586</c:v>
                </c:pt>
                <c:pt idx="33">
                  <c:v>2228.9953527235448</c:v>
                </c:pt>
                <c:pt idx="34">
                  <c:v>2260.5294479599947</c:v>
                </c:pt>
                <c:pt idx="35">
                  <c:v>2291.5166108686644</c:v>
                </c:pt>
                <c:pt idx="36">
                  <c:v>2321.9789293839185</c:v>
                </c:pt>
                <c:pt idx="37">
                  <c:v>2351.9369855396521</c:v>
                </c:pt>
                <c:pt idx="38">
                  <c:v>2381.4099963214635</c:v>
                </c:pt>
                <c:pt idx="39">
                  <c:v>2410.4159379852608</c:v>
                </c:pt>
                <c:pt idx="40">
                  <c:v>2438.9716561565906</c:v>
                </c:pt>
                <c:pt idx="41">
                  <c:v>2467.0929636509973</c:v>
                </c:pt>
                <c:pt idx="42">
                  <c:v>2494.7947276506238</c:v>
                </c:pt>
                <c:pt idx="43">
                  <c:v>2522.0909476204947</c:v>
                </c:pt>
                <c:pt idx="44">
                  <c:v>2548.9948251403844</c:v>
                </c:pt>
                <c:pt idx="45">
                  <c:v>2575.5188266556179</c:v>
                </c:pt>
                <c:pt idx="46">
                  <c:v>2601.6747400058939</c:v>
                </c:pt>
                <c:pt idx="47">
                  <c:v>2627.4737254709812</c:v>
                </c:pt>
                <c:pt idx="48">
                  <c:v>2652.926361970196</c:v>
                </c:pt>
                <c:pt idx="49">
                  <c:v>2678.0426889672522</c:v>
                </c:pt>
                <c:pt idx="50">
                  <c:v>2702.8322445589806</c:v>
                </c:pt>
                <c:pt idx="51">
                  <c:v>2727.3041001649531</c:v>
                </c:pt>
                <c:pt idx="52">
                  <c:v>2751.4668921818684</c:v>
                </c:pt>
                <c:pt idx="53">
                  <c:v>2775.3288509217091</c:v>
                </c:pt>
                <c:pt idx="54">
                  <c:v>2798.8978271134374</c:v>
                </c:pt>
                <c:pt idx="55">
                  <c:v>2822.1813162147882</c:v>
                </c:pt>
                <c:pt idx="56">
                  <c:v>2845.1864807516758</c:v>
                </c:pt>
                <c:pt idx="57">
                  <c:v>2867.9201708775067</c:v>
                </c:pt>
                <c:pt idx="58">
                  <c:v>2890.3889433231316</c:v>
                </c:pt>
                <c:pt idx="59">
                  <c:v>2912.5990788888876</c:v>
                </c:pt>
                <c:pt idx="60">
                  <c:v>2934.5565986138522</c:v>
                </c:pt>
                <c:pt idx="61">
                  <c:v>2956.2672787425904</c:v>
                </c:pt>
                <c:pt idx="62">
                  <c:v>2977.7366645972693</c:v>
                </c:pt>
                <c:pt idx="63">
                  <c:v>2998.9700834514065</c:v>
                </c:pt>
                <c:pt idx="64">
                  <c:v>3019.9726564919843</c:v>
                </c:pt>
                <c:pt idx="65">
                  <c:v>3040.7493099476237</c:v>
                </c:pt>
                <c:pt idx="66">
                  <c:v>3061.3047854530118</c:v>
                </c:pt>
                <c:pt idx="67">
                  <c:v>3081.6436497127138</c:v>
                </c:pt>
                <c:pt idx="68">
                  <c:v>3101.7703035215291</c:v>
                </c:pt>
                <c:pt idx="69">
                  <c:v>3121.6889901931445</c:v>
                </c:pt>
                <c:pt idx="70">
                  <c:v>3141.4038034437963</c:v>
                </c:pt>
                <c:pt idx="71">
                  <c:v>3160.9186947736393</c:v>
                </c:pt>
                <c:pt idx="72">
                  <c:v>3180.237480384314</c:v>
                </c:pt>
                <c:pt idx="73">
                  <c:v>3199.363847668038</c:v>
                </c:pt>
                <c:pt idx="74">
                  <c:v>3218.3013613001622</c:v>
                </c:pt>
                <c:pt idx="75">
                  <c:v>3237.0534689645901</c:v>
                </c:pt>
                <c:pt idx="76">
                  <c:v>3255.6235067386724</c:v>
                </c:pt>
                <c:pt idx="77">
                  <c:v>3274.0147041621817</c:v>
                </c:pt>
                <c:pt idx="78">
                  <c:v>3292.2301890126637</c:v>
                </c:pt>
                <c:pt idx="79">
                  <c:v>3310.272991807798</c:v>
                </c:pt>
                <c:pt idx="80">
                  <c:v>3328.1460500536487</c:v>
                </c:pt>
                <c:pt idx="81">
                  <c:v>3345.8522122560876</c:v>
                </c:pt>
                <c:pt idx="82">
                  <c:v>3363.3942417114627</c:v>
                </c:pt>
                <c:pt idx="83">
                  <c:v>3380.7748200910987</c:v>
                </c:pt>
                <c:pt idx="84">
                  <c:v>3397.9965508333198</c:v>
                </c:pt>
                <c:pt idx="85">
                  <c:v>3415.0619623553953</c:v>
                </c:pt>
                <c:pt idx="86">
                  <c:v>3431.9735110970842</c:v>
                </c:pt>
                <c:pt idx="87">
                  <c:v>3448.7335844063723</c:v>
                </c:pt>
                <c:pt idx="88">
                  <c:v>3465.344503277408</c:v>
                </c:pt>
                <c:pt idx="89">
                  <c:v>3481.8085249497335</c:v>
                </c:pt>
                <c:pt idx="90">
                  <c:v>3498.1278453773398</c:v>
                </c:pt>
                <c:pt idx="91">
                  <c:v>3514.304601575504</c:v>
                </c:pt>
                <c:pt idx="92">
                  <c:v>3530.3408738526314</c:v>
                </c:pt>
                <c:pt idx="93">
                  <c:v>3546.2386879340543</c:v>
                </c:pt>
                <c:pt idx="94">
                  <c:v>3562.0000169840177</c:v>
                </c:pt>
                <c:pt idx="95">
                  <c:v>3577.6267835318627</c:v>
                </c:pt>
                <c:pt idx="96">
                  <c:v>3593.1208613078284</c:v>
                </c:pt>
                <c:pt idx="97">
                  <c:v>3608.4840769937036</c:v>
                </c:pt>
                <c:pt idx="98">
                  <c:v>3623.7182118930182</c:v>
                </c:pt>
                <c:pt idx="99">
                  <c:v>3638.82500352537</c:v>
                </c:pt>
                <c:pt idx="100">
                  <c:v>3653.8061471489546</c:v>
                </c:pt>
                <c:pt idx="101">
                  <c:v>3668.6632972153366</c:v>
                </c:pt>
                <c:pt idx="102">
                  <c:v>3683.3980687600219</c:v>
                </c:pt>
                <c:pt idx="103">
                  <c:v>3698.0120387323163</c:v>
                </c:pt>
                <c:pt idx="104">
                  <c:v>3712.5067472677188</c:v>
                </c:pt>
                <c:pt idx="105">
                  <c:v>3726.883698905775</c:v>
                </c:pt>
                <c:pt idx="106">
                  <c:v>3741.1443637563407</c:v>
                </c:pt>
                <c:pt idx="107">
                  <c:v>3755.2901786167945</c:v>
                </c:pt>
                <c:pt idx="108">
                  <c:v>3769.3225480428241</c:v>
                </c:pt>
                <c:pt idx="109">
                  <c:v>3783.242845375004</c:v>
                </c:pt>
                <c:pt idx="110">
                  <c:v>3797.0524137235088</c:v>
                </c:pt>
                <c:pt idx="111">
                  <c:v>3810.7525669129095</c:v>
                </c:pt>
                <c:pt idx="112">
                  <c:v>3824.3445903891493</c:v>
                </c:pt>
                <c:pt idx="113">
                  <c:v>3837.8297420904173</c:v>
                </c:pt>
                <c:pt idx="114">
                  <c:v>3851.2092532837423</c:v>
                </c:pt>
                <c:pt idx="115">
                  <c:v>3864.4843293689428</c:v>
                </c:pt>
                <c:pt idx="116">
                  <c:v>3877.656150651419</c:v>
                </c:pt>
                <c:pt idx="117">
                  <c:v>3890.7258730853596</c:v>
                </c:pt>
                <c:pt idx="118">
                  <c:v>3903.6946289886287</c:v>
                </c:pt>
                <c:pt idx="119">
                  <c:v>3916.5635277307233</c:v>
                </c:pt>
                <c:pt idx="120">
                  <c:v>3929.3336563950065</c:v>
                </c:pt>
                <c:pt idx="121">
                  <c:v>3942.006080416385</c:v>
                </c:pt>
                <c:pt idx="122">
                  <c:v>3954.5818441955435</c:v>
                </c:pt>
                <c:pt idx="123">
                  <c:v>3967.0619716907759</c:v>
                </c:pt>
                <c:pt idx="124">
                  <c:v>3979.4474669884348</c:v>
                </c:pt>
                <c:pt idx="125">
                  <c:v>3991.7393148528854</c:v>
                </c:pt>
                <c:pt idx="126">
                  <c:v>4003.938481256931</c:v>
                </c:pt>
                <c:pt idx="127">
                  <c:v>4016.0459138934871</c:v>
                </c:pt>
                <c:pt idx="128">
                  <c:v>4028.0625426693473</c:v>
                </c:pt>
                <c:pt idx="129">
                  <c:v>4039.9892801818055</c:v>
                </c:pt>
                <c:pt idx="130">
                  <c:v>4051.827022178838</c:v>
                </c:pt>
                <c:pt idx="131">
                  <c:v>4063.5766480035527</c:v>
                </c:pt>
                <c:pt idx="132">
                  <c:v>4075.2390210235549</c:v>
                </c:pt>
                <c:pt idx="133">
                  <c:v>4086.8149890458526</c:v>
                </c:pt>
                <c:pt idx="134">
                  <c:v>4098.3053847178926</c:v>
                </c:pt>
                <c:pt idx="135">
                  <c:v>4109.7110259152951</c:v>
                </c:pt>
                <c:pt idx="136">
                  <c:v>4121.0327161168234</c:v>
                </c:pt>
                <c:pt idx="137">
                  <c:v>4132.2712447671083</c:v>
                </c:pt>
                <c:pt idx="138">
                  <c:v>4143.4273876275784</c:v>
                </c:pt>
                <c:pt idx="139">
                  <c:v>4154.5019071161332</c:v>
                </c:pt>
                <c:pt idx="140">
                  <c:v>4165.4955526359172</c:v>
                </c:pt>
                <c:pt idx="141">
                  <c:v>4176.4090608936858</c:v>
                </c:pt>
                <c:pt idx="142">
                  <c:v>4187.2431562081274</c:v>
                </c:pt>
                <c:pt idx="143">
                  <c:v>4197.9985508085465</c:v>
                </c:pt>
                <c:pt idx="144">
                  <c:v>4208.6759451242579</c:v>
                </c:pt>
                <c:pt idx="145">
                  <c:v>4219.2760280650718</c:v>
                </c:pt>
                <c:pt idx="146">
                  <c:v>4229.7994772931725</c:v>
                </c:pt>
                <c:pt idx="147">
                  <c:v>4240.2469594867189</c:v>
                </c:pt>
                <c:pt idx="148">
                  <c:v>4250.6191305955144</c:v>
                </c:pt>
                <c:pt idx="149">
                  <c:v>4260.9166360889667</c:v>
                </c:pt>
                <c:pt idx="150">
                  <c:v>4271.1401111966834</c:v>
                </c:pt>
                <c:pt idx="151">
                  <c:v>4281.2901811419351</c:v>
                </c:pt>
                <c:pt idx="152">
                  <c:v>4291.3674613682588</c:v>
                </c:pt>
                <c:pt idx="153">
                  <c:v>4301.3725577594387</c:v>
                </c:pt>
                <c:pt idx="154">
                  <c:v>4311.306066853108</c:v>
                </c:pt>
                <c:pt idx="155">
                  <c:v>4321.1685760481914</c:v>
                </c:pt>
                <c:pt idx="156">
                  <c:v>4330.960663806407</c:v>
                </c:pt>
                <c:pt idx="157">
                  <c:v>4340.6828998480405</c:v>
                </c:pt>
                <c:pt idx="158">
                  <c:v>4350.3358453421779</c:v>
                </c:pt>
                <c:pt idx="159">
                  <c:v>4359.9200530916023</c:v>
                </c:pt>
                <c:pt idx="160">
                  <c:v>4369.4360677125169</c:v>
                </c:pt>
                <c:pt idx="161">
                  <c:v>4378.8844258093104</c:v>
                </c:pt>
                <c:pt idx="162">
                  <c:v>4388.2656561444774</c:v>
                </c:pt>
                <c:pt idx="163">
                  <c:v>4397.5802798039031</c:v>
                </c:pt>
                <c:pt idx="164">
                  <c:v>4406.8288103576406</c:v>
                </c:pt>
                <c:pt idx="165">
                  <c:v>4416.0117540163483</c:v>
                </c:pt>
                <c:pt idx="166">
                  <c:v>4425.1296097835175</c:v>
                </c:pt>
                <c:pt idx="167">
                  <c:v>4434.1828696036273</c:v>
                </c:pt>
                <c:pt idx="168">
                  <c:v>4443.1720185063732</c:v>
                </c:pt>
                <c:pt idx="169">
                  <c:v>4452.0975347470876</c:v>
                </c:pt>
                <c:pt idx="170">
                  <c:v>4460.9598899434704</c:v>
                </c:pt>
                <c:pt idx="171">
                  <c:v>4469.7595492087567</c:v>
                </c:pt>
                <c:pt idx="172">
                  <c:v>4478.4969712814373</c:v>
                </c:pt>
                <c:pt idx="173">
                  <c:v>4487.1726086516228</c:v>
                </c:pt>
                <c:pt idx="174">
                  <c:v>4495.7869076841798</c:v>
                </c:pt>
                <c:pt idx="175">
                  <c:v>4504.3403087387314</c:v>
                </c:pt>
                <c:pt idx="176">
                  <c:v>4512.8332462866056</c:v>
                </c:pt>
                <c:pt idx="177">
                  <c:v>4521.2661490248584</c:v>
                </c:pt>
                <c:pt idx="178">
                  <c:v>4529.639439987418</c:v>
                </c:pt>
                <c:pt idx="179">
                  <c:v>4537.9535366534865</c:v>
                </c:pt>
                <c:pt idx="180">
                  <c:v>4546.2088510532367</c:v>
                </c:pt>
                <c:pt idx="181">
                  <c:v>4554.4057898709252</c:v>
                </c:pt>
                <c:pt idx="182">
                  <c:v>4562.5447545454654</c:v>
                </c:pt>
                <c:pt idx="183">
                  <c:v>4570.6261413685679</c:v>
                </c:pt>
                <c:pt idx="184">
                  <c:v>4578.6503415804846</c:v>
                </c:pt>
                <c:pt idx="185">
                  <c:v>4586.6177414634731</c:v>
                </c:pt>
                <c:pt idx="186">
                  <c:v>4594.5287224330059</c:v>
                </c:pt>
                <c:pt idx="187">
                  <c:v>4602.3836611268098</c:v>
                </c:pt>
                <c:pt idx="188">
                  <c:v>4610.1829294917998</c:v>
                </c:pt>
                <c:pt idx="189">
                  <c:v>4617.9268948689696</c:v>
                </c:pt>
                <c:pt idx="190">
                  <c:v>4625.6159200762822</c:v>
                </c:pt>
                <c:pt idx="191">
                  <c:v>4633.2503634896375</c:v>
                </c:pt>
                <c:pt idx="192">
                  <c:v>4640.8305791219591</c:v>
                </c:pt>
                <c:pt idx="193">
                  <c:v>4648.3569167004589</c:v>
                </c:pt>
                <c:pt idx="194">
                  <c:v>4655.8297217421323</c:v>
                </c:pt>
                <c:pt idx="195">
                  <c:v>4663.2493356275199</c:v>
                </c:pt>
                <c:pt idx="196">
                  <c:v>4670.6160956728136</c:v>
                </c:pt>
                <c:pt idx="197">
                  <c:v>4677.9303352003126</c:v>
                </c:pt>
                <c:pt idx="198">
                  <c:v>4685.1923836073165</c:v>
                </c:pt>
                <c:pt idx="199">
                  <c:v>4692.402566433464</c:v>
                </c:pt>
                <c:pt idx="200">
                  <c:v>4699.5612054265803</c:v>
                </c:pt>
                <c:pt idx="201">
                  <c:v>4706.6686186070692</c:v>
                </c:pt>
                <c:pt idx="202">
                  <c:v>4713.7251203308906</c:v>
                </c:pt>
                <c:pt idx="203">
                  <c:v>4720.7310213511391</c:v>
                </c:pt>
                <c:pt idx="204">
                  <c:v>4727.6866288783121</c:v>
                </c:pt>
                <c:pt idx="205">
                  <c:v>4734.5922466392458</c:v>
                </c:pt>
                <c:pt idx="206">
                  <c:v>4741.4481749347879</c:v>
                </c:pt>
                <c:pt idx="207">
                  <c:v>4748.2547106962411</c:v>
                </c:pt>
                <c:pt idx="208">
                  <c:v>4755.0121475405758</c:v>
                </c:pt>
                <c:pt idx="209">
                  <c:v>4761.7207758245022</c:v>
                </c:pt>
                <c:pt idx="210">
                  <c:v>4768.3808826973709</c:v>
                </c:pt>
                <c:pt idx="211">
                  <c:v>4774.9927521529735</c:v>
                </c:pt>
                <c:pt idx="212">
                  <c:v>4781.5566650802539</c:v>
                </c:pt>
                <c:pt idx="213">
                  <c:v>4788.0728993129605</c:v>
                </c:pt>
                <c:pt idx="214">
                  <c:v>4794.541729678278</c:v>
                </c:pt>
                <c:pt idx="215">
                  <c:v>4800.9634280444307</c:v>
                </c:pt>
                <c:pt idx="216">
                  <c:v>4807.3382633673382</c:v>
                </c:pt>
                <c:pt idx="217">
                  <c:v>4813.6665017362939</c:v>
                </c:pt>
                <c:pt idx="218">
                  <c:v>4819.9484064187245</c:v>
                </c:pt>
                <c:pt idx="219">
                  <c:v>4826.184237904029</c:v>
                </c:pt>
                <c:pt idx="220">
                  <c:v>4832.3742539465538</c:v>
                </c:pt>
                <c:pt idx="221">
                  <c:v>4838.518709607687</c:v>
                </c:pt>
                <c:pt idx="222">
                  <c:v>4844.6178572971157</c:v>
                </c:pt>
                <c:pt idx="223">
                  <c:v>4850.6719468132687</c:v>
                </c:pt>
                <c:pt idx="224">
                  <c:v>4856.6812253829466</c:v>
                </c:pt>
                <c:pt idx="225">
                  <c:v>4862.6459377001847</c:v>
                </c:pt>
                <c:pt idx="226">
                  <c:v>4868.5663259643388</c:v>
                </c:pt>
                <c:pt idx="227">
                  <c:v>4874.4426299174329</c:v>
                </c:pt>
                <c:pt idx="228">
                  <c:v>4880.2750868807852</c:v>
                </c:pt>
                <c:pt idx="229">
                  <c:v>4886.0639317909145</c:v>
                </c:pt>
                <c:pt idx="230">
                  <c:v>4891.8093972347633</c:v>
                </c:pt>
                <c:pt idx="231">
                  <c:v>4897.5117134842421</c:v>
                </c:pt>
                <c:pt idx="232">
                  <c:v>4903.1711085301004</c:v>
                </c:pt>
                <c:pt idx="233">
                  <c:v>4908.7878081151812</c:v>
                </c:pt>
                <c:pt idx="234">
                  <c:v>4914.3620357670197</c:v>
                </c:pt>
                <c:pt idx="235">
                  <c:v>4919.8940128298382</c:v>
                </c:pt>
                <c:pt idx="236">
                  <c:v>4925.383958495936</c:v>
                </c:pt>
                <c:pt idx="237">
                  <c:v>4930.8320898365009</c:v>
                </c:pt>
                <c:pt idx="238">
                  <c:v>4936.2386218318316</c:v>
                </c:pt>
                <c:pt idx="239">
                  <c:v>4941.603767401014</c:v>
                </c:pt>
                <c:pt idx="240">
                  <c:v>4946.9277374310459</c:v>
                </c:pt>
                <c:pt idx="241">
                  <c:v>4952.2107408054162</c:v>
                </c:pt>
                <c:pt idx="242">
                  <c:v>4957.4529844321778</c:v>
                </c:pt>
                <c:pt idx="243">
                  <c:v>4962.6546732714969</c:v>
                </c:pt>
                <c:pt idx="244">
                  <c:v>4967.8160103627015</c:v>
                </c:pt>
                <c:pt idx="245">
                  <c:v>4972.9371968508476</c:v>
                </c:pt>
                <c:pt idx="246">
                  <c:v>4978.0184320128046</c:v>
                </c:pt>
                <c:pt idx="247">
                  <c:v>4983.0599132828711</c:v>
                </c:pt>
                <c:pt idx="248">
                  <c:v>4988.0618362779323</c:v>
                </c:pt>
                <c:pt idx="249">
                  <c:v>4993.0243948221778</c:v>
                </c:pt>
                <c:pt idx="250">
                  <c:v>4997.9477809713708</c:v>
                </c:pt>
                <c:pt idx="251">
                  <c:v>5002.8321850366938</c:v>
                </c:pt>
                <c:pt idx="252">
                  <c:v>5007.6777956081805</c:v>
                </c:pt>
                <c:pt idx="253">
                  <c:v>5012.48479957773</c:v>
                </c:pt>
                <c:pt idx="254">
                  <c:v>5017.2533821617226</c:v>
                </c:pt>
                <c:pt idx="255">
                  <c:v>5021.9837269232476</c:v>
                </c:pt>
                <c:pt idx="256">
                  <c:v>5026.6760157939361</c:v>
                </c:pt>
                <c:pt idx="257">
                  <c:v>5031.3304290954284</c:v>
                </c:pt>
                <c:pt idx="258">
                  <c:v>5035.9471455604707</c:v>
                </c:pt>
                <c:pt idx="259">
                  <c:v>5040.5263423536471</c:v>
                </c:pt>
                <c:pt idx="260">
                  <c:v>5045.0681950917615</c:v>
                </c:pt>
                <c:pt idx="261">
                  <c:v>5049.5728778638777</c:v>
                </c:pt>
                <c:pt idx="262">
                  <c:v>5054.0405632510128</c:v>
                </c:pt>
                <c:pt idx="263">
                  <c:v>5058.4714223455057</c:v>
                </c:pt>
                <c:pt idx="264">
                  <c:v>5062.8656247700665</c:v>
                </c:pt>
                <c:pt idx="265">
                  <c:v>5067.2233386964845</c:v>
                </c:pt>
                <c:pt idx="266">
                  <c:v>5071.5447308640632</c:v>
                </c:pt>
                <c:pt idx="267">
                  <c:v>5075.8299665977074</c:v>
                </c:pt>
                <c:pt idx="268">
                  <c:v>5080.0792098257507</c:v>
                </c:pt>
                <c:pt idx="269">
                  <c:v>5084.2926230974581</c:v>
                </c:pt>
                <c:pt idx="270">
                  <c:v>5088.4703676002673</c:v>
                </c:pt>
                <c:pt idx="271">
                  <c:v>5092.6126031767299</c:v>
                </c:pt>
                <c:pt idx="272">
                  <c:v>5096.7194883411876</c:v>
                </c:pt>
                <c:pt idx="273">
                  <c:v>5100.791180296178</c:v>
                </c:pt>
                <c:pt idx="274">
                  <c:v>5104.8278349485699</c:v>
                </c:pt>
                <c:pt idx="275">
                  <c:v>5108.829606925442</c:v>
                </c:pt>
                <c:pt idx="276">
                  <c:v>5112.7966495897144</c:v>
                </c:pt>
                <c:pt idx="277">
                  <c:v>5116.7291150555184</c:v>
                </c:pt>
                <c:pt idx="278">
                  <c:v>5120.627154203331</c:v>
                </c:pt>
                <c:pt idx="279">
                  <c:v>5124.4909166948664</c:v>
                </c:pt>
                <c:pt idx="280">
                  <c:v>5128.3205509877307</c:v>
                </c:pt>
                <c:pt idx="281">
                  <c:v>5132.1162043498543</c:v>
                </c:pt>
                <c:pt idx="282">
                  <c:v>5135.8780228736859</c:v>
                </c:pt>
                <c:pt idx="283">
                  <c:v>5139.6061514901758</c:v>
                </c:pt>
                <c:pt idx="284">
                  <c:v>5143.3007339825381</c:v>
                </c:pt>
                <c:pt idx="285">
                  <c:v>5146.9619129997909</c:v>
                </c:pt>
                <c:pt idx="286">
                  <c:v>5150.5898300701074</c:v>
                </c:pt>
                <c:pt idx="287">
                  <c:v>5154.1846256139406</c:v>
                </c:pt>
                <c:pt idx="288">
                  <c:v>5157.7464389569586</c:v>
                </c:pt>
                <c:pt idx="289">
                  <c:v>5161.2754083427817</c:v>
                </c:pt>
                <c:pt idx="290">
                  <c:v>5164.7716709455217</c:v>
                </c:pt>
                <c:pt idx="291">
                  <c:v>5168.2353628821284</c:v>
                </c:pt>
                <c:pt idx="292">
                  <c:v>5171.666619224563</c:v>
                </c:pt>
                <c:pt idx="293">
                  <c:v>5175.0655740117672</c:v>
                </c:pt>
                <c:pt idx="294">
                  <c:v>5178.4323602614741</c:v>
                </c:pt>
                <c:pt idx="295">
                  <c:v>5181.7671099818299</c:v>
                </c:pt>
                <c:pt idx="296">
                  <c:v>5185.069954182839</c:v>
                </c:pt>
                <c:pt idx="297">
                  <c:v>5188.341022887651</c:v>
                </c:pt>
                <c:pt idx="298">
                  <c:v>5191.5804451436752</c:v>
                </c:pt>
                <c:pt idx="299">
                  <c:v>5194.7883490335271</c:v>
                </c:pt>
                <c:pt idx="300">
                  <c:v>5197.9648616858112</c:v>
                </c:pt>
                <c:pt idx="301">
                  <c:v>5201.110109285768</c:v>
                </c:pt>
                <c:pt idx="302">
                  <c:v>5204.2242170857326</c:v>
                </c:pt>
                <c:pt idx="303">
                  <c:v>5207.307309415467</c:v>
                </c:pt>
                <c:pt idx="304">
                  <c:v>5210.3595096923291</c:v>
                </c:pt>
                <c:pt idx="305">
                  <c:v>5213.3809404312969</c:v>
                </c:pt>
                <c:pt idx="306">
                  <c:v>5216.371723254857</c:v>
                </c:pt>
                <c:pt idx="307">
                  <c:v>5219.3319789027355</c:v>
                </c:pt>
                <c:pt idx="308">
                  <c:v>5222.261827241502</c:v>
                </c:pt>
                <c:pt idx="309">
                  <c:v>5225.1613872740318</c:v>
                </c:pt>
                <c:pt idx="310">
                  <c:v>5228.030777148836</c:v>
                </c:pt>
                <c:pt idx="311">
                  <c:v>5230.87011416925</c:v>
                </c:pt>
                <c:pt idx="312">
                  <c:v>5233.6795148025112</c:v>
                </c:pt>
                <c:pt idx="313">
                  <c:v>5236.4590946886838</c:v>
                </c:pt>
                <c:pt idx="314">
                  <c:v>5239.2089686494828</c:v>
                </c:pt>
                <c:pt idx="315">
                  <c:v>5241.9292506969578</c:v>
                </c:pt>
                <c:pt idx="316">
                  <c:v>5244.6200540420596</c:v>
                </c:pt>
                <c:pt idx="317">
                  <c:v>5247.2814911030973</c:v>
                </c:pt>
                <c:pt idx="318">
                  <c:v>5249.9136735140564</c:v>
                </c:pt>
                <c:pt idx="319">
                  <c:v>5252.5167121328277</c:v>
                </c:pt>
                <c:pt idx="320">
                  <c:v>5255.0907170493065</c:v>
                </c:pt>
                <c:pt idx="321">
                  <c:v>5257.6357975933834</c:v>
                </c:pt>
                <c:pt idx="322">
                  <c:v>5260.152062342826</c:v>
                </c:pt>
                <c:pt idx="323">
                  <c:v>5262.6396191310614</c:v>
                </c:pt>
                <c:pt idx="324">
                  <c:v>5265.0985750548361</c:v>
                </c:pt>
                <c:pt idx="325">
                  <c:v>5267.5290364817865</c:v>
                </c:pt>
                <c:pt idx="326">
                  <c:v>5269.9311090579013</c:v>
                </c:pt>
                <c:pt idx="327">
                  <c:v>5272.3048977148874</c:v>
                </c:pt>
                <c:pt idx="328">
                  <c:v>5274.6505066774225</c:v>
                </c:pt>
                <c:pt idx="329">
                  <c:v>5276.9680394703373</c:v>
                </c:pt>
                <c:pt idx="330">
                  <c:v>5279.257598925672</c:v>
                </c:pt>
                <c:pt idx="331">
                  <c:v>5281.5192871896616</c:v>
                </c:pt>
                <c:pt idx="332">
                  <c:v>5283.7532057296139</c:v>
                </c:pt>
                <c:pt idx="333">
                  <c:v>5285.9594553407105</c:v>
                </c:pt>
                <c:pt idx="334">
                  <c:v>5288.1381361526983</c:v>
                </c:pt>
                <c:pt idx="335">
                  <c:v>5290.289347636518</c:v>
                </c:pt>
                <c:pt idx="336">
                  <c:v>5292.413188610818</c:v>
                </c:pt>
                <c:pt idx="337">
                  <c:v>5294.5097572484119</c:v>
                </c:pt>
                <c:pt idx="338">
                  <c:v>5296.5791510826248</c:v>
                </c:pt>
                <c:pt idx="339">
                  <c:v>5298.6214670135778</c:v>
                </c:pt>
                <c:pt idx="340">
                  <c:v>5300.636801314381</c:v>
                </c:pt>
                <c:pt idx="341">
                  <c:v>5302.6252496372463</c:v>
                </c:pt>
                <c:pt idx="342">
                  <c:v>5304.5869070195258</c:v>
                </c:pt>
                <c:pt idx="343">
                  <c:v>5306.5218678896726</c:v>
                </c:pt>
                <c:pt idx="344">
                  <c:v>5308.4302260731156</c:v>
                </c:pt>
                <c:pt idx="345">
                  <c:v>5310.3120747980747</c:v>
                </c:pt>
                <c:pt idx="346">
                  <c:v>5312.1675067012902</c:v>
                </c:pt>
                <c:pt idx="347">
                  <c:v>5313.9966138336877</c:v>
                </c:pt>
                <c:pt idx="348">
                  <c:v>5315.7994876659577</c:v>
                </c:pt>
                <c:pt idx="349">
                  <c:v>5317.5762190940841</c:v>
                </c:pt>
                <c:pt idx="350">
                  <c:v>5319.3268984447886</c:v>
                </c:pt>
                <c:pt idx="351">
                  <c:v>5321.0516154809102</c:v>
                </c:pt>
                <c:pt idx="352">
                  <c:v>5322.7504594067204</c:v>
                </c:pt>
                <c:pt idx="353">
                  <c:v>5324.4235188731718</c:v>
                </c:pt>
                <c:pt idx="354">
                  <c:v>5326.0708819830716</c:v>
                </c:pt>
                <c:pt idx="355">
                  <c:v>5327.6926362962113</c:v>
                </c:pt>
                <c:pt idx="356">
                  <c:v>5329.288868834411</c:v>
                </c:pt>
                <c:pt idx="357">
                  <c:v>5330.8596660865151</c:v>
                </c:pt>
                <c:pt idx="358">
                  <c:v>5332.4051140133197</c:v>
                </c:pt>
                <c:pt idx="359">
                  <c:v>5333.9252980524479</c:v>
                </c:pt>
                <c:pt idx="360">
                  <c:v>5335.4203031231555</c:v>
                </c:pt>
                <c:pt idx="361">
                  <c:v>5336.8902136310799</c:v>
                </c:pt>
                <c:pt idx="362">
                  <c:v>5338.3351134729428</c:v>
                </c:pt>
                <c:pt idx="363">
                  <c:v>5339.7550860411784</c:v>
                </c:pt>
                <c:pt idx="364">
                  <c:v>5341.1502142285153</c:v>
                </c:pt>
                <c:pt idx="365">
                  <c:v>5342.5205804325078</c:v>
                </c:pt>
                <c:pt idx="366">
                  <c:v>5343.8662665599995</c:v>
                </c:pt>
                <c:pt idx="367">
                  <c:v>5345.1873540315446</c:v>
                </c:pt>
                <c:pt idx="368">
                  <c:v>5346.4839237857705</c:v>
                </c:pt>
                <c:pt idx="369">
                  <c:v>5347.7560562836916</c:v>
                </c:pt>
                <c:pt idx="370">
                  <c:v>5349.0038315129659</c:v>
                </c:pt>
                <c:pt idx="371">
                  <c:v>5350.2273289921159</c:v>
                </c:pt>
                <c:pt idx="372">
                  <c:v>5351.4266277746719</c:v>
                </c:pt>
                <c:pt idx="373">
                  <c:v>5352.6018064532982</c:v>
                </c:pt>
                <c:pt idx="374">
                  <c:v>5353.7529431638523</c:v>
                </c:pt>
                <c:pt idx="375">
                  <c:v>5354.8801155893952</c:v>
                </c:pt>
                <c:pt idx="376">
                  <c:v>5355.9834009641627</c:v>
                </c:pt>
                <c:pt idx="377">
                  <c:v>5357.0628760774889</c:v>
                </c:pt>
                <c:pt idx="378">
                  <c:v>5358.1186172776779</c:v>
                </c:pt>
                <c:pt idx="379">
                  <c:v>5359.1507004758378</c:v>
                </c:pt>
                <c:pt idx="380">
                  <c:v>5360.1592011496668</c:v>
                </c:pt>
                <c:pt idx="381">
                  <c:v>5361.1441943471937</c:v>
                </c:pt>
                <c:pt idx="382">
                  <c:v>5362.1057546904813</c:v>
                </c:pt>
                <c:pt idx="383">
                  <c:v>5363.0439563792788</c:v>
                </c:pt>
                <c:pt idx="384">
                  <c:v>5363.9588731946387</c:v>
                </c:pt>
                <c:pt idx="385">
                  <c:v>5364.8505785024909</c:v>
                </c:pt>
                <c:pt idx="386">
                  <c:v>5365.7191452571751</c:v>
                </c:pt>
                <c:pt idx="387">
                  <c:v>5366.5646460049338</c:v>
                </c:pt>
                <c:pt idx="388">
                  <c:v>5367.3871528873615</c:v>
                </c:pt>
                <c:pt idx="389">
                  <c:v>5368.1867376448245</c:v>
                </c:pt>
                <c:pt idx="390">
                  <c:v>5368.9634716198289</c:v>
                </c:pt>
                <c:pt idx="391">
                  <c:v>5369.7174257603656</c:v>
                </c:pt>
                <c:pt idx="392">
                  <c:v>5370.4486706231992</c:v>
                </c:pt>
                <c:pt idx="393">
                  <c:v>5371.1572763771428</c:v>
                </c:pt>
                <c:pt idx="394">
                  <c:v>5371.8433128062716</c:v>
                </c:pt>
                <c:pt idx="395">
                  <c:v>5372.5068493131257</c:v>
                </c:pt>
                <c:pt idx="396">
                  <c:v>5373.1479549218493</c:v>
                </c:pt>
                <c:pt idx="397">
                  <c:v>5373.7666982813216</c:v>
                </c:pt>
                <c:pt idx="398">
                  <c:v>5374.3631476682413</c:v>
                </c:pt>
                <c:pt idx="399">
                  <c:v>5374.9373709901693</c:v>
                </c:pt>
                <c:pt idx="400">
                  <c:v>5375.4894357885478</c:v>
                </c:pt>
                <c:pt idx="401">
                  <c:v>5376.0194092416941</c:v>
                </c:pt>
                <c:pt idx="402">
                  <c:v>5376.5273581677347</c:v>
                </c:pt>
                <c:pt idx="403">
                  <c:v>5377.0133490275393</c:v>
                </c:pt>
                <c:pt idx="404">
                  <c:v>5377.4774479275966</c:v>
                </c:pt>
                <c:pt idx="405">
                  <c:v>5377.9197206228773</c:v>
                </c:pt>
                <c:pt idx="406">
                  <c:v>5378.3402325196503</c:v>
                </c:pt>
                <c:pt idx="407">
                  <c:v>5378.7390486782851</c:v>
                </c:pt>
                <c:pt idx="408">
                  <c:v>5379.1162338160093</c:v>
                </c:pt>
                <c:pt idx="409">
                  <c:v>5379.4718523096399</c:v>
                </c:pt>
                <c:pt idx="410">
                  <c:v>5379.8059681982959</c:v>
                </c:pt>
                <c:pt idx="411">
                  <c:v>5380.1186451860658</c:v>
                </c:pt>
                <c:pt idx="412">
                  <c:v>5380.4099466446532</c:v>
                </c:pt>
                <c:pt idx="413">
                  <c:v>5380.6799356160027</c:v>
                </c:pt>
                <c:pt idx="414">
                  <c:v>5380.9286748148788</c:v>
                </c:pt>
                <c:pt idx="415">
                  <c:v>5381.1562266314404</c:v>
                </c:pt>
                <c:pt idx="416">
                  <c:v>5381.3626531337623</c:v>
                </c:pt>
                <c:pt idx="417">
                  <c:v>5381.5480160703546</c:v>
                </c:pt>
                <c:pt idx="418">
                  <c:v>5381.7123768726397</c:v>
                </c:pt>
                <c:pt idx="419">
                  <c:v>5381.855796657409</c:v>
                </c:pt>
                <c:pt idx="420">
                  <c:v>5381.9783362292492</c:v>
                </c:pt>
                <c:pt idx="421">
                  <c:v>5382.0800560829493</c:v>
                </c:pt>
                <c:pt idx="422">
                  <c:v>5382.161016405882</c:v>
                </c:pt>
                <c:pt idx="423">
                  <c:v>5382.2212770803508</c:v>
                </c:pt>
                <c:pt idx="424">
                  <c:v>5382.2608976859237</c:v>
                </c:pt>
                <c:pt idx="425">
                  <c:v>5382.2799375017394</c:v>
                </c:pt>
                <c:pt idx="426">
                  <c:v>5382.2784555087846</c:v>
                </c:pt>
                <c:pt idx="427">
                  <c:v>5382.2565103921534</c:v>
                </c:pt>
                <c:pt idx="428">
                  <c:v>5382.2141605432826</c:v>
                </c:pt>
                <c:pt idx="429">
                  <c:v>5382.1514640621581</c:v>
                </c:pt>
                <c:pt idx="430">
                  <c:v>5382.0684787595092</c:v>
                </c:pt>
                <c:pt idx="431">
                  <c:v>5381.9652621589712</c:v>
                </c:pt>
                <c:pt idx="432">
                  <c:v>5381.8418714992267</c:v>
                </c:pt>
                <c:pt idx="433">
                  <c:v>5381.6983637361282</c:v>
                </c:pt>
                <c:pt idx="434">
                  <c:v>5381.5347955448015</c:v>
                </c:pt>
                <c:pt idx="435">
                  <c:v>5381.3512233217207</c:v>
                </c:pt>
                <c:pt idx="436">
                  <c:v>5381.1477031867616</c:v>
                </c:pt>
                <c:pt idx="437">
                  <c:v>5380.9242909852492</c:v>
                </c:pt>
                <c:pt idx="438">
                  <c:v>5380.6810422899598</c:v>
                </c:pt>
                <c:pt idx="439">
                  <c:v>5380.4180124031236</c:v>
                </c:pt>
                <c:pt idx="440">
                  <c:v>5380.1352563584023</c:v>
                </c:pt>
                <c:pt idx="441">
                  <c:v>5379.8328289228348</c:v>
                </c:pt>
                <c:pt idx="442">
                  <c:v>5379.5107845987823</c:v>
                </c:pt>
                <c:pt idx="443">
                  <c:v>5379.1691776258394</c:v>
                </c:pt>
                <c:pt idx="444">
                  <c:v>5378.8080619827315</c:v>
                </c:pt>
                <c:pt idx="445">
                  <c:v>5378.4274913891904</c:v>
                </c:pt>
                <c:pt idx="446">
                  <c:v>5378.0275193078196</c:v>
                </c:pt>
                <c:pt idx="447">
                  <c:v>5377.6081989459281</c:v>
                </c:pt>
                <c:pt idx="448">
                  <c:v>5377.1695832573578</c:v>
                </c:pt>
                <c:pt idx="449">
                  <c:v>5376.7117249442827</c:v>
                </c:pt>
                <c:pt idx="450">
                  <c:v>5376.2346764589984</c:v>
                </c:pt>
                <c:pt idx="451">
                  <c:v>5375.7384900056932</c:v>
                </c:pt>
                <c:pt idx="452">
                  <c:v>5375.2232175421905</c:v>
                </c:pt>
                <c:pt idx="453">
                  <c:v>5374.6889107816924</c:v>
                </c:pt>
                <c:pt idx="454">
                  <c:v>5374.1356211944903</c:v>
                </c:pt>
                <c:pt idx="455">
                  <c:v>5373.5634000096688</c:v>
                </c:pt>
                <c:pt idx="456">
                  <c:v>5372.9722982167859</c:v>
                </c:pt>
                <c:pt idx="457">
                  <c:v>5372.3623665675423</c:v>
                </c:pt>
                <c:pt idx="458">
                  <c:v>5371.7336555774255</c:v>
                </c:pt>
                <c:pt idx="459">
                  <c:v>5371.086215527358</c:v>
                </c:pt>
                <c:pt idx="460">
                  <c:v>5370.4200964653</c:v>
                </c:pt>
                <c:pt idx="461">
                  <c:v>5369.7353482078661</c:v>
                </c:pt>
                <c:pt idx="462">
                  <c:v>5369.0320203418987</c:v>
                </c:pt>
                <c:pt idx="463">
                  <c:v>5368.3101622260547</c:v>
                </c:pt>
                <c:pt idx="464">
                  <c:v>5367.5698229923491</c:v>
                </c:pt>
                <c:pt idx="465">
                  <c:v>5366.8110515477083</c:v>
                </c:pt>
                <c:pt idx="466">
                  <c:v>5366.0338965754854</c:v>
                </c:pt>
                <c:pt idx="467">
                  <c:v>5365.2384065369833</c:v>
                </c:pt>
                <c:pt idx="468">
                  <c:v>5364.4246296729443</c:v>
                </c:pt>
                <c:pt idx="469">
                  <c:v>5363.5926140050396</c:v>
                </c:pt>
                <c:pt idx="470">
                  <c:v>5362.7424073373313</c:v>
                </c:pt>
                <c:pt idx="471">
                  <c:v>5361.8740572577362</c:v>
                </c:pt>
                <c:pt idx="472">
                  <c:v>5360.9876111394597</c:v>
                </c:pt>
                <c:pt idx="473">
                  <c:v>5360.0831161424267</c:v>
                </c:pt>
                <c:pt idx="474">
                  <c:v>5359.1606192146955</c:v>
                </c:pt>
                <c:pt idx="475">
                  <c:v>5358.2201670938593</c:v>
                </c:pt>
                <c:pt idx="476">
                  <c:v>5357.2618063084301</c:v>
                </c:pt>
                <c:pt idx="477">
                  <c:v>5356.2855831792149</c:v>
                </c:pt>
                <c:pt idx="478">
                  <c:v>5355.2915438206783</c:v>
                </c:pt>
                <c:pt idx="479">
                  <c:v>5354.2797341422893</c:v>
                </c:pt>
                <c:pt idx="480">
                  <c:v>5353.2501998498565</c:v>
                </c:pt>
                <c:pt idx="481">
                  <c:v>5352.2029864468495</c:v>
                </c:pt>
                <c:pt idx="482">
                  <c:v>5351.1381392357162</c:v>
                </c:pt>
                <c:pt idx="483">
                  <c:v>5350.0557033191744</c:v>
                </c:pt>
                <c:pt idx="484">
                  <c:v>5348.9557236014989</c:v>
                </c:pt>
                <c:pt idx="485">
                  <c:v>5347.8382447897993</c:v>
                </c:pt>
                <c:pt idx="486">
                  <c:v>5346.7033113952784</c:v>
                </c:pt>
                <c:pt idx="487">
                  <c:v>5345.550967734488</c:v>
                </c:pt>
                <c:pt idx="488">
                  <c:v>5344.3812579305586</c:v>
                </c:pt>
                <c:pt idx="489">
                  <c:v>5343.1942259144344</c:v>
                </c:pt>
                <c:pt idx="490">
                  <c:v>5341.9899154260893</c:v>
                </c:pt>
                <c:pt idx="491">
                  <c:v>5340.7683700157277</c:v>
                </c:pt>
                <c:pt idx="492">
                  <c:v>5339.5296330449783</c:v>
                </c:pt>
                <c:pt idx="493">
                  <c:v>5338.2737476880793</c:v>
                </c:pt>
                <c:pt idx="494">
                  <c:v>5337.0007569330483</c:v>
                </c:pt>
                <c:pt idx="495">
                  <c:v>5335.710703582844</c:v>
                </c:pt>
                <c:pt idx="496">
                  <c:v>5334.403630256511</c:v>
                </c:pt>
                <c:pt idx="497">
                  <c:v>5333.0795793903308</c:v>
                </c:pt>
                <c:pt idx="498">
                  <c:v>5331.738593238937</c:v>
                </c:pt>
                <c:pt idx="499">
                  <c:v>5330.3807138764441</c:v>
                </c:pt>
                <c:pt idx="500">
                  <c:v>5329.0059831975514</c:v>
                </c:pt>
                <c:pt idx="501">
                  <c:v>5327.6144429186406</c:v>
                </c:pt>
                <c:pt idx="502">
                  <c:v>5326.2061345788661</c:v>
                </c:pt>
                <c:pt idx="503">
                  <c:v>5324.7810995412337</c:v>
                </c:pt>
                <c:pt idx="504">
                  <c:v>5323.3393789936636</c:v>
                </c:pt>
                <c:pt idx="505">
                  <c:v>5321.8810139500547</c:v>
                </c:pt>
                <c:pt idx="506">
                  <c:v>5320.4060452513322</c:v>
                </c:pt>
                <c:pt idx="507">
                  <c:v>5318.9145135664876</c:v>
                </c:pt>
                <c:pt idx="508">
                  <c:v>5317.4064593936027</c:v>
                </c:pt>
                <c:pt idx="509">
                  <c:v>5315.8819230608797</c:v>
                </c:pt>
                <c:pt idx="510">
                  <c:v>5314.3409447276435</c:v>
                </c:pt>
                <c:pt idx="511">
                  <c:v>5312.7835643853496</c:v>
                </c:pt>
                <c:pt idx="512">
                  <c:v>5311.2098218585743</c:v>
                </c:pt>
                <c:pt idx="513">
                  <c:v>5309.6197568059997</c:v>
                </c:pt>
                <c:pt idx="514">
                  <c:v>5308.0134087213901</c:v>
                </c:pt>
                <c:pt idx="515">
                  <c:v>5306.3908169345559</c:v>
                </c:pt>
                <c:pt idx="516">
                  <c:v>5304.7520206123108</c:v>
                </c:pt>
                <c:pt idx="517">
                  <c:v>5303.0970587594247</c:v>
                </c:pt>
                <c:pt idx="518">
                  <c:v>5301.4259702195586</c:v>
                </c:pt>
                <c:pt idx="519">
                  <c:v>5299.7387936762016</c:v>
                </c:pt>
                <c:pt idx="520">
                  <c:v>5298.0355676535892</c:v>
                </c:pt>
                <c:pt idx="521">
                  <c:v>5296.3163305176249</c:v>
                </c:pt>
                <c:pt idx="522">
                  <c:v>5294.5811204767806</c:v>
                </c:pt>
                <c:pt idx="523">
                  <c:v>5292.8299755829985</c:v>
                </c:pt>
                <c:pt idx="524">
                  <c:v>5291.0629337325827</c:v>
                </c:pt>
                <c:pt idx="525">
                  <c:v>5289.2800326670804</c:v>
                </c:pt>
                <c:pt idx="526">
                  <c:v>5287.4813099741568</c:v>
                </c:pt>
                <c:pt idx="527">
                  <c:v>5285.6668030884621</c:v>
                </c:pt>
                <c:pt idx="528">
                  <c:v>5283.8365492924913</c:v>
                </c:pt>
                <c:pt idx="529">
                  <c:v>5281.9905857174335</c:v>
                </c:pt>
                <c:pt idx="530">
                  <c:v>5280.1289493440199</c:v>
                </c:pt>
                <c:pt idx="531">
                  <c:v>5278.2516770033571</c:v>
                </c:pt>
                <c:pt idx="532">
                  <c:v>5276.358805377753</c:v>
                </c:pt>
                <c:pt idx="533">
                  <c:v>5274.4503710015479</c:v>
                </c:pt>
                <c:pt idx="534">
                  <c:v>5272.5264102619149</c:v>
                </c:pt>
                <c:pt idx="535">
                  <c:v>5270.5869593996795</c:v>
                </c:pt>
                <c:pt idx="536">
                  <c:v>5268.6320545101098</c:v>
                </c:pt>
                <c:pt idx="537">
                  <c:v>5266.6617315437152</c:v>
                </c:pt>
                <c:pt idx="538">
                  <c:v>5264.6760263070264</c:v>
                </c:pt>
                <c:pt idx="539">
                  <c:v>5262.6749744633817</c:v>
                </c:pt>
                <c:pt idx="540">
                  <c:v>5260.6586115336868</c:v>
                </c:pt>
                <c:pt idx="541">
                  <c:v>5258.6269728971874</c:v>
                </c:pt>
                <c:pt idx="542">
                  <c:v>5256.5800937922268</c:v>
                </c:pt>
                <c:pt idx="543">
                  <c:v>5254.5180093169947</c:v>
                </c:pt>
                <c:pt idx="544">
                  <c:v>5252.4407544302694</c:v>
                </c:pt>
                <c:pt idx="545">
                  <c:v>5250.3483639521592</c:v>
                </c:pt>
                <c:pt idx="546">
                  <c:v>5248.2408725648302</c:v>
                </c:pt>
                <c:pt idx="547">
                  <c:v>5246.1183148132332</c:v>
                </c:pt>
                <c:pt idx="548">
                  <c:v>5243.9807251058201</c:v>
                </c:pt>
                <c:pt idx="549">
                  <c:v>5241.8281377152562</c:v>
                </c:pt>
                <c:pt idx="550">
                  <c:v>5239.6605867791222</c:v>
                </c:pt>
                <c:pt idx="551">
                  <c:v>5237.4781063006212</c:v>
                </c:pt>
                <c:pt idx="552">
                  <c:v>5235.2807301492612</c:v>
                </c:pt>
                <c:pt idx="553">
                  <c:v>5233.0684920615467</c:v>
                </c:pt>
                <c:pt idx="554">
                  <c:v>5230.84142564166</c:v>
                </c:pt>
                <c:pt idx="555">
                  <c:v>5228.5995643621327</c:v>
                </c:pt>
                <c:pt idx="556">
                  <c:v>5226.3429415645151</c:v>
                </c:pt>
                <c:pt idx="557">
                  <c:v>5224.0715904600402</c:v>
                </c:pt>
                <c:pt idx="558">
                  <c:v>5221.7855441302727</c:v>
                </c:pt>
                <c:pt idx="559">
                  <c:v>5219.48483552777</c:v>
                </c:pt>
                <c:pt idx="560">
                  <c:v>5217.1694974767179</c:v>
                </c:pt>
                <c:pt idx="561">
                  <c:v>5214.8395626735737</c:v>
                </c:pt>
                <c:pt idx="562">
                  <c:v>5212.4950636876965</c:v>
                </c:pt>
                <c:pt idx="563">
                  <c:v>5210.1360329619793</c:v>
                </c:pt>
                <c:pt idx="564">
                  <c:v>5207.7625028134635</c:v>
                </c:pt>
                <c:pt idx="565">
                  <c:v>5205.3745054339606</c:v>
                </c:pt>
                <c:pt idx="566">
                  <c:v>5202.9720728906623</c:v>
                </c:pt>
                <c:pt idx="567">
                  <c:v>5200.5552371267404</c:v>
                </c:pt>
                <c:pt idx="568">
                  <c:v>5198.1240299619531</c:v>
                </c:pt>
                <c:pt idx="569">
                  <c:v>5195.6784830932329</c:v>
                </c:pt>
                <c:pt idx="570">
                  <c:v>5193.2186280952819</c:v>
                </c:pt>
                <c:pt idx="571">
                  <c:v>5190.7444964211472</c:v>
                </c:pt>
                <c:pt idx="572">
                  <c:v>5188.2561194028076</c:v>
                </c:pt>
                <c:pt idx="573">
                  <c:v>5185.7535282517383</c:v>
                </c:pt>
                <c:pt idx="574">
                  <c:v>5183.2367540594842</c:v>
                </c:pt>
                <c:pt idx="575">
                  <c:v>5180.7058277982223</c:v>
                </c:pt>
                <c:pt idx="576">
                  <c:v>5178.1607803213128</c:v>
                </c:pt>
                <c:pt idx="577">
                  <c:v>5175.6016423638584</c:v>
                </c:pt>
                <c:pt idx="578">
                  <c:v>5173.028444543249</c:v>
                </c:pt>
                <c:pt idx="579">
                  <c:v>5170.4412173597038</c:v>
                </c:pt>
                <c:pt idx="580">
                  <c:v>5167.8399911968063</c:v>
                </c:pt>
                <c:pt idx="581">
                  <c:v>5165.2247963220398</c:v>
                </c:pt>
                <c:pt idx="582">
                  <c:v>5162.5956628873164</c:v>
                </c:pt>
                <c:pt idx="583">
                  <c:v>5159.95262092949</c:v>
                </c:pt>
                <c:pt idx="584">
                  <c:v>5157.295700370888</c:v>
                </c:pt>
                <c:pt idx="585">
                  <c:v>5154.6249310198109</c:v>
                </c:pt>
                <c:pt idx="586">
                  <c:v>5151.9403425710507</c:v>
                </c:pt>
                <c:pt idx="587">
                  <c:v>5149.241964606389</c:v>
                </c:pt>
                <c:pt idx="588">
                  <c:v>5146.5298265950933</c:v>
                </c:pt>
                <c:pt idx="589">
                  <c:v>5143.8039578944172</c:v>
                </c:pt>
                <c:pt idx="590">
                  <c:v>5141.0643877500879</c:v>
                </c:pt>
                <c:pt idx="591">
                  <c:v>5138.3111452967905</c:v>
                </c:pt>
                <c:pt idx="592">
                  <c:v>5135.5442595586437</c:v>
                </c:pt>
                <c:pt idx="593">
                  <c:v>5132.7637594496837</c:v>
                </c:pt>
                <c:pt idx="594">
                  <c:v>5129.9696737743325</c:v>
                </c:pt>
                <c:pt idx="595">
                  <c:v>5127.162031227861</c:v>
                </c:pt>
                <c:pt idx="596">
                  <c:v>5124.3408603968555</c:v>
                </c:pt>
                <c:pt idx="597">
                  <c:v>5121.5061897596743</c:v>
                </c:pt>
                <c:pt idx="598">
                  <c:v>5118.6580476869012</c:v>
                </c:pt>
                <c:pt idx="599">
                  <c:v>5115.7964624417982</c:v>
                </c:pt>
                <c:pt idx="600">
                  <c:v>5112.9214621807441</c:v>
                </c:pt>
                <c:pt idx="601">
                  <c:v>5110.0330749536761</c:v>
                </c:pt>
                <c:pt idx="602">
                  <c:v>5107.1313287045341</c:v>
                </c:pt>
                <c:pt idx="603">
                  <c:v>5104.2162512716868</c:v>
                </c:pt>
                <c:pt idx="604">
                  <c:v>5101.2878703883571</c:v>
                </c:pt>
                <c:pt idx="605">
                  <c:v>5098.3462136830485</c:v>
                </c:pt>
                <c:pt idx="606">
                  <c:v>5095.3913086799703</c:v>
                </c:pt>
                <c:pt idx="607">
                  <c:v>5092.4231827994436</c:v>
                </c:pt>
                <c:pt idx="608">
                  <c:v>5089.4418633583209</c:v>
                </c:pt>
                <c:pt idx="609">
                  <c:v>5086.4473775703873</c:v>
                </c:pt>
                <c:pt idx="610">
                  <c:v>5083.4397525467684</c:v>
                </c:pt>
                <c:pt idx="611">
                  <c:v>5080.4190152963274</c:v>
                </c:pt>
                <c:pt idx="612">
                  <c:v>5077.3851927260621</c:v>
                </c:pt>
                <c:pt idx="613">
                  <c:v>5074.3383116414907</c:v>
                </c:pt>
                <c:pt idx="614">
                  <c:v>5071.2783987470484</c:v>
                </c:pt>
                <c:pt idx="615">
                  <c:v>5068.2054806464648</c:v>
                </c:pt>
                <c:pt idx="616">
                  <c:v>5065.1195838431449</c:v>
                </c:pt>
                <c:pt idx="617">
                  <c:v>5062.0207347405412</c:v>
                </c:pt>
                <c:pt idx="618">
                  <c:v>5058.9089596425338</c:v>
                </c:pt>
                <c:pt idx="619">
                  <c:v>5055.7842847537922</c:v>
                </c:pt>
                <c:pt idx="620">
                  <c:v>5052.6467361801406</c:v>
                </c:pt>
                <c:pt idx="621">
                  <c:v>5049.4963399289172</c:v>
                </c:pt>
                <c:pt idx="622">
                  <c:v>5046.3331219093352</c:v>
                </c:pt>
                <c:pt idx="623">
                  <c:v>5043.1571079328314</c:v>
                </c:pt>
                <c:pt idx="624">
                  <c:v>5039.9683237134168</c:v>
                </c:pt>
                <c:pt idx="625">
                  <c:v>5036.766794868021</c:v>
                </c:pt>
                <c:pt idx="626">
                  <c:v>5033.552546916836</c:v>
                </c:pt>
                <c:pt idx="627">
                  <c:v>5030.3256052836559</c:v>
                </c:pt>
                <c:pt idx="628">
                  <c:v>5027.0859952962037</c:v>
                </c:pt>
                <c:pt idx="629">
                  <c:v>5023.833742186468</c:v>
                </c:pt>
                <c:pt idx="630">
                  <c:v>5020.5688710910345</c:v>
                </c:pt>
                <c:pt idx="631">
                  <c:v>5017.291407051398</c:v>
                </c:pt>
                <c:pt idx="632">
                  <c:v>5014.0013750142925</c:v>
                </c:pt>
                <c:pt idx="633">
                  <c:v>5010.7008383621587</c:v>
                </c:pt>
                <c:pt idx="634">
                  <c:v>5007.3991453109502</c:v>
                </c:pt>
                <c:pt idx="635">
                  <c:v>5004.0974522597426</c:v>
                </c:pt>
                <c:pt idx="636">
                  <c:v>5000.7957592085349</c:v>
                </c:pt>
                <c:pt idx="637">
                  <c:v>4997.4940661573264</c:v>
                </c:pt>
                <c:pt idx="638">
                  <c:v>4994.1923731061179</c:v>
                </c:pt>
                <c:pt idx="639">
                  <c:v>4990.8906800549103</c:v>
                </c:pt>
                <c:pt idx="640">
                  <c:v>4987.5889870037026</c:v>
                </c:pt>
                <c:pt idx="641">
                  <c:v>4984.2872939524941</c:v>
                </c:pt>
                <c:pt idx="642">
                  <c:v>4980.9856009012856</c:v>
                </c:pt>
                <c:pt idx="643">
                  <c:v>4977.683907850078</c:v>
                </c:pt>
                <c:pt idx="644">
                  <c:v>4974.3822147988703</c:v>
                </c:pt>
                <c:pt idx="645">
                  <c:v>4971.0805217476618</c:v>
                </c:pt>
                <c:pt idx="646">
                  <c:v>4967.7788286964533</c:v>
                </c:pt>
                <c:pt idx="647">
                  <c:v>4964.4771356452457</c:v>
                </c:pt>
                <c:pt idx="648">
                  <c:v>4961.175442594038</c:v>
                </c:pt>
                <c:pt idx="649">
                  <c:v>4957.8737495428295</c:v>
                </c:pt>
                <c:pt idx="650">
                  <c:v>4954.572056491621</c:v>
                </c:pt>
                <c:pt idx="651">
                  <c:v>4951.2703634404133</c:v>
                </c:pt>
                <c:pt idx="652">
                  <c:v>4947.9686703892057</c:v>
                </c:pt>
                <c:pt idx="653">
                  <c:v>4944.6669773379972</c:v>
                </c:pt>
                <c:pt idx="654">
                  <c:v>4941.3652842867887</c:v>
                </c:pt>
                <c:pt idx="655">
                  <c:v>4938.063591235581</c:v>
                </c:pt>
                <c:pt idx="656">
                  <c:v>4934.7618981843734</c:v>
                </c:pt>
                <c:pt idx="657">
                  <c:v>4931.4602051331649</c:v>
                </c:pt>
                <c:pt idx="658">
                  <c:v>4928.1585120819564</c:v>
                </c:pt>
                <c:pt idx="659">
                  <c:v>4924.8568190307487</c:v>
                </c:pt>
                <c:pt idx="660">
                  <c:v>4921.5551259795411</c:v>
                </c:pt>
                <c:pt idx="661">
                  <c:v>4918.2534329283326</c:v>
                </c:pt>
                <c:pt idx="662">
                  <c:v>4914.9517398771241</c:v>
                </c:pt>
                <c:pt idx="663">
                  <c:v>4911.6500468259164</c:v>
                </c:pt>
                <c:pt idx="664">
                  <c:v>4908.3483537747088</c:v>
                </c:pt>
                <c:pt idx="665">
                  <c:v>4905.0466607235003</c:v>
                </c:pt>
                <c:pt idx="666">
                  <c:v>4901.7449676722918</c:v>
                </c:pt>
                <c:pt idx="667">
                  <c:v>4898.4432746210841</c:v>
                </c:pt>
                <c:pt idx="668">
                  <c:v>4895.1415815698756</c:v>
                </c:pt>
                <c:pt idx="669">
                  <c:v>4891.839888518668</c:v>
                </c:pt>
                <c:pt idx="670">
                  <c:v>4888.5381954674594</c:v>
                </c:pt>
                <c:pt idx="671">
                  <c:v>4885.2365024162518</c:v>
                </c:pt>
                <c:pt idx="672">
                  <c:v>4881.9348093650442</c:v>
                </c:pt>
                <c:pt idx="673">
                  <c:v>4878.6331163138357</c:v>
                </c:pt>
                <c:pt idx="674">
                  <c:v>4875.3314232626271</c:v>
                </c:pt>
                <c:pt idx="675">
                  <c:v>4872.0297302114195</c:v>
                </c:pt>
                <c:pt idx="676">
                  <c:v>4868.7280371602119</c:v>
                </c:pt>
                <c:pt idx="677">
                  <c:v>4865.4263441090034</c:v>
                </c:pt>
                <c:pt idx="678">
                  <c:v>4862.1246510577948</c:v>
                </c:pt>
                <c:pt idx="679">
                  <c:v>4858.8229580065872</c:v>
                </c:pt>
                <c:pt idx="680">
                  <c:v>4855.5212649553787</c:v>
                </c:pt>
                <c:pt idx="681">
                  <c:v>4852.2195719041702</c:v>
                </c:pt>
                <c:pt idx="682">
                  <c:v>4848.9178788529625</c:v>
                </c:pt>
                <c:pt idx="683">
                  <c:v>4845.6161858017549</c:v>
                </c:pt>
                <c:pt idx="684">
                  <c:v>4842.3144927505473</c:v>
                </c:pt>
                <c:pt idx="685">
                  <c:v>4839.0127996993388</c:v>
                </c:pt>
                <c:pt idx="686">
                  <c:v>4835.7111066481302</c:v>
                </c:pt>
                <c:pt idx="687">
                  <c:v>4832.4094135969226</c:v>
                </c:pt>
                <c:pt idx="688">
                  <c:v>4829.107720545715</c:v>
                </c:pt>
                <c:pt idx="689">
                  <c:v>4825.8060274945065</c:v>
                </c:pt>
                <c:pt idx="690">
                  <c:v>4822.5043344432979</c:v>
                </c:pt>
                <c:pt idx="691">
                  <c:v>4819.2026413920903</c:v>
                </c:pt>
                <c:pt idx="692">
                  <c:v>4815.9009483408827</c:v>
                </c:pt>
                <c:pt idx="693">
                  <c:v>4812.5992552896741</c:v>
                </c:pt>
                <c:pt idx="694">
                  <c:v>4809.2975622384656</c:v>
                </c:pt>
                <c:pt idx="695">
                  <c:v>4805.995869187258</c:v>
                </c:pt>
                <c:pt idx="696">
                  <c:v>4802.6941761360504</c:v>
                </c:pt>
                <c:pt idx="697">
                  <c:v>4799.3924830848428</c:v>
                </c:pt>
                <c:pt idx="698">
                  <c:v>4796.0907900336342</c:v>
                </c:pt>
                <c:pt idx="699">
                  <c:v>4792.7890969824257</c:v>
                </c:pt>
                <c:pt idx="700">
                  <c:v>4789.4874039312181</c:v>
                </c:pt>
                <c:pt idx="701">
                  <c:v>4786.1857108800095</c:v>
                </c:pt>
                <c:pt idx="702">
                  <c:v>4782.884017828801</c:v>
                </c:pt>
                <c:pt idx="703">
                  <c:v>4779.5823247775934</c:v>
                </c:pt>
                <c:pt idx="704">
                  <c:v>4776.2806317263858</c:v>
                </c:pt>
                <c:pt idx="705">
                  <c:v>4772.9789386751772</c:v>
                </c:pt>
                <c:pt idx="706">
                  <c:v>4769.6772456239687</c:v>
                </c:pt>
                <c:pt idx="707">
                  <c:v>4766.3755525727611</c:v>
                </c:pt>
                <c:pt idx="708">
                  <c:v>4763.0738595215535</c:v>
                </c:pt>
                <c:pt idx="709">
                  <c:v>4759.7721664703458</c:v>
                </c:pt>
                <c:pt idx="710">
                  <c:v>4756.4704734191373</c:v>
                </c:pt>
                <c:pt idx="711">
                  <c:v>4753.1687803679288</c:v>
                </c:pt>
                <c:pt idx="712">
                  <c:v>4749.8670873167212</c:v>
                </c:pt>
                <c:pt idx="713">
                  <c:v>4746.5653942655126</c:v>
                </c:pt>
                <c:pt idx="714">
                  <c:v>4743.2637012143041</c:v>
                </c:pt>
                <c:pt idx="715">
                  <c:v>4739.9620081630965</c:v>
                </c:pt>
                <c:pt idx="716">
                  <c:v>4736.6603151118888</c:v>
                </c:pt>
                <c:pt idx="717">
                  <c:v>4733.3586220606803</c:v>
                </c:pt>
                <c:pt idx="718">
                  <c:v>4730.0569290094718</c:v>
                </c:pt>
                <c:pt idx="719">
                  <c:v>4726.7552359582642</c:v>
                </c:pt>
                <c:pt idx="720">
                  <c:v>4723.4535429070565</c:v>
                </c:pt>
                <c:pt idx="721">
                  <c:v>4720.1518498558489</c:v>
                </c:pt>
                <c:pt idx="722">
                  <c:v>4716.8501568046404</c:v>
                </c:pt>
                <c:pt idx="723">
                  <c:v>4713.5484637534319</c:v>
                </c:pt>
                <c:pt idx="724">
                  <c:v>4710.2467707022242</c:v>
                </c:pt>
                <c:pt idx="725">
                  <c:v>4706.9450776510157</c:v>
                </c:pt>
                <c:pt idx="726">
                  <c:v>4703.6433845998072</c:v>
                </c:pt>
                <c:pt idx="727">
                  <c:v>4700.3416915485996</c:v>
                </c:pt>
                <c:pt idx="728">
                  <c:v>4697.0399984973919</c:v>
                </c:pt>
                <c:pt idx="729">
                  <c:v>4693.7383054461834</c:v>
                </c:pt>
                <c:pt idx="730">
                  <c:v>4690.4366123949749</c:v>
                </c:pt>
                <c:pt idx="731">
                  <c:v>4687.1349193437673</c:v>
                </c:pt>
                <c:pt idx="732">
                  <c:v>4683.8332262925596</c:v>
                </c:pt>
                <c:pt idx="733">
                  <c:v>4680.5315332413511</c:v>
                </c:pt>
                <c:pt idx="734">
                  <c:v>4677.2298401901435</c:v>
                </c:pt>
                <c:pt idx="735">
                  <c:v>4673.9281471389349</c:v>
                </c:pt>
                <c:pt idx="736">
                  <c:v>4670.6264540877273</c:v>
                </c:pt>
                <c:pt idx="737">
                  <c:v>4667.3247610365188</c:v>
                </c:pt>
                <c:pt idx="738">
                  <c:v>4664.0230679853103</c:v>
                </c:pt>
                <c:pt idx="739">
                  <c:v>4660.7213749341026</c:v>
                </c:pt>
                <c:pt idx="740">
                  <c:v>4657.419681882895</c:v>
                </c:pt>
                <c:pt idx="741">
                  <c:v>4654.1179888316865</c:v>
                </c:pt>
                <c:pt idx="742">
                  <c:v>4650.816295780478</c:v>
                </c:pt>
                <c:pt idx="743">
                  <c:v>4647.5146027292703</c:v>
                </c:pt>
                <c:pt idx="744">
                  <c:v>4644.2129096780627</c:v>
                </c:pt>
                <c:pt idx="745">
                  <c:v>4640.9112166268542</c:v>
                </c:pt>
                <c:pt idx="746">
                  <c:v>4637.6095235756457</c:v>
                </c:pt>
                <c:pt idx="747">
                  <c:v>4634.307830524438</c:v>
                </c:pt>
                <c:pt idx="748">
                  <c:v>4631.0061374732304</c:v>
                </c:pt>
                <c:pt idx="749">
                  <c:v>4627.7044444220219</c:v>
                </c:pt>
                <c:pt idx="750">
                  <c:v>4624.4027513708133</c:v>
                </c:pt>
                <c:pt idx="751">
                  <c:v>4621.1010583196057</c:v>
                </c:pt>
                <c:pt idx="752">
                  <c:v>4617.7993652683981</c:v>
                </c:pt>
                <c:pt idx="753">
                  <c:v>4614.4976722171896</c:v>
                </c:pt>
                <c:pt idx="754">
                  <c:v>4611.195979165981</c:v>
                </c:pt>
                <c:pt idx="755">
                  <c:v>4607.8942861147734</c:v>
                </c:pt>
                <c:pt idx="756">
                  <c:v>4604.5925930635658</c:v>
                </c:pt>
                <c:pt idx="757">
                  <c:v>4601.2909000123573</c:v>
                </c:pt>
                <c:pt idx="758">
                  <c:v>4597.9892069611487</c:v>
                </c:pt>
                <c:pt idx="759">
                  <c:v>4594.6875139099411</c:v>
                </c:pt>
                <c:pt idx="760">
                  <c:v>4591.3858208587335</c:v>
                </c:pt>
                <c:pt idx="761">
                  <c:v>4588.084127807525</c:v>
                </c:pt>
                <c:pt idx="762">
                  <c:v>4584.7824347563164</c:v>
                </c:pt>
                <c:pt idx="763">
                  <c:v>4581.4807417051088</c:v>
                </c:pt>
                <c:pt idx="764">
                  <c:v>4578.1790486539012</c:v>
                </c:pt>
                <c:pt idx="765">
                  <c:v>4574.8773556026927</c:v>
                </c:pt>
                <c:pt idx="766">
                  <c:v>4571.5756625514841</c:v>
                </c:pt>
                <c:pt idx="767">
                  <c:v>4568.2739695002765</c:v>
                </c:pt>
                <c:pt idx="768">
                  <c:v>4564.9722764490689</c:v>
                </c:pt>
                <c:pt idx="769">
                  <c:v>4561.6705833978604</c:v>
                </c:pt>
                <c:pt idx="770">
                  <c:v>4558.3688903466518</c:v>
                </c:pt>
                <c:pt idx="771">
                  <c:v>4555.0671972954442</c:v>
                </c:pt>
                <c:pt idx="772">
                  <c:v>4551.7655042442366</c:v>
                </c:pt>
                <c:pt idx="773">
                  <c:v>4548.4638111930281</c:v>
                </c:pt>
                <c:pt idx="774">
                  <c:v>4545.1621181418195</c:v>
                </c:pt>
                <c:pt idx="775">
                  <c:v>4541.8604250906119</c:v>
                </c:pt>
                <c:pt idx="776">
                  <c:v>4538.5587320394043</c:v>
                </c:pt>
                <c:pt idx="777">
                  <c:v>4535.2570389881957</c:v>
                </c:pt>
                <c:pt idx="778">
                  <c:v>4531.9553459369872</c:v>
                </c:pt>
                <c:pt idx="779">
                  <c:v>4528.6536528857796</c:v>
                </c:pt>
                <c:pt idx="780">
                  <c:v>4525.351959834572</c:v>
                </c:pt>
                <c:pt idx="781">
                  <c:v>4522.0502667833634</c:v>
                </c:pt>
                <c:pt idx="782">
                  <c:v>4518.7485737321549</c:v>
                </c:pt>
                <c:pt idx="783">
                  <c:v>4515.4468806809473</c:v>
                </c:pt>
                <c:pt idx="784">
                  <c:v>4512.1451876297397</c:v>
                </c:pt>
                <c:pt idx="785">
                  <c:v>4508.8434945785311</c:v>
                </c:pt>
                <c:pt idx="786">
                  <c:v>4505.5418015273226</c:v>
                </c:pt>
                <c:pt idx="787">
                  <c:v>4502.240108476115</c:v>
                </c:pt>
                <c:pt idx="788">
                  <c:v>4498.9384154249074</c:v>
                </c:pt>
                <c:pt idx="789">
                  <c:v>4495.6367223736988</c:v>
                </c:pt>
                <c:pt idx="790">
                  <c:v>4492.3350293224903</c:v>
                </c:pt>
                <c:pt idx="791">
                  <c:v>4489.0333362712827</c:v>
                </c:pt>
                <c:pt idx="792">
                  <c:v>4485.7316432200751</c:v>
                </c:pt>
                <c:pt idx="793">
                  <c:v>4482.4299501688665</c:v>
                </c:pt>
                <c:pt idx="794">
                  <c:v>4479.128257117658</c:v>
                </c:pt>
                <c:pt idx="795">
                  <c:v>4475.8265640664504</c:v>
                </c:pt>
                <c:pt idx="796">
                  <c:v>4472.5248710152428</c:v>
                </c:pt>
                <c:pt idx="797">
                  <c:v>4469.2231779640342</c:v>
                </c:pt>
                <c:pt idx="798">
                  <c:v>4465.9214849128257</c:v>
                </c:pt>
                <c:pt idx="799">
                  <c:v>4462.608716690027</c:v>
                </c:pt>
                <c:pt idx="800">
                  <c:v>4459.2027705335031</c:v>
                </c:pt>
                <c:pt idx="801">
                  <c:v>4455.6871657684851</c:v>
                </c:pt>
                <c:pt idx="802">
                  <c:v>4452.0621306816947</c:v>
                </c:pt>
                <c:pt idx="803">
                  <c:v>4448.3278854920372</c:v>
                </c:pt>
                <c:pt idx="804">
                  <c:v>4444.4846423718636</c:v>
                </c:pt>
                <c:pt idx="805">
                  <c:v>4440.5326054652787</c:v>
                </c:pt>
                <c:pt idx="806">
                  <c:v>4436.4719709034716</c:v>
                </c:pt>
                <c:pt idx="807">
                  <c:v>4432.3029268170994</c:v>
                </c:pt>
                <c:pt idx="808">
                  <c:v>4428.0256533456932</c:v>
                </c:pt>
                <c:pt idx="809">
                  <c:v>4423.6403226441216</c:v>
                </c:pt>
                <c:pt idx="810">
                  <c:v>4419.147098886081</c:v>
                </c:pt>
                <c:pt idx="811">
                  <c:v>4414.5461382646063</c:v>
                </c:pt>
                <c:pt idx="812">
                  <c:v>4409.8375889896006</c:v>
                </c:pt>
                <c:pt idx="813">
                  <c:v>4405.0215912823714</c:v>
                </c:pt>
                <c:pt idx="814">
                  <c:v>4400.0982773671558</c:v>
                </c:pt>
                <c:pt idx="815">
                  <c:v>4395.0677714596068</c:v>
                </c:pt>
                <c:pt idx="816">
                  <c:v>4389.93018975224</c:v>
                </c:pt>
                <c:pt idx="817">
                  <c:v>4384.6856403967922</c:v>
                </c:pt>
                <c:pt idx="818">
                  <c:v>4379.3342234834963</c:v>
                </c:pt>
                <c:pt idx="819">
                  <c:v>4373.8760310172129</c:v>
                </c:pt>
                <c:pt idx="820">
                  <c:v>4368.3111468904099</c:v>
                </c:pt>
                <c:pt idx="821">
                  <c:v>4362.6396468529265</c:v>
                </c:pt>
                <c:pt idx="822">
                  <c:v>4356.8615984785338</c:v>
                </c:pt>
                <c:pt idx="823">
                  <c:v>4350.9770611281892</c:v>
                </c:pt>
                <c:pt idx="824">
                  <c:v>4344.9860859099826</c:v>
                </c:pt>
                <c:pt idx="825">
                  <c:v>4338.8887156357168</c:v>
                </c:pt>
                <c:pt idx="826">
                  <c:v>4332.6849847740596</c:v>
                </c:pt>
                <c:pt idx="827">
                  <c:v>4326.3749194002376</c:v>
                </c:pt>
                <c:pt idx="828">
                  <c:v>4319.9585371421772</c:v>
                </c:pt>
                <c:pt idx="829">
                  <c:v>4313.435847123068</c:v>
                </c:pt>
                <c:pt idx="830">
                  <c:v>4306.8068499002602</c:v>
                </c:pt>
                <c:pt idx="831">
                  <c:v>4300.0715374004385</c:v>
                </c:pt>
                <c:pt idx="832">
                  <c:v>4293.2298928509917</c:v>
                </c:pt>
                <c:pt idx="833">
                  <c:v>4286.2818907074961</c:v>
                </c:pt>
                <c:pt idx="834">
                  <c:v>4279.2274965772549</c:v>
                </c:pt>
                <c:pt idx="835">
                  <c:v>4272.0666671387744</c:v>
                </c:pt>
                <c:pt idx="836">
                  <c:v>4264.7993500571101</c:v>
                </c:pt>
                <c:pt idx="837">
                  <c:v>4257.4254838949782</c:v>
                </c:pt>
                <c:pt idx="838">
                  <c:v>4249.9449980195359</c:v>
                </c:pt>
                <c:pt idx="839">
                  <c:v>4242.3578125047088</c:v>
                </c:pt>
                <c:pt idx="840">
                  <c:v>4234.6638380289887</c:v>
                </c:pt>
                <c:pt idx="841">
                  <c:v>4226.862975768543</c:v>
                </c:pt>
                <c:pt idx="842">
                  <c:v>4218.9551172855472</c:v>
                </c:pt>
                <c:pt idx="843">
                  <c:v>4210.9401444115938</c:v>
                </c:pt>
                <c:pt idx="844">
                  <c:v>4202.8179291260449</c:v>
                </c:pt>
                <c:pt idx="845">
                  <c:v>4194.5883334291912</c:v>
                </c:pt>
                <c:pt idx="846">
                  <c:v>4186.2512092100733</c:v>
                </c:pt>
                <c:pt idx="847">
                  <c:v>4177.8063981087926</c:v>
                </c:pt>
                <c:pt idx="848">
                  <c:v>4169.2537313731627</c:v>
                </c:pt>
                <c:pt idx="849">
                  <c:v>4160.5930297095356</c:v>
                </c:pt>
                <c:pt idx="850">
                  <c:v>4151.8241031276011</c:v>
                </c:pt>
                <c:pt idx="851">
                  <c:v>4142.9467507790014</c:v>
                </c:pt>
                <c:pt idx="852">
                  <c:v>4133.960760789525</c:v>
                </c:pt>
                <c:pt idx="853">
                  <c:v>4124.8659100847217</c:v>
                </c:pt>
                <c:pt idx="854">
                  <c:v>4115.6619642086798</c:v>
                </c:pt>
                <c:pt idx="855">
                  <c:v>4106.3486771357602</c:v>
                </c:pt>
                <c:pt idx="856">
                  <c:v>4096.925791075053</c:v>
                </c:pt>
                <c:pt idx="857">
                  <c:v>4087.3930362672813</c:v>
                </c:pt>
                <c:pt idx="858">
                  <c:v>4077.7501307739317</c:v>
                </c:pt>
                <c:pt idx="859">
                  <c:v>4067.9967802583014</c:v>
                </c:pt>
                <c:pt idx="860">
                  <c:v>4058.1326777581899</c:v>
                </c:pt>
                <c:pt idx="861">
                  <c:v>4048.1575034499351</c:v>
                </c:pt>
                <c:pt idx="862">
                  <c:v>4038.0709244034811</c:v>
                </c:pt>
                <c:pt idx="863">
                  <c:v>4027.8725943281302</c:v>
                </c:pt>
                <c:pt idx="864">
                  <c:v>4017.5621533086432</c:v>
                </c:pt>
                <c:pt idx="865">
                  <c:v>4007.1392275313287</c:v>
                </c:pt>
                <c:pt idx="866">
                  <c:v>3996.6034289997215</c:v>
                </c:pt>
                <c:pt idx="867">
                  <c:v>3985.9543552394634</c:v>
                </c:pt>
                <c:pt idx="868">
                  <c:v>3975.1915889919492</c:v>
                </c:pt>
                <c:pt idx="869">
                  <c:v>3964.3146978963018</c:v>
                </c:pt>
                <c:pt idx="870">
                  <c:v>3953.3232341592143</c:v>
                </c:pt>
                <c:pt idx="871">
                  <c:v>3942.2167342121529</c:v>
                </c:pt>
                <c:pt idx="872">
                  <c:v>3930.9947183554182</c:v>
                </c:pt>
                <c:pt idx="873">
                  <c:v>3919.656690388515</c:v>
                </c:pt>
                <c:pt idx="874">
                  <c:v>3908.2021372262625</c:v>
                </c:pt>
                <c:pt idx="875">
                  <c:v>3896.6305285000408</c:v>
                </c:pt>
                <c:pt idx="876">
                  <c:v>3884.9413161435391</c:v>
                </c:pt>
                <c:pt idx="877">
                  <c:v>3873.1339339623451</c:v>
                </c:pt>
                <c:pt idx="878">
                  <c:v>3861.2077971866629</c:v>
                </c:pt>
                <c:pt idx="879">
                  <c:v>3849.1623020064326</c:v>
                </c:pt>
                <c:pt idx="880">
                  <c:v>3836.9968250880579</c:v>
                </c:pt>
                <c:pt idx="881">
                  <c:v>3824.7107230719139</c:v>
                </c:pt>
                <c:pt idx="882">
                  <c:v>3812.3033320497884</c:v>
                </c:pt>
                <c:pt idx="883">
                  <c:v>3799.7739670213173</c:v>
                </c:pt>
                <c:pt idx="884">
                  <c:v>3787.1219213284471</c:v>
                </c:pt>
                <c:pt idx="885">
                  <c:v>3774.3464660669133</c:v>
                </c:pt>
                <c:pt idx="886">
                  <c:v>3761.4468494736393</c:v>
                </c:pt>
                <c:pt idx="887">
                  <c:v>3748.4222962889194</c:v>
                </c:pt>
                <c:pt idx="888">
                  <c:v>3735.2720070921632</c:v>
                </c:pt>
                <c:pt idx="889">
                  <c:v>3721.9951576099343</c:v>
                </c:pt>
                <c:pt idx="890">
                  <c:v>3708.5908979949213</c:v>
                </c:pt>
                <c:pt idx="891">
                  <c:v>3695.0583520743844</c:v>
                </c:pt>
                <c:pt idx="892">
                  <c:v>3681.3966165665952</c:v>
                </c:pt>
                <c:pt idx="893">
                  <c:v>3667.6047602635981</c:v>
                </c:pt>
                <c:pt idx="894">
                  <c:v>3653.6818231786315</c:v>
                </c:pt>
                <c:pt idx="895">
                  <c:v>3639.6268156563438</c:v>
                </c:pt>
                <c:pt idx="896">
                  <c:v>3625.4387174438984</c:v>
                </c:pt>
                <c:pt idx="897">
                  <c:v>3611.1164767208984</c:v>
                </c:pt>
                <c:pt idx="898">
                  <c:v>3596.6590090859495</c:v>
                </c:pt>
                <c:pt idx="899">
                  <c:v>3582.0651964975341</c:v>
                </c:pt>
                <c:pt idx="900">
                  <c:v>3567.3338861667121</c:v>
                </c:pt>
                <c:pt idx="901">
                  <c:v>3552.4638893990282</c:v>
                </c:pt>
                <c:pt idx="902">
                  <c:v>3537.4539803827965</c:v>
                </c:pt>
                <c:pt idx="903">
                  <c:v>3522.3028949207728</c:v>
                </c:pt>
                <c:pt idx="904">
                  <c:v>3507.0093291019994</c:v>
                </c:pt>
                <c:pt idx="905">
                  <c:v>3491.5719379104376</c:v>
                </c:pt>
                <c:pt idx="906">
                  <c:v>3475.9893337666958</c:v>
                </c:pt>
                <c:pt idx="907">
                  <c:v>3460.2600849989662</c:v>
                </c:pt>
                <c:pt idx="908">
                  <c:v>3444.3827142389891</c:v>
                </c:pt>
                <c:pt idx="909">
                  <c:v>3428.3556967385716</c:v>
                </c:pt>
                <c:pt idx="910">
                  <c:v>3412.1774586018537</c:v>
                </c:pt>
                <c:pt idx="911">
                  <c:v>3395.8463749281841</c:v>
                </c:pt>
                <c:pt idx="912">
                  <c:v>3379.3607678600792</c:v>
                </c:pt>
                <c:pt idx="913">
                  <c:v>3362.718904530348</c:v>
                </c:pt>
                <c:pt idx="914">
                  <c:v>3345.9189949019874</c:v>
                </c:pt>
                <c:pt idx="915">
                  <c:v>3328.9591894940077</c:v>
                </c:pt>
                <c:pt idx="916">
                  <c:v>3311.8375769858017</c:v>
                </c:pt>
                <c:pt idx="917">
                  <c:v>3294.5521816920777</c:v>
                </c:pt>
                <c:pt idx="918">
                  <c:v>3277.1009608998293</c:v>
                </c:pt>
                <c:pt idx="919">
                  <c:v>3259.4818020580051</c:v>
                </c:pt>
                <c:pt idx="920">
                  <c:v>3241.6925198099343</c:v>
                </c:pt>
                <c:pt idx="921">
                  <c:v>3223.7308528576423</c:v>
                </c:pt>
                <c:pt idx="922">
                  <c:v>3205.5944606463568</c:v>
                </c:pt>
                <c:pt idx="923">
                  <c:v>3187.2809198565037</c:v>
                </c:pt>
                <c:pt idx="924">
                  <c:v>3168.7877206894204</c:v>
                </c:pt>
                <c:pt idx="925">
                  <c:v>3150.112262931827</c:v>
                </c:pt>
                <c:pt idx="926">
                  <c:v>3131.2518517828153</c:v>
                </c:pt>
                <c:pt idx="927">
                  <c:v>3112.2036934256566</c:v>
                </c:pt>
                <c:pt idx="928">
                  <c:v>3092.9648903251764</c:v>
                </c:pt>
                <c:pt idx="929">
                  <c:v>3073.5324362296788</c:v>
                </c:pt>
                <c:pt idx="930">
                  <c:v>3053.9032108544748</c:v>
                </c:pt>
                <c:pt idx="931">
                  <c:v>3034.0739742219735</c:v>
                </c:pt>
                <c:pt idx="932">
                  <c:v>3014.041360630843</c:v>
                </c:pt>
                <c:pt idx="933">
                  <c:v>2993.8018722242041</c:v>
                </c:pt>
                <c:pt idx="934">
                  <c:v>2973.3518721238324</c:v>
                </c:pt>
                <c:pt idx="935">
                  <c:v>2952.6875770941147</c:v>
                </c:pt>
                <c:pt idx="936">
                  <c:v>2931.8050496958472</c:v>
                </c:pt>
                <c:pt idx="937">
                  <c:v>2910.7001898859112</c:v>
                </c:pt>
                <c:pt idx="938">
                  <c:v>2889.368726014301</c:v>
                </c:pt>
                <c:pt idx="939">
                  <c:v>2867.8062051648649</c:v>
                </c:pt>
                <c:pt idx="940">
                  <c:v>2846.0079827804266</c:v>
                </c:pt>
                <c:pt idx="941">
                  <c:v>2823.9692115064186</c:v>
                </c:pt>
                <c:pt idx="942">
                  <c:v>2801.6848291799756</c:v>
                </c:pt>
                <c:pt idx="943">
                  <c:v>2779.1495458831196</c:v>
                </c:pt>
                <c:pt idx="944">
                  <c:v>2756.3578299694545</c:v>
                </c:pt>
                <c:pt idx="945">
                  <c:v>2733.3038929631198</c:v>
                </c:pt>
                <c:pt idx="946">
                  <c:v>2709.981673216826</c:v>
                </c:pt>
                <c:pt idx="947">
                  <c:v>2686.3848182020683</c:v>
                </c:pt>
                <c:pt idx="948">
                  <c:v>2662.506665288995</c:v>
                </c:pt>
                <c:pt idx="949">
                  <c:v>2638.3402208555131</c:v>
                </c:pt>
                <c:pt idx="950">
                  <c:v>2613.8781375446551</c:v>
                </c:pt>
                <c:pt idx="951">
                  <c:v>2589.1126894656286</c:v>
                </c:pt>
                <c:pt idx="952">
                  <c:v>2564.0357451066561</c:v>
                </c:pt>
                <c:pt idx="953">
                  <c:v>2538.6387376961929</c:v>
                </c:pt>
                <c:pt idx="954">
                  <c:v>2512.9126327124663</c:v>
                </c:pt>
                <c:pt idx="955">
                  <c:v>2486.847892198668</c:v>
                </c:pt>
                <c:pt idx="956">
                  <c:v>2460.4344354913551</c:v>
                </c:pt>
                <c:pt idx="957">
                  <c:v>2433.6615959113678</c:v>
                </c:pt>
                <c:pt idx="958">
                  <c:v>2406.5180728979453</c:v>
                </c:pt>
                <c:pt idx="959">
                  <c:v>2378.9918789859912</c:v>
                </c:pt>
                <c:pt idx="960">
                  <c:v>2351.0702809306608</c:v>
                </c:pt>
                <c:pt idx="961">
                  <c:v>2322.7397341696851</c:v>
                </c:pt>
                <c:pt idx="962">
                  <c:v>2293.9858096780299</c:v>
                </c:pt>
                <c:pt idx="963">
                  <c:v>2264.793112106699</c:v>
                </c:pt>
                <c:pt idx="964">
                  <c:v>2235.1451879014685</c:v>
                </c:pt>
                <c:pt idx="965">
                  <c:v>2205.0244218601579</c:v>
                </c:pt>
                <c:pt idx="966">
                  <c:v>2174.411920298684</c:v>
                </c:pt>
                <c:pt idx="967">
                  <c:v>2143.2873786436444</c:v>
                </c:pt>
                <c:pt idx="968">
                  <c:v>2111.6289308359492</c:v>
                </c:pt>
                <c:pt idx="969">
                  <c:v>2079.4129773943278</c:v>
                </c:pt>
                <c:pt idx="970">
                  <c:v>2046.6139883212395</c:v>
                </c:pt>
                <c:pt idx="971">
                  <c:v>2013.2042761991142</c:v>
                </c:pt>
                <c:pt idx="972">
                  <c:v>1979.1537337725965</c:v>
                </c:pt>
                <c:pt idx="973">
                  <c:v>1944.4295289753788</c:v>
                </c:pt>
                <c:pt idx="974">
                  <c:v>1908.9957486479802</c:v>
                </c:pt>
                <c:pt idx="975">
                  <c:v>1872.8129799813021</c:v>
                </c:pt>
                <c:pt idx="976">
                  <c:v>1835.8378158383398</c:v>
                </c:pt>
                <c:pt idx="977">
                  <c:v>1798.0222663125005</c:v>
                </c:pt>
                <c:pt idx="978">
                  <c:v>1759.3130538344808</c:v>
                </c:pt>
                <c:pt idx="979">
                  <c:v>1719.6507623501109</c:v>
                </c:pt>
                <c:pt idx="980">
                  <c:v>1678.968801843542</c:v>
                </c:pt>
                <c:pt idx="981">
                  <c:v>1637.1921367130349</c:v>
                </c:pt>
                <c:pt idx="982">
                  <c:v>1594.2357086209634</c:v>
                </c:pt>
                <c:pt idx="983">
                  <c:v>1550.0024589775053</c:v>
                </c:pt>
                <c:pt idx="984">
                  <c:v>1504.3808193210871</c:v>
                </c:pt>
                <c:pt idx="985">
                  <c:v>1457.2414833354321</c:v>
                </c:pt>
                <c:pt idx="986">
                  <c:v>1408.433191892181</c:v>
                </c:pt>
                <c:pt idx="987">
                  <c:v>1357.7771350460819</c:v>
                </c:pt>
                <c:pt idx="988">
                  <c:v>1305.059372097933</c:v>
                </c:pt>
                <c:pt idx="989">
                  <c:v>1250.0203378236315</c:v>
                </c:pt>
                <c:pt idx="990">
                  <c:v>1192.339936021664</c:v>
                </c:pt>
                <c:pt idx="991">
                  <c:v>1131.6157148935461</c:v>
                </c:pt>
                <c:pt idx="992">
                  <c:v>1067.3297406736453</c:v>
                </c:pt>
                <c:pt idx="993">
                  <c:v>998.79606769880502</c:v>
                </c:pt>
                <c:pt idx="994">
                  <c:v>925.072787806777</c:v>
                </c:pt>
                <c:pt idx="995">
                  <c:v>844.8041847219182</c:v>
                </c:pt>
                <c:pt idx="996">
                  <c:v>755.91006295725879</c:v>
                </c:pt>
                <c:pt idx="997">
                  <c:v>654.88967745952164</c:v>
                </c:pt>
                <c:pt idx="998">
                  <c:v>534.91923857620418</c:v>
                </c:pt>
                <c:pt idx="999">
                  <c:v>378.38790346301101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04-466B-9377-26BCC009D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745328"/>
        <c:axId val="604750576"/>
      </c:scatterChart>
      <c:valAx>
        <c:axId val="60474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Equivalent Volumetric Stress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750576"/>
        <c:crosses val="autoZero"/>
        <c:crossBetween val="midCat"/>
      </c:valAx>
      <c:valAx>
        <c:axId val="604750576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745328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267716535433071E-2"/>
          <c:y val="9.7704627199377878E-2"/>
          <c:w val="0.92099154272382622"/>
          <c:h val="0.71800998833479146"/>
        </c:manualLayout>
      </c:layout>
      <c:scatterChart>
        <c:scatterStyle val="lineMarker"/>
        <c:varyColors val="0"/>
        <c:ser>
          <c:idx val="0"/>
          <c:order val="0"/>
          <c:tx>
            <c:v>Initial Surface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MPa!$D$28:$D$1028</c:f>
              <c:numCache>
                <c:formatCode>General</c:formatCode>
                <c:ptCount val="1001"/>
                <c:pt idx="0">
                  <c:v>-36.525913591411864</c:v>
                </c:pt>
                <c:pt idx="1">
                  <c:v>-36.488721011153785</c:v>
                </c:pt>
                <c:pt idx="2">
                  <c:v>-36.451528430895706</c:v>
                </c:pt>
                <c:pt idx="3">
                  <c:v>-36.414335850637627</c:v>
                </c:pt>
                <c:pt idx="4">
                  <c:v>-36.377143270379548</c:v>
                </c:pt>
                <c:pt idx="5">
                  <c:v>-36.339950690121469</c:v>
                </c:pt>
                <c:pt idx="6">
                  <c:v>-36.30275810986339</c:v>
                </c:pt>
                <c:pt idx="7">
                  <c:v>-36.265565529605311</c:v>
                </c:pt>
                <c:pt idx="8">
                  <c:v>-36.228372949347239</c:v>
                </c:pt>
                <c:pt idx="9">
                  <c:v>-36.19118036908916</c:v>
                </c:pt>
                <c:pt idx="10">
                  <c:v>-36.153987788831081</c:v>
                </c:pt>
                <c:pt idx="11">
                  <c:v>-36.116795208573002</c:v>
                </c:pt>
                <c:pt idx="12">
                  <c:v>-36.079602628314923</c:v>
                </c:pt>
                <c:pt idx="13">
                  <c:v>-36.042410048056844</c:v>
                </c:pt>
                <c:pt idx="14">
                  <c:v>-36.005217467798765</c:v>
                </c:pt>
                <c:pt idx="15">
                  <c:v>-35.968024887540686</c:v>
                </c:pt>
                <c:pt idx="16">
                  <c:v>-35.930832307282607</c:v>
                </c:pt>
                <c:pt idx="17">
                  <c:v>-35.893639727024528</c:v>
                </c:pt>
                <c:pt idx="18">
                  <c:v>-35.856447146766449</c:v>
                </c:pt>
                <c:pt idx="19">
                  <c:v>-35.81925456650837</c:v>
                </c:pt>
                <c:pt idx="20">
                  <c:v>-35.782061986250291</c:v>
                </c:pt>
                <c:pt idx="21">
                  <c:v>-35.744869405992212</c:v>
                </c:pt>
                <c:pt idx="22">
                  <c:v>-35.70767682573414</c:v>
                </c:pt>
                <c:pt idx="23">
                  <c:v>-35.670484245476061</c:v>
                </c:pt>
                <c:pt idx="24">
                  <c:v>-35.633291665217982</c:v>
                </c:pt>
                <c:pt idx="25">
                  <c:v>-35.596099084959903</c:v>
                </c:pt>
                <c:pt idx="26">
                  <c:v>-35.558906504701824</c:v>
                </c:pt>
                <c:pt idx="27">
                  <c:v>-35.521713924443745</c:v>
                </c:pt>
                <c:pt idx="28">
                  <c:v>-35.484521344185666</c:v>
                </c:pt>
                <c:pt idx="29">
                  <c:v>-35.447328763927587</c:v>
                </c:pt>
                <c:pt idx="30">
                  <c:v>-35.410136183669508</c:v>
                </c:pt>
                <c:pt idx="31">
                  <c:v>-35.372943603411429</c:v>
                </c:pt>
                <c:pt idx="32">
                  <c:v>-35.33575102315335</c:v>
                </c:pt>
                <c:pt idx="33">
                  <c:v>-35.298558442895271</c:v>
                </c:pt>
                <c:pt idx="34">
                  <c:v>-35.261365862637192</c:v>
                </c:pt>
                <c:pt idx="35">
                  <c:v>-35.224173282379112</c:v>
                </c:pt>
                <c:pt idx="36">
                  <c:v>-35.186980702121041</c:v>
                </c:pt>
                <c:pt idx="37">
                  <c:v>-35.149788121862962</c:v>
                </c:pt>
                <c:pt idx="38">
                  <c:v>-35.112595541604882</c:v>
                </c:pt>
                <c:pt idx="39">
                  <c:v>-35.075402961346803</c:v>
                </c:pt>
                <c:pt idx="40">
                  <c:v>-35.038210381088724</c:v>
                </c:pt>
                <c:pt idx="41">
                  <c:v>-35.001017800830645</c:v>
                </c:pt>
                <c:pt idx="42">
                  <c:v>-34.963825220572566</c:v>
                </c:pt>
                <c:pt idx="43">
                  <c:v>-34.926632640314487</c:v>
                </c:pt>
                <c:pt idx="44">
                  <c:v>-34.889440060056408</c:v>
                </c:pt>
                <c:pt idx="45">
                  <c:v>-34.852247479798329</c:v>
                </c:pt>
                <c:pt idx="46">
                  <c:v>-34.81505489954025</c:v>
                </c:pt>
                <c:pt idx="47">
                  <c:v>-34.777862319282171</c:v>
                </c:pt>
                <c:pt idx="48">
                  <c:v>-34.740669739024092</c:v>
                </c:pt>
                <c:pt idx="49">
                  <c:v>-34.703477158766013</c:v>
                </c:pt>
                <c:pt idx="50">
                  <c:v>-34.666284578507941</c:v>
                </c:pt>
                <c:pt idx="51">
                  <c:v>-34.629091998249862</c:v>
                </c:pt>
                <c:pt idx="52">
                  <c:v>-34.591899417991783</c:v>
                </c:pt>
                <c:pt idx="53">
                  <c:v>-34.554706837733704</c:v>
                </c:pt>
                <c:pt idx="54">
                  <c:v>-34.517514257475625</c:v>
                </c:pt>
                <c:pt idx="55">
                  <c:v>-34.480321677217546</c:v>
                </c:pt>
                <c:pt idx="56">
                  <c:v>-34.443129096959467</c:v>
                </c:pt>
                <c:pt idx="57">
                  <c:v>-34.405936516701388</c:v>
                </c:pt>
                <c:pt idx="58">
                  <c:v>-34.368743936443309</c:v>
                </c:pt>
                <c:pt idx="59">
                  <c:v>-34.33155135618523</c:v>
                </c:pt>
                <c:pt idx="60">
                  <c:v>-34.294358775927151</c:v>
                </c:pt>
                <c:pt idx="61">
                  <c:v>-34.257166195669072</c:v>
                </c:pt>
                <c:pt idx="62">
                  <c:v>-34.219973615410993</c:v>
                </c:pt>
                <c:pt idx="63">
                  <c:v>-34.182781035152914</c:v>
                </c:pt>
                <c:pt idx="64">
                  <c:v>-34.145588454894842</c:v>
                </c:pt>
                <c:pt idx="65">
                  <c:v>-34.108395874636763</c:v>
                </c:pt>
                <c:pt idx="66">
                  <c:v>-34.071203294378684</c:v>
                </c:pt>
                <c:pt idx="67">
                  <c:v>-34.034010714120605</c:v>
                </c:pt>
                <c:pt idx="68">
                  <c:v>-33.996818133862526</c:v>
                </c:pt>
                <c:pt idx="69">
                  <c:v>-33.959625553604447</c:v>
                </c:pt>
                <c:pt idx="70">
                  <c:v>-33.922432973346368</c:v>
                </c:pt>
                <c:pt idx="71">
                  <c:v>-33.885240393088289</c:v>
                </c:pt>
                <c:pt idx="72">
                  <c:v>-33.84804781283021</c:v>
                </c:pt>
                <c:pt idx="73">
                  <c:v>-33.810855232572131</c:v>
                </c:pt>
                <c:pt idx="74">
                  <c:v>-33.773662652314052</c:v>
                </c:pt>
                <c:pt idx="75">
                  <c:v>-33.736470072055972</c:v>
                </c:pt>
                <c:pt idx="76">
                  <c:v>-33.699277491797893</c:v>
                </c:pt>
                <c:pt idx="77">
                  <c:v>-33.662084911539822</c:v>
                </c:pt>
                <c:pt idx="78">
                  <c:v>-33.624892331281742</c:v>
                </c:pt>
                <c:pt idx="79">
                  <c:v>-33.587699751023663</c:v>
                </c:pt>
                <c:pt idx="80">
                  <c:v>-33.550507170765584</c:v>
                </c:pt>
                <c:pt idx="81">
                  <c:v>-33.513314590507505</c:v>
                </c:pt>
                <c:pt idx="82">
                  <c:v>-33.476122010249426</c:v>
                </c:pt>
                <c:pt idx="83">
                  <c:v>-33.438929429991347</c:v>
                </c:pt>
                <c:pt idx="84">
                  <c:v>-33.401736849733268</c:v>
                </c:pt>
                <c:pt idx="85">
                  <c:v>-33.364544269475189</c:v>
                </c:pt>
                <c:pt idx="86">
                  <c:v>-33.32735168921711</c:v>
                </c:pt>
                <c:pt idx="87">
                  <c:v>-33.290159108959031</c:v>
                </c:pt>
                <c:pt idx="88">
                  <c:v>-33.252966528700952</c:v>
                </c:pt>
                <c:pt idx="89">
                  <c:v>-33.215773948442873</c:v>
                </c:pt>
                <c:pt idx="90">
                  <c:v>-33.178581368184794</c:v>
                </c:pt>
                <c:pt idx="91">
                  <c:v>-33.141388787926715</c:v>
                </c:pt>
                <c:pt idx="92">
                  <c:v>-33.104196207668643</c:v>
                </c:pt>
                <c:pt idx="93">
                  <c:v>-33.067003627410564</c:v>
                </c:pt>
                <c:pt idx="94">
                  <c:v>-33.029811047152485</c:v>
                </c:pt>
                <c:pt idx="95">
                  <c:v>-32.992618466894406</c:v>
                </c:pt>
                <c:pt idx="96">
                  <c:v>-32.955425886636327</c:v>
                </c:pt>
                <c:pt idx="97">
                  <c:v>-32.918233306378248</c:v>
                </c:pt>
                <c:pt idx="98">
                  <c:v>-32.881040726120169</c:v>
                </c:pt>
                <c:pt idx="99">
                  <c:v>-32.84384814586209</c:v>
                </c:pt>
                <c:pt idx="100">
                  <c:v>-32.806655565604011</c:v>
                </c:pt>
                <c:pt idx="101">
                  <c:v>-32.769462985345932</c:v>
                </c:pt>
                <c:pt idx="102">
                  <c:v>-32.732270405087853</c:v>
                </c:pt>
                <c:pt idx="103">
                  <c:v>-32.695077824829774</c:v>
                </c:pt>
                <c:pt idx="104">
                  <c:v>-32.657885244571695</c:v>
                </c:pt>
                <c:pt idx="105">
                  <c:v>-32.620692664313623</c:v>
                </c:pt>
                <c:pt idx="106">
                  <c:v>-32.583500084055544</c:v>
                </c:pt>
                <c:pt idx="107">
                  <c:v>-32.546307503797465</c:v>
                </c:pt>
                <c:pt idx="108">
                  <c:v>-32.509114923539386</c:v>
                </c:pt>
                <c:pt idx="109">
                  <c:v>-32.471922343281307</c:v>
                </c:pt>
                <c:pt idx="110">
                  <c:v>-32.434729763023228</c:v>
                </c:pt>
                <c:pt idx="111">
                  <c:v>-32.397537182765149</c:v>
                </c:pt>
                <c:pt idx="112">
                  <c:v>-32.36034460250707</c:v>
                </c:pt>
                <c:pt idx="113">
                  <c:v>-32.323152022248991</c:v>
                </c:pt>
                <c:pt idx="114">
                  <c:v>-32.285959441990912</c:v>
                </c:pt>
                <c:pt idx="115">
                  <c:v>-32.248766861732832</c:v>
                </c:pt>
                <c:pt idx="116">
                  <c:v>-32.211574281474753</c:v>
                </c:pt>
                <c:pt idx="117">
                  <c:v>-32.174381701216674</c:v>
                </c:pt>
                <c:pt idx="118">
                  <c:v>-32.137189120958595</c:v>
                </c:pt>
                <c:pt idx="119">
                  <c:v>-32.099996540700516</c:v>
                </c:pt>
                <c:pt idx="120">
                  <c:v>-32.062803960442437</c:v>
                </c:pt>
                <c:pt idx="121">
                  <c:v>-32.025611380184365</c:v>
                </c:pt>
                <c:pt idx="122">
                  <c:v>-31.988418799926283</c:v>
                </c:pt>
                <c:pt idx="123">
                  <c:v>-31.951226219668207</c:v>
                </c:pt>
                <c:pt idx="124">
                  <c:v>-31.914033639410128</c:v>
                </c:pt>
                <c:pt idx="125">
                  <c:v>-31.876841059152049</c:v>
                </c:pt>
                <c:pt idx="126">
                  <c:v>-31.83964847889397</c:v>
                </c:pt>
                <c:pt idx="127">
                  <c:v>-31.802455898635891</c:v>
                </c:pt>
                <c:pt idx="128">
                  <c:v>-31.765263318377812</c:v>
                </c:pt>
                <c:pt idx="129">
                  <c:v>-31.728070738119733</c:v>
                </c:pt>
                <c:pt idx="130">
                  <c:v>-31.690878157861654</c:v>
                </c:pt>
                <c:pt idx="131">
                  <c:v>-31.653685577603575</c:v>
                </c:pt>
                <c:pt idx="132">
                  <c:v>-31.6164929973455</c:v>
                </c:pt>
                <c:pt idx="133">
                  <c:v>-31.579300417087421</c:v>
                </c:pt>
                <c:pt idx="134">
                  <c:v>-31.542107836829341</c:v>
                </c:pt>
                <c:pt idx="135">
                  <c:v>-31.504915256571262</c:v>
                </c:pt>
                <c:pt idx="136">
                  <c:v>-31.467722676313183</c:v>
                </c:pt>
                <c:pt idx="137">
                  <c:v>-31.430530096055104</c:v>
                </c:pt>
                <c:pt idx="138">
                  <c:v>-31.393337515797029</c:v>
                </c:pt>
                <c:pt idx="139">
                  <c:v>-31.35614493553895</c:v>
                </c:pt>
                <c:pt idx="140">
                  <c:v>-31.318952355280871</c:v>
                </c:pt>
                <c:pt idx="141">
                  <c:v>-31.281759775022792</c:v>
                </c:pt>
                <c:pt idx="142">
                  <c:v>-31.244567194764713</c:v>
                </c:pt>
                <c:pt idx="143">
                  <c:v>-31.207374614506634</c:v>
                </c:pt>
                <c:pt idx="144">
                  <c:v>-31.170182034248555</c:v>
                </c:pt>
                <c:pt idx="145">
                  <c:v>-31.132989453990479</c:v>
                </c:pt>
                <c:pt idx="146">
                  <c:v>-31.0957968737324</c:v>
                </c:pt>
                <c:pt idx="147">
                  <c:v>-31.058604293474321</c:v>
                </c:pt>
                <c:pt idx="148">
                  <c:v>-31.021411713216242</c:v>
                </c:pt>
                <c:pt idx="149">
                  <c:v>-30.984219132958163</c:v>
                </c:pt>
                <c:pt idx="150">
                  <c:v>-30.947026552700084</c:v>
                </c:pt>
                <c:pt idx="151">
                  <c:v>-30.909833972442009</c:v>
                </c:pt>
                <c:pt idx="152">
                  <c:v>-30.87264139218393</c:v>
                </c:pt>
                <c:pt idx="153">
                  <c:v>-30.835448811925851</c:v>
                </c:pt>
                <c:pt idx="154">
                  <c:v>-30.798256231667771</c:v>
                </c:pt>
                <c:pt idx="155">
                  <c:v>-30.761063651409692</c:v>
                </c:pt>
                <c:pt idx="156">
                  <c:v>-30.723871071151613</c:v>
                </c:pt>
                <c:pt idx="157">
                  <c:v>-30.686678490893534</c:v>
                </c:pt>
                <c:pt idx="158">
                  <c:v>-30.649485910635455</c:v>
                </c:pt>
                <c:pt idx="159">
                  <c:v>-30.612293330377376</c:v>
                </c:pt>
                <c:pt idx="160">
                  <c:v>-30.575100750119301</c:v>
                </c:pt>
                <c:pt idx="161">
                  <c:v>-30.537908169861222</c:v>
                </c:pt>
                <c:pt idx="162">
                  <c:v>-30.500715589603143</c:v>
                </c:pt>
                <c:pt idx="163">
                  <c:v>-30.463523009345064</c:v>
                </c:pt>
                <c:pt idx="164">
                  <c:v>-30.426330429086985</c:v>
                </c:pt>
                <c:pt idx="165">
                  <c:v>-30.389137848828906</c:v>
                </c:pt>
                <c:pt idx="166">
                  <c:v>-30.35194526857083</c:v>
                </c:pt>
                <c:pt idx="167">
                  <c:v>-30.314752688312751</c:v>
                </c:pt>
                <c:pt idx="168">
                  <c:v>-30.277560108054672</c:v>
                </c:pt>
                <c:pt idx="169">
                  <c:v>-30.240367527796593</c:v>
                </c:pt>
                <c:pt idx="170">
                  <c:v>-30.203174947538514</c:v>
                </c:pt>
                <c:pt idx="171">
                  <c:v>-30.165982367280435</c:v>
                </c:pt>
                <c:pt idx="172">
                  <c:v>-30.128789787022356</c:v>
                </c:pt>
                <c:pt idx="173">
                  <c:v>-30.091597206764281</c:v>
                </c:pt>
                <c:pt idx="174">
                  <c:v>-30.054404626506201</c:v>
                </c:pt>
                <c:pt idx="175">
                  <c:v>-30.017212046248122</c:v>
                </c:pt>
                <c:pt idx="176">
                  <c:v>-29.980019465990043</c:v>
                </c:pt>
                <c:pt idx="177">
                  <c:v>-29.942826885731964</c:v>
                </c:pt>
                <c:pt idx="178">
                  <c:v>-29.905634305473885</c:v>
                </c:pt>
                <c:pt idx="179">
                  <c:v>-29.86844172521581</c:v>
                </c:pt>
                <c:pt idx="180">
                  <c:v>-29.831249144957731</c:v>
                </c:pt>
                <c:pt idx="181">
                  <c:v>-29.794056564699652</c:v>
                </c:pt>
                <c:pt idx="182">
                  <c:v>-29.756863984441573</c:v>
                </c:pt>
                <c:pt idx="183">
                  <c:v>-29.719671404183494</c:v>
                </c:pt>
                <c:pt idx="184">
                  <c:v>-29.682478823925415</c:v>
                </c:pt>
                <c:pt idx="185">
                  <c:v>-29.645286243667336</c:v>
                </c:pt>
                <c:pt idx="186">
                  <c:v>-29.608093663409257</c:v>
                </c:pt>
                <c:pt idx="187">
                  <c:v>-29.570901083151178</c:v>
                </c:pt>
                <c:pt idx="188">
                  <c:v>-29.533708502893102</c:v>
                </c:pt>
                <c:pt idx="189">
                  <c:v>-29.496515922635023</c:v>
                </c:pt>
                <c:pt idx="190">
                  <c:v>-29.459323342376944</c:v>
                </c:pt>
                <c:pt idx="191">
                  <c:v>-29.422130762118865</c:v>
                </c:pt>
                <c:pt idx="192">
                  <c:v>-29.384938181860786</c:v>
                </c:pt>
                <c:pt idx="193">
                  <c:v>-29.347745601602707</c:v>
                </c:pt>
                <c:pt idx="194">
                  <c:v>-29.310553021344631</c:v>
                </c:pt>
                <c:pt idx="195">
                  <c:v>-29.273360441086552</c:v>
                </c:pt>
                <c:pt idx="196">
                  <c:v>-29.236167860828473</c:v>
                </c:pt>
                <c:pt idx="197">
                  <c:v>-29.198975280570394</c:v>
                </c:pt>
                <c:pt idx="198">
                  <c:v>-29.161782700312315</c:v>
                </c:pt>
                <c:pt idx="199">
                  <c:v>-29.124590120054236</c:v>
                </c:pt>
                <c:pt idx="200">
                  <c:v>-29.087397539796157</c:v>
                </c:pt>
                <c:pt idx="201">
                  <c:v>-29.050204959538078</c:v>
                </c:pt>
                <c:pt idx="202">
                  <c:v>-29.013012379279999</c:v>
                </c:pt>
                <c:pt idx="203">
                  <c:v>-28.975819799021924</c:v>
                </c:pt>
                <c:pt idx="204">
                  <c:v>-28.938627218763845</c:v>
                </c:pt>
                <c:pt idx="205">
                  <c:v>-28.901434638505766</c:v>
                </c:pt>
                <c:pt idx="206">
                  <c:v>-28.864242058247687</c:v>
                </c:pt>
                <c:pt idx="207">
                  <c:v>-28.827049477989611</c:v>
                </c:pt>
                <c:pt idx="208">
                  <c:v>-28.789856897731532</c:v>
                </c:pt>
                <c:pt idx="209">
                  <c:v>-28.752664317473453</c:v>
                </c:pt>
                <c:pt idx="210">
                  <c:v>-28.715471737215374</c:v>
                </c:pt>
                <c:pt idx="211">
                  <c:v>-28.678279156957295</c:v>
                </c:pt>
                <c:pt idx="212">
                  <c:v>-28.641086576699216</c:v>
                </c:pt>
                <c:pt idx="213">
                  <c:v>-28.603893996441137</c:v>
                </c:pt>
                <c:pt idx="214">
                  <c:v>-28.566701416183058</c:v>
                </c:pt>
                <c:pt idx="215">
                  <c:v>-28.529508835924979</c:v>
                </c:pt>
                <c:pt idx="216">
                  <c:v>-28.4923162556669</c:v>
                </c:pt>
                <c:pt idx="217">
                  <c:v>-28.455123675408824</c:v>
                </c:pt>
                <c:pt idx="218">
                  <c:v>-28.417931095150745</c:v>
                </c:pt>
                <c:pt idx="219">
                  <c:v>-28.380738514892666</c:v>
                </c:pt>
                <c:pt idx="220">
                  <c:v>-28.343545934634587</c:v>
                </c:pt>
                <c:pt idx="221">
                  <c:v>-28.306353354376512</c:v>
                </c:pt>
                <c:pt idx="222">
                  <c:v>-28.269160774118433</c:v>
                </c:pt>
                <c:pt idx="223">
                  <c:v>-28.231968193860354</c:v>
                </c:pt>
                <c:pt idx="224">
                  <c:v>-28.194775613602275</c:v>
                </c:pt>
                <c:pt idx="225">
                  <c:v>-28.157583033344196</c:v>
                </c:pt>
                <c:pt idx="226">
                  <c:v>-28.120390453086117</c:v>
                </c:pt>
                <c:pt idx="227">
                  <c:v>-28.083197872828038</c:v>
                </c:pt>
                <c:pt idx="228">
                  <c:v>-28.046005292569959</c:v>
                </c:pt>
                <c:pt idx="229">
                  <c:v>-28.00881271231188</c:v>
                </c:pt>
                <c:pt idx="230">
                  <c:v>-27.9716201320538</c:v>
                </c:pt>
                <c:pt idx="231">
                  <c:v>-27.934427551795721</c:v>
                </c:pt>
                <c:pt idx="232">
                  <c:v>-27.897234971537646</c:v>
                </c:pt>
                <c:pt idx="233">
                  <c:v>-27.860042391279567</c:v>
                </c:pt>
                <c:pt idx="234">
                  <c:v>-27.822849811021488</c:v>
                </c:pt>
                <c:pt idx="235">
                  <c:v>-27.785657230763412</c:v>
                </c:pt>
                <c:pt idx="236">
                  <c:v>-27.748464650505333</c:v>
                </c:pt>
                <c:pt idx="237">
                  <c:v>-27.711272070247254</c:v>
                </c:pt>
                <c:pt idx="238">
                  <c:v>-27.674079489989175</c:v>
                </c:pt>
                <c:pt idx="239">
                  <c:v>-27.636886909731096</c:v>
                </c:pt>
                <c:pt idx="240">
                  <c:v>-27.599694329473017</c:v>
                </c:pt>
                <c:pt idx="241">
                  <c:v>-27.562501749214938</c:v>
                </c:pt>
                <c:pt idx="242">
                  <c:v>-27.525309168956859</c:v>
                </c:pt>
                <c:pt idx="243">
                  <c:v>-27.48811658869878</c:v>
                </c:pt>
                <c:pt idx="244">
                  <c:v>-27.450924008440701</c:v>
                </c:pt>
                <c:pt idx="245">
                  <c:v>-27.413731428182626</c:v>
                </c:pt>
                <c:pt idx="246">
                  <c:v>-27.376538847924547</c:v>
                </c:pt>
                <c:pt idx="247">
                  <c:v>-27.339346267666468</c:v>
                </c:pt>
                <c:pt idx="248">
                  <c:v>-27.302153687408389</c:v>
                </c:pt>
                <c:pt idx="249">
                  <c:v>-27.264961107150313</c:v>
                </c:pt>
                <c:pt idx="250">
                  <c:v>-27.227768526892234</c:v>
                </c:pt>
                <c:pt idx="251">
                  <c:v>-27.190575946634155</c:v>
                </c:pt>
                <c:pt idx="252">
                  <c:v>-27.153383366376076</c:v>
                </c:pt>
                <c:pt idx="253">
                  <c:v>-27.116190786117997</c:v>
                </c:pt>
                <c:pt idx="254">
                  <c:v>-27.078998205859918</c:v>
                </c:pt>
                <c:pt idx="255">
                  <c:v>-27.041805625601839</c:v>
                </c:pt>
                <c:pt idx="256">
                  <c:v>-27.00461304534376</c:v>
                </c:pt>
                <c:pt idx="257">
                  <c:v>-26.967420465085681</c:v>
                </c:pt>
                <c:pt idx="258">
                  <c:v>-26.930227884827602</c:v>
                </c:pt>
                <c:pt idx="259">
                  <c:v>-26.893035304569523</c:v>
                </c:pt>
                <c:pt idx="260">
                  <c:v>-26.855842724311447</c:v>
                </c:pt>
                <c:pt idx="261">
                  <c:v>-26.818650144053368</c:v>
                </c:pt>
                <c:pt idx="262">
                  <c:v>-26.781457563795289</c:v>
                </c:pt>
                <c:pt idx="263">
                  <c:v>-26.74426498353721</c:v>
                </c:pt>
                <c:pt idx="264">
                  <c:v>-26.707072403279135</c:v>
                </c:pt>
                <c:pt idx="265">
                  <c:v>-26.669879823021056</c:v>
                </c:pt>
                <c:pt idx="266">
                  <c:v>-26.632687242762977</c:v>
                </c:pt>
                <c:pt idx="267">
                  <c:v>-26.595494662504898</c:v>
                </c:pt>
                <c:pt idx="268">
                  <c:v>-26.558302082246819</c:v>
                </c:pt>
                <c:pt idx="269">
                  <c:v>-26.52110950198874</c:v>
                </c:pt>
                <c:pt idx="270">
                  <c:v>-26.48391692173066</c:v>
                </c:pt>
                <c:pt idx="271">
                  <c:v>-26.446724341472581</c:v>
                </c:pt>
                <c:pt idx="272">
                  <c:v>-26.409531761214502</c:v>
                </c:pt>
                <c:pt idx="273">
                  <c:v>-26.372339180956423</c:v>
                </c:pt>
                <c:pt idx="274">
                  <c:v>-26.335146600698344</c:v>
                </c:pt>
                <c:pt idx="275">
                  <c:v>-26.297954020440269</c:v>
                </c:pt>
                <c:pt idx="276">
                  <c:v>-26.26076144018219</c:v>
                </c:pt>
                <c:pt idx="277">
                  <c:v>-26.223568859924111</c:v>
                </c:pt>
                <c:pt idx="278">
                  <c:v>-26.186376279666032</c:v>
                </c:pt>
                <c:pt idx="279">
                  <c:v>-26.149183699407956</c:v>
                </c:pt>
                <c:pt idx="280">
                  <c:v>-26.111991119149877</c:v>
                </c:pt>
                <c:pt idx="281">
                  <c:v>-26.074798538891798</c:v>
                </c:pt>
                <c:pt idx="282">
                  <c:v>-26.037605958633719</c:v>
                </c:pt>
                <c:pt idx="283">
                  <c:v>-26.00041337837564</c:v>
                </c:pt>
                <c:pt idx="284">
                  <c:v>-25.963220798117561</c:v>
                </c:pt>
                <c:pt idx="285">
                  <c:v>-25.926028217859482</c:v>
                </c:pt>
                <c:pt idx="286">
                  <c:v>-25.888835637601407</c:v>
                </c:pt>
                <c:pt idx="287">
                  <c:v>-25.851643057343328</c:v>
                </c:pt>
                <c:pt idx="288">
                  <c:v>-25.814450477085249</c:v>
                </c:pt>
                <c:pt idx="289">
                  <c:v>-25.777257896827173</c:v>
                </c:pt>
                <c:pt idx="290">
                  <c:v>-25.740065316569094</c:v>
                </c:pt>
                <c:pt idx="291">
                  <c:v>-25.702872736311015</c:v>
                </c:pt>
                <c:pt idx="292">
                  <c:v>-25.665680156052936</c:v>
                </c:pt>
                <c:pt idx="293">
                  <c:v>-25.628487575794857</c:v>
                </c:pt>
                <c:pt idx="294">
                  <c:v>-25.591294995536778</c:v>
                </c:pt>
                <c:pt idx="295">
                  <c:v>-25.554102415278699</c:v>
                </c:pt>
                <c:pt idx="296">
                  <c:v>-25.51690983502062</c:v>
                </c:pt>
                <c:pt idx="297">
                  <c:v>-25.479717254762541</c:v>
                </c:pt>
                <c:pt idx="298">
                  <c:v>-25.442524674504462</c:v>
                </c:pt>
                <c:pt idx="299">
                  <c:v>-25.405332094246383</c:v>
                </c:pt>
                <c:pt idx="300">
                  <c:v>-25.368139513988304</c:v>
                </c:pt>
                <c:pt idx="301">
                  <c:v>-25.330946933730228</c:v>
                </c:pt>
                <c:pt idx="302">
                  <c:v>-25.293754353472149</c:v>
                </c:pt>
                <c:pt idx="303">
                  <c:v>-25.25656177321407</c:v>
                </c:pt>
                <c:pt idx="304">
                  <c:v>-25.219369192955991</c:v>
                </c:pt>
                <c:pt idx="305">
                  <c:v>-25.182176612697916</c:v>
                </c:pt>
                <c:pt idx="306">
                  <c:v>-25.144984032439837</c:v>
                </c:pt>
                <c:pt idx="307">
                  <c:v>-25.107791452181758</c:v>
                </c:pt>
                <c:pt idx="308">
                  <c:v>-25.070598871923679</c:v>
                </c:pt>
                <c:pt idx="309">
                  <c:v>-25.033406291665599</c:v>
                </c:pt>
                <c:pt idx="310">
                  <c:v>-24.99621371140752</c:v>
                </c:pt>
                <c:pt idx="311">
                  <c:v>-24.959021131149441</c:v>
                </c:pt>
                <c:pt idx="312">
                  <c:v>-24.921828550891362</c:v>
                </c:pt>
                <c:pt idx="313">
                  <c:v>-24.884635970633283</c:v>
                </c:pt>
                <c:pt idx="314">
                  <c:v>-24.847443390375204</c:v>
                </c:pt>
                <c:pt idx="315">
                  <c:v>-24.810250810117125</c:v>
                </c:pt>
                <c:pt idx="316">
                  <c:v>-24.77305822985905</c:v>
                </c:pt>
                <c:pt idx="317">
                  <c:v>-24.735865649600971</c:v>
                </c:pt>
                <c:pt idx="318">
                  <c:v>-24.698673069342892</c:v>
                </c:pt>
                <c:pt idx="319">
                  <c:v>-24.661480489084813</c:v>
                </c:pt>
                <c:pt idx="320">
                  <c:v>-24.624287908826737</c:v>
                </c:pt>
                <c:pt idx="321">
                  <c:v>-24.587095328568658</c:v>
                </c:pt>
                <c:pt idx="322">
                  <c:v>-24.549902748310579</c:v>
                </c:pt>
                <c:pt idx="323">
                  <c:v>-24.5127101680525</c:v>
                </c:pt>
                <c:pt idx="324">
                  <c:v>-24.475517587794421</c:v>
                </c:pt>
                <c:pt idx="325">
                  <c:v>-24.438325007536342</c:v>
                </c:pt>
                <c:pt idx="326">
                  <c:v>-24.401132427278263</c:v>
                </c:pt>
                <c:pt idx="327">
                  <c:v>-24.363939847020184</c:v>
                </c:pt>
                <c:pt idx="328">
                  <c:v>-24.326747266762105</c:v>
                </c:pt>
                <c:pt idx="329">
                  <c:v>-24.289554686504026</c:v>
                </c:pt>
                <c:pt idx="330">
                  <c:v>-24.252362106245947</c:v>
                </c:pt>
                <c:pt idx="331">
                  <c:v>-24.215169525987871</c:v>
                </c:pt>
                <c:pt idx="332">
                  <c:v>-24.177976945729792</c:v>
                </c:pt>
                <c:pt idx="333">
                  <c:v>-24.140784365471713</c:v>
                </c:pt>
                <c:pt idx="334">
                  <c:v>-24.103591785213634</c:v>
                </c:pt>
                <c:pt idx="335">
                  <c:v>-24.066399204955559</c:v>
                </c:pt>
                <c:pt idx="336">
                  <c:v>-24.02920662469748</c:v>
                </c:pt>
                <c:pt idx="337">
                  <c:v>-23.992014044439401</c:v>
                </c:pt>
                <c:pt idx="338">
                  <c:v>-23.954821464181322</c:v>
                </c:pt>
                <c:pt idx="339">
                  <c:v>-23.917628883923243</c:v>
                </c:pt>
                <c:pt idx="340">
                  <c:v>-23.880436303665164</c:v>
                </c:pt>
                <c:pt idx="341">
                  <c:v>-23.843243723407085</c:v>
                </c:pt>
                <c:pt idx="342">
                  <c:v>-23.806051143149006</c:v>
                </c:pt>
                <c:pt idx="343">
                  <c:v>-23.768858562890927</c:v>
                </c:pt>
                <c:pt idx="344">
                  <c:v>-23.731665982632851</c:v>
                </c:pt>
                <c:pt idx="345">
                  <c:v>-23.694473402374776</c:v>
                </c:pt>
                <c:pt idx="346">
                  <c:v>-23.657280822116697</c:v>
                </c:pt>
                <c:pt idx="347">
                  <c:v>-23.620088241858618</c:v>
                </c:pt>
                <c:pt idx="348">
                  <c:v>-23.582895661600539</c:v>
                </c:pt>
                <c:pt idx="349">
                  <c:v>-23.545703081342459</c:v>
                </c:pt>
                <c:pt idx="350">
                  <c:v>-23.50851050108438</c:v>
                </c:pt>
                <c:pt idx="351">
                  <c:v>-23.471317920826301</c:v>
                </c:pt>
                <c:pt idx="352">
                  <c:v>-23.434125340568222</c:v>
                </c:pt>
                <c:pt idx="353">
                  <c:v>-23.396932760310143</c:v>
                </c:pt>
                <c:pt idx="354">
                  <c:v>-23.359740180052064</c:v>
                </c:pt>
                <c:pt idx="355">
                  <c:v>-23.322547599793985</c:v>
                </c:pt>
                <c:pt idx="356">
                  <c:v>-23.285355019535906</c:v>
                </c:pt>
                <c:pt idx="357">
                  <c:v>-23.248162439277831</c:v>
                </c:pt>
                <c:pt idx="358">
                  <c:v>-23.210969859019752</c:v>
                </c:pt>
                <c:pt idx="359">
                  <c:v>-23.173777278761673</c:v>
                </c:pt>
                <c:pt idx="360">
                  <c:v>-23.136584698503597</c:v>
                </c:pt>
                <c:pt idx="361">
                  <c:v>-23.099392118245518</c:v>
                </c:pt>
                <c:pt idx="362">
                  <c:v>-23.062199537987439</c:v>
                </c:pt>
                <c:pt idx="363">
                  <c:v>-23.02500695772936</c:v>
                </c:pt>
                <c:pt idx="364">
                  <c:v>-22.987814377471281</c:v>
                </c:pt>
                <c:pt idx="365">
                  <c:v>-22.950621797213202</c:v>
                </c:pt>
                <c:pt idx="366">
                  <c:v>-22.913429216955123</c:v>
                </c:pt>
                <c:pt idx="367">
                  <c:v>-22.876236636697044</c:v>
                </c:pt>
                <c:pt idx="368">
                  <c:v>-22.839044056438965</c:v>
                </c:pt>
                <c:pt idx="369">
                  <c:v>-22.801851476180886</c:v>
                </c:pt>
                <c:pt idx="370">
                  <c:v>-22.764658895922807</c:v>
                </c:pt>
                <c:pt idx="371">
                  <c:v>-22.727466315664728</c:v>
                </c:pt>
                <c:pt idx="372">
                  <c:v>-22.690273735406652</c:v>
                </c:pt>
                <c:pt idx="373">
                  <c:v>-22.653081155148573</c:v>
                </c:pt>
                <c:pt idx="374">
                  <c:v>-22.615888574890494</c:v>
                </c:pt>
                <c:pt idx="375">
                  <c:v>-22.578695994632415</c:v>
                </c:pt>
                <c:pt idx="376">
                  <c:v>-22.54150341437434</c:v>
                </c:pt>
                <c:pt idx="377">
                  <c:v>-22.504310834116261</c:v>
                </c:pt>
                <c:pt idx="378">
                  <c:v>-22.467118253858182</c:v>
                </c:pt>
                <c:pt idx="379">
                  <c:v>-22.429925673600103</c:v>
                </c:pt>
                <c:pt idx="380">
                  <c:v>-22.392733093342024</c:v>
                </c:pt>
                <c:pt idx="381">
                  <c:v>-22.355540513083945</c:v>
                </c:pt>
                <c:pt idx="382">
                  <c:v>-22.318347932825866</c:v>
                </c:pt>
                <c:pt idx="383">
                  <c:v>-22.281155352567787</c:v>
                </c:pt>
                <c:pt idx="384">
                  <c:v>-22.243962772309708</c:v>
                </c:pt>
                <c:pt idx="385">
                  <c:v>-22.206770192051628</c:v>
                </c:pt>
                <c:pt idx="386">
                  <c:v>-22.169577611793549</c:v>
                </c:pt>
                <c:pt idx="387">
                  <c:v>-22.132385031535474</c:v>
                </c:pt>
                <c:pt idx="388">
                  <c:v>-22.095192451277395</c:v>
                </c:pt>
                <c:pt idx="389">
                  <c:v>-22.057999871019316</c:v>
                </c:pt>
                <c:pt idx="390">
                  <c:v>-22.020807290761237</c:v>
                </c:pt>
                <c:pt idx="391">
                  <c:v>-21.983614710503161</c:v>
                </c:pt>
                <c:pt idx="392">
                  <c:v>-21.946422130245082</c:v>
                </c:pt>
                <c:pt idx="393">
                  <c:v>-21.909229549987003</c:v>
                </c:pt>
                <c:pt idx="394">
                  <c:v>-21.872036969728924</c:v>
                </c:pt>
                <c:pt idx="395">
                  <c:v>-21.834844389470845</c:v>
                </c:pt>
                <c:pt idx="396">
                  <c:v>-21.797651809212766</c:v>
                </c:pt>
                <c:pt idx="397">
                  <c:v>-21.760459228954687</c:v>
                </c:pt>
                <c:pt idx="398">
                  <c:v>-21.723266648696608</c:v>
                </c:pt>
                <c:pt idx="399">
                  <c:v>-21.686074068438529</c:v>
                </c:pt>
                <c:pt idx="400">
                  <c:v>-21.64888148818045</c:v>
                </c:pt>
                <c:pt idx="401">
                  <c:v>-21.611688907922371</c:v>
                </c:pt>
                <c:pt idx="402">
                  <c:v>-21.574496327664296</c:v>
                </c:pt>
                <c:pt idx="403">
                  <c:v>-21.537303747406217</c:v>
                </c:pt>
                <c:pt idx="404">
                  <c:v>-21.500111167148138</c:v>
                </c:pt>
                <c:pt idx="405">
                  <c:v>-21.462918586890058</c:v>
                </c:pt>
                <c:pt idx="406">
                  <c:v>-21.425726006631983</c:v>
                </c:pt>
                <c:pt idx="407">
                  <c:v>-21.388533426373904</c:v>
                </c:pt>
                <c:pt idx="408">
                  <c:v>-21.351340846115825</c:v>
                </c:pt>
                <c:pt idx="409">
                  <c:v>-21.314148265857746</c:v>
                </c:pt>
                <c:pt idx="410">
                  <c:v>-21.276955685599667</c:v>
                </c:pt>
                <c:pt idx="411">
                  <c:v>-21.239763105341588</c:v>
                </c:pt>
                <c:pt idx="412">
                  <c:v>-21.202570525083509</c:v>
                </c:pt>
                <c:pt idx="413">
                  <c:v>-21.165377944825433</c:v>
                </c:pt>
                <c:pt idx="414">
                  <c:v>-21.128185364567354</c:v>
                </c:pt>
                <c:pt idx="415">
                  <c:v>-21.090992784309275</c:v>
                </c:pt>
                <c:pt idx="416">
                  <c:v>-21.0538002040512</c:v>
                </c:pt>
                <c:pt idx="417">
                  <c:v>-21.016607623793121</c:v>
                </c:pt>
                <c:pt idx="418">
                  <c:v>-20.979415043535042</c:v>
                </c:pt>
                <c:pt idx="419">
                  <c:v>-20.942222463276963</c:v>
                </c:pt>
                <c:pt idx="420">
                  <c:v>-20.905029883018884</c:v>
                </c:pt>
                <c:pt idx="421">
                  <c:v>-20.867837302760805</c:v>
                </c:pt>
                <c:pt idx="422">
                  <c:v>-20.830644722502726</c:v>
                </c:pt>
                <c:pt idx="423">
                  <c:v>-20.793452142244647</c:v>
                </c:pt>
                <c:pt idx="424">
                  <c:v>-20.756259561986568</c:v>
                </c:pt>
                <c:pt idx="425">
                  <c:v>-20.719066981728488</c:v>
                </c:pt>
                <c:pt idx="426">
                  <c:v>-20.681874401470409</c:v>
                </c:pt>
                <c:pt idx="427">
                  <c:v>-20.64468182121233</c:v>
                </c:pt>
                <c:pt idx="428">
                  <c:v>-20.607489240954255</c:v>
                </c:pt>
                <c:pt idx="429">
                  <c:v>-20.570296660696176</c:v>
                </c:pt>
                <c:pt idx="430">
                  <c:v>-20.533104080438097</c:v>
                </c:pt>
                <c:pt idx="431">
                  <c:v>-20.495911500180018</c:v>
                </c:pt>
                <c:pt idx="432">
                  <c:v>-20.458718919921939</c:v>
                </c:pt>
                <c:pt idx="433">
                  <c:v>-20.421526339663863</c:v>
                </c:pt>
                <c:pt idx="434">
                  <c:v>-20.384333759405784</c:v>
                </c:pt>
                <c:pt idx="435">
                  <c:v>-20.347141179147705</c:v>
                </c:pt>
                <c:pt idx="436">
                  <c:v>-20.309948598889626</c:v>
                </c:pt>
                <c:pt idx="437">
                  <c:v>-20.272756018631547</c:v>
                </c:pt>
                <c:pt idx="438">
                  <c:v>-20.235563438373468</c:v>
                </c:pt>
                <c:pt idx="439">
                  <c:v>-20.198370858115389</c:v>
                </c:pt>
                <c:pt idx="440">
                  <c:v>-20.16117827785731</c:v>
                </c:pt>
                <c:pt idx="441">
                  <c:v>-20.123985697599235</c:v>
                </c:pt>
                <c:pt idx="442">
                  <c:v>-20.086793117341156</c:v>
                </c:pt>
                <c:pt idx="443">
                  <c:v>-20.049600537083077</c:v>
                </c:pt>
                <c:pt idx="444">
                  <c:v>-20.012407956824998</c:v>
                </c:pt>
                <c:pt idx="445">
                  <c:v>-19.975215376566918</c:v>
                </c:pt>
                <c:pt idx="446">
                  <c:v>-19.938022796308839</c:v>
                </c:pt>
                <c:pt idx="447">
                  <c:v>-19.90083021605076</c:v>
                </c:pt>
                <c:pt idx="448">
                  <c:v>-19.863637635792685</c:v>
                </c:pt>
                <c:pt idx="449">
                  <c:v>-19.826445055534606</c:v>
                </c:pt>
                <c:pt idx="450">
                  <c:v>-19.789252475276527</c:v>
                </c:pt>
                <c:pt idx="451">
                  <c:v>-19.752059895018448</c:v>
                </c:pt>
                <c:pt idx="452">
                  <c:v>-19.714867314760369</c:v>
                </c:pt>
                <c:pt idx="453">
                  <c:v>-19.67767473450229</c:v>
                </c:pt>
                <c:pt idx="454">
                  <c:v>-19.640482154244211</c:v>
                </c:pt>
                <c:pt idx="455">
                  <c:v>-19.603289573986132</c:v>
                </c:pt>
                <c:pt idx="456">
                  <c:v>-19.566096993728056</c:v>
                </c:pt>
                <c:pt idx="457">
                  <c:v>-19.528904413469977</c:v>
                </c:pt>
                <c:pt idx="458">
                  <c:v>-19.491711833211898</c:v>
                </c:pt>
                <c:pt idx="459">
                  <c:v>-19.454519252953819</c:v>
                </c:pt>
                <c:pt idx="460">
                  <c:v>-19.41732667269574</c:v>
                </c:pt>
                <c:pt idx="461">
                  <c:v>-19.380134092437661</c:v>
                </c:pt>
                <c:pt idx="462">
                  <c:v>-19.342941512179582</c:v>
                </c:pt>
                <c:pt idx="463">
                  <c:v>-19.305748931921507</c:v>
                </c:pt>
                <c:pt idx="464">
                  <c:v>-19.268556351663428</c:v>
                </c:pt>
                <c:pt idx="465">
                  <c:v>-19.231363771405348</c:v>
                </c:pt>
                <c:pt idx="466">
                  <c:v>-19.194171191147269</c:v>
                </c:pt>
                <c:pt idx="467">
                  <c:v>-19.15697861088919</c:v>
                </c:pt>
                <c:pt idx="468">
                  <c:v>-19.119786030631111</c:v>
                </c:pt>
                <c:pt idx="469">
                  <c:v>-19.082593450373036</c:v>
                </c:pt>
                <c:pt idx="470">
                  <c:v>-19.045400870114957</c:v>
                </c:pt>
                <c:pt idx="471">
                  <c:v>-19.008208289856878</c:v>
                </c:pt>
                <c:pt idx="472">
                  <c:v>-18.971015709598799</c:v>
                </c:pt>
                <c:pt idx="473">
                  <c:v>-18.93382312934072</c:v>
                </c:pt>
                <c:pt idx="474">
                  <c:v>-18.896630549082644</c:v>
                </c:pt>
                <c:pt idx="475">
                  <c:v>-18.859437968824565</c:v>
                </c:pt>
                <c:pt idx="476">
                  <c:v>-18.822245388566486</c:v>
                </c:pt>
                <c:pt idx="477">
                  <c:v>-18.785052808308407</c:v>
                </c:pt>
                <c:pt idx="478">
                  <c:v>-18.747860228050328</c:v>
                </c:pt>
                <c:pt idx="479">
                  <c:v>-18.710667647792249</c:v>
                </c:pt>
                <c:pt idx="480">
                  <c:v>-18.67347506753417</c:v>
                </c:pt>
                <c:pt idx="481">
                  <c:v>-18.636282487276091</c:v>
                </c:pt>
                <c:pt idx="482">
                  <c:v>-18.599089907018016</c:v>
                </c:pt>
                <c:pt idx="483">
                  <c:v>-18.561897326759937</c:v>
                </c:pt>
                <c:pt idx="484">
                  <c:v>-18.524704746501857</c:v>
                </c:pt>
                <c:pt idx="485">
                  <c:v>-18.487512166243778</c:v>
                </c:pt>
                <c:pt idx="486">
                  <c:v>-18.450319585985699</c:v>
                </c:pt>
                <c:pt idx="487">
                  <c:v>-18.41312700572762</c:v>
                </c:pt>
                <c:pt idx="488">
                  <c:v>-18.375934425469541</c:v>
                </c:pt>
                <c:pt idx="489">
                  <c:v>-18.338741845211466</c:v>
                </c:pt>
                <c:pt idx="490">
                  <c:v>-18.301549264953387</c:v>
                </c:pt>
                <c:pt idx="491">
                  <c:v>-18.264356684695308</c:v>
                </c:pt>
                <c:pt idx="492">
                  <c:v>-18.227164104437229</c:v>
                </c:pt>
                <c:pt idx="493">
                  <c:v>-18.18997152417915</c:v>
                </c:pt>
                <c:pt idx="494">
                  <c:v>-18.152778943921071</c:v>
                </c:pt>
                <c:pt idx="495">
                  <c:v>-18.115586363662992</c:v>
                </c:pt>
                <c:pt idx="496">
                  <c:v>-18.078393783404913</c:v>
                </c:pt>
                <c:pt idx="497">
                  <c:v>-18.041201203146837</c:v>
                </c:pt>
                <c:pt idx="498">
                  <c:v>-18.004008622888758</c:v>
                </c:pt>
                <c:pt idx="499">
                  <c:v>-17.966816042630679</c:v>
                </c:pt>
                <c:pt idx="500">
                  <c:v>-17.9296234623726</c:v>
                </c:pt>
                <c:pt idx="501">
                  <c:v>-17.892430882114521</c:v>
                </c:pt>
                <c:pt idx="502">
                  <c:v>-17.855238301856442</c:v>
                </c:pt>
                <c:pt idx="503">
                  <c:v>-17.818045721598363</c:v>
                </c:pt>
                <c:pt idx="504">
                  <c:v>-17.780853141340287</c:v>
                </c:pt>
                <c:pt idx="505">
                  <c:v>-17.743660561082208</c:v>
                </c:pt>
                <c:pt idx="506">
                  <c:v>-17.706467980824129</c:v>
                </c:pt>
                <c:pt idx="507">
                  <c:v>-17.66927540056605</c:v>
                </c:pt>
                <c:pt idx="508">
                  <c:v>-17.632082820307971</c:v>
                </c:pt>
                <c:pt idx="509">
                  <c:v>-17.594890240049892</c:v>
                </c:pt>
                <c:pt idx="510">
                  <c:v>-17.557697659791813</c:v>
                </c:pt>
                <c:pt idx="511">
                  <c:v>-17.520505079533734</c:v>
                </c:pt>
                <c:pt idx="512">
                  <c:v>-17.483312499275659</c:v>
                </c:pt>
                <c:pt idx="513">
                  <c:v>-17.44611991901758</c:v>
                </c:pt>
                <c:pt idx="514">
                  <c:v>-17.408927338759501</c:v>
                </c:pt>
                <c:pt idx="515">
                  <c:v>-17.371734758501422</c:v>
                </c:pt>
                <c:pt idx="516">
                  <c:v>-17.334542178243343</c:v>
                </c:pt>
                <c:pt idx="517">
                  <c:v>-17.297349597985264</c:v>
                </c:pt>
                <c:pt idx="518">
                  <c:v>-17.260157017727185</c:v>
                </c:pt>
                <c:pt idx="519">
                  <c:v>-17.222964437469109</c:v>
                </c:pt>
                <c:pt idx="520">
                  <c:v>-17.18577185721103</c:v>
                </c:pt>
                <c:pt idx="521">
                  <c:v>-17.148579276952951</c:v>
                </c:pt>
                <c:pt idx="522">
                  <c:v>-17.111386696694872</c:v>
                </c:pt>
                <c:pt idx="523">
                  <c:v>-17.074194116436793</c:v>
                </c:pt>
                <c:pt idx="524">
                  <c:v>-17.037001536178714</c:v>
                </c:pt>
                <c:pt idx="525">
                  <c:v>-16.999808955920635</c:v>
                </c:pt>
                <c:pt idx="526">
                  <c:v>-16.962616375662556</c:v>
                </c:pt>
                <c:pt idx="527">
                  <c:v>-16.92542379540448</c:v>
                </c:pt>
                <c:pt idx="528">
                  <c:v>-16.888231215146401</c:v>
                </c:pt>
                <c:pt idx="529">
                  <c:v>-16.851038634888322</c:v>
                </c:pt>
                <c:pt idx="530">
                  <c:v>-16.813846054630243</c:v>
                </c:pt>
                <c:pt idx="531">
                  <c:v>-16.776653474372164</c:v>
                </c:pt>
                <c:pt idx="532">
                  <c:v>-16.739460894114085</c:v>
                </c:pt>
                <c:pt idx="533">
                  <c:v>-16.702268313856006</c:v>
                </c:pt>
                <c:pt idx="534">
                  <c:v>-16.665075733597931</c:v>
                </c:pt>
                <c:pt idx="535">
                  <c:v>-16.627883153339852</c:v>
                </c:pt>
                <c:pt idx="536">
                  <c:v>-16.590690573081773</c:v>
                </c:pt>
                <c:pt idx="537">
                  <c:v>-16.553497992823694</c:v>
                </c:pt>
                <c:pt idx="538">
                  <c:v>-16.516305412565615</c:v>
                </c:pt>
                <c:pt idx="539">
                  <c:v>-16.479112832307536</c:v>
                </c:pt>
                <c:pt idx="540">
                  <c:v>-16.441920252049457</c:v>
                </c:pt>
                <c:pt idx="541">
                  <c:v>-16.404727671791377</c:v>
                </c:pt>
                <c:pt idx="542">
                  <c:v>-16.367535091533302</c:v>
                </c:pt>
                <c:pt idx="543">
                  <c:v>-16.330342511275223</c:v>
                </c:pt>
                <c:pt idx="544">
                  <c:v>-16.293149931017144</c:v>
                </c:pt>
                <c:pt idx="545">
                  <c:v>-16.255957350759065</c:v>
                </c:pt>
                <c:pt idx="546">
                  <c:v>-16.218764770500986</c:v>
                </c:pt>
                <c:pt idx="547">
                  <c:v>-16.181572190242907</c:v>
                </c:pt>
                <c:pt idx="548">
                  <c:v>-16.144379609984828</c:v>
                </c:pt>
                <c:pt idx="549">
                  <c:v>-16.107187029726752</c:v>
                </c:pt>
                <c:pt idx="550">
                  <c:v>-16.069994449468673</c:v>
                </c:pt>
                <c:pt idx="551">
                  <c:v>-16.032801869210594</c:v>
                </c:pt>
                <c:pt idx="552">
                  <c:v>-15.995609288952515</c:v>
                </c:pt>
                <c:pt idx="553">
                  <c:v>-15.958416708694436</c:v>
                </c:pt>
                <c:pt idx="554">
                  <c:v>-15.921224128436357</c:v>
                </c:pt>
                <c:pt idx="555">
                  <c:v>-15.884031548178278</c:v>
                </c:pt>
                <c:pt idx="556">
                  <c:v>-15.846838967920199</c:v>
                </c:pt>
                <c:pt idx="557">
                  <c:v>-15.809646387662124</c:v>
                </c:pt>
                <c:pt idx="558">
                  <c:v>-15.772453807404045</c:v>
                </c:pt>
                <c:pt idx="559">
                  <c:v>-15.735261227145966</c:v>
                </c:pt>
                <c:pt idx="560">
                  <c:v>-15.698068646887887</c:v>
                </c:pt>
                <c:pt idx="561">
                  <c:v>-15.660876066629807</c:v>
                </c:pt>
                <c:pt idx="562">
                  <c:v>-15.623683486371728</c:v>
                </c:pt>
                <c:pt idx="563">
                  <c:v>-15.586490906113657</c:v>
                </c:pt>
                <c:pt idx="564">
                  <c:v>-15.549298325855577</c:v>
                </c:pt>
                <c:pt idx="565">
                  <c:v>-15.512105745597498</c:v>
                </c:pt>
                <c:pt idx="566">
                  <c:v>-15.474913165339419</c:v>
                </c:pt>
                <c:pt idx="567">
                  <c:v>-15.43772058508134</c:v>
                </c:pt>
                <c:pt idx="568">
                  <c:v>-15.400528004823261</c:v>
                </c:pt>
                <c:pt idx="569">
                  <c:v>-15.363335424565182</c:v>
                </c:pt>
                <c:pt idx="570">
                  <c:v>-15.326142844307103</c:v>
                </c:pt>
                <c:pt idx="571">
                  <c:v>-15.288950264049028</c:v>
                </c:pt>
                <c:pt idx="572">
                  <c:v>-15.251757683790949</c:v>
                </c:pt>
                <c:pt idx="573">
                  <c:v>-15.21456510353287</c:v>
                </c:pt>
                <c:pt idx="574">
                  <c:v>-15.177372523274791</c:v>
                </c:pt>
                <c:pt idx="575">
                  <c:v>-15.140179943016712</c:v>
                </c:pt>
                <c:pt idx="576">
                  <c:v>-15.102987362758633</c:v>
                </c:pt>
                <c:pt idx="577">
                  <c:v>-15.065794782500554</c:v>
                </c:pt>
                <c:pt idx="578">
                  <c:v>-15.028602202242478</c:v>
                </c:pt>
                <c:pt idx="579">
                  <c:v>-14.991409621984399</c:v>
                </c:pt>
                <c:pt idx="580">
                  <c:v>-14.95421704172632</c:v>
                </c:pt>
                <c:pt idx="581">
                  <c:v>-14.917024461468241</c:v>
                </c:pt>
                <c:pt idx="582">
                  <c:v>-14.879831881210162</c:v>
                </c:pt>
                <c:pt idx="583">
                  <c:v>-14.842639300952083</c:v>
                </c:pt>
                <c:pt idx="584">
                  <c:v>-14.805446720694004</c:v>
                </c:pt>
                <c:pt idx="585">
                  <c:v>-14.768254140435925</c:v>
                </c:pt>
                <c:pt idx="586">
                  <c:v>-14.731061560177849</c:v>
                </c:pt>
                <c:pt idx="587">
                  <c:v>-14.69386897991977</c:v>
                </c:pt>
                <c:pt idx="588">
                  <c:v>-14.656676399661691</c:v>
                </c:pt>
                <c:pt idx="589">
                  <c:v>-14.619483819403612</c:v>
                </c:pt>
                <c:pt idx="590">
                  <c:v>-14.582291239145533</c:v>
                </c:pt>
                <c:pt idx="591">
                  <c:v>-14.545098658887454</c:v>
                </c:pt>
                <c:pt idx="592">
                  <c:v>-14.507906078629375</c:v>
                </c:pt>
                <c:pt idx="593">
                  <c:v>-14.4707134983713</c:v>
                </c:pt>
                <c:pt idx="594">
                  <c:v>-14.433520918113221</c:v>
                </c:pt>
                <c:pt idx="595">
                  <c:v>-14.396328337855142</c:v>
                </c:pt>
                <c:pt idx="596">
                  <c:v>-14.359135757597063</c:v>
                </c:pt>
                <c:pt idx="597">
                  <c:v>-14.321943177338984</c:v>
                </c:pt>
                <c:pt idx="598">
                  <c:v>-14.284750597080905</c:v>
                </c:pt>
                <c:pt idx="599">
                  <c:v>-14.247558016822826</c:v>
                </c:pt>
                <c:pt idx="600">
                  <c:v>-14.210365436564746</c:v>
                </c:pt>
                <c:pt idx="601">
                  <c:v>-14.173172856306671</c:v>
                </c:pt>
                <c:pt idx="602">
                  <c:v>-14.135980276048592</c:v>
                </c:pt>
                <c:pt idx="603">
                  <c:v>-14.098787695790513</c:v>
                </c:pt>
                <c:pt idx="604">
                  <c:v>-14.061595115532434</c:v>
                </c:pt>
                <c:pt idx="605">
                  <c:v>-14.024402535274355</c:v>
                </c:pt>
                <c:pt idx="606">
                  <c:v>-13.987209955016276</c:v>
                </c:pt>
                <c:pt idx="607">
                  <c:v>-13.950017374758197</c:v>
                </c:pt>
                <c:pt idx="608">
                  <c:v>-13.912824794500118</c:v>
                </c:pt>
                <c:pt idx="609">
                  <c:v>-13.875632214242042</c:v>
                </c:pt>
                <c:pt idx="610">
                  <c:v>-13.838439633983963</c:v>
                </c:pt>
                <c:pt idx="611">
                  <c:v>-13.801247053725884</c:v>
                </c:pt>
                <c:pt idx="612">
                  <c:v>-13.764054473467805</c:v>
                </c:pt>
                <c:pt idx="613">
                  <c:v>-13.726861893209726</c:v>
                </c:pt>
                <c:pt idx="614">
                  <c:v>-13.689669312951647</c:v>
                </c:pt>
                <c:pt idx="615">
                  <c:v>-13.652476732693568</c:v>
                </c:pt>
                <c:pt idx="616">
                  <c:v>-13.615284152435493</c:v>
                </c:pt>
                <c:pt idx="617">
                  <c:v>-13.578091572177414</c:v>
                </c:pt>
                <c:pt idx="618">
                  <c:v>-13.540898991919335</c:v>
                </c:pt>
                <c:pt idx="619">
                  <c:v>-13.503706411661256</c:v>
                </c:pt>
                <c:pt idx="620">
                  <c:v>-13.466513831403176</c:v>
                </c:pt>
                <c:pt idx="621">
                  <c:v>-13.429321251145097</c:v>
                </c:pt>
                <c:pt idx="622">
                  <c:v>-13.392128670887018</c:v>
                </c:pt>
                <c:pt idx="623">
                  <c:v>-13.354936090628939</c:v>
                </c:pt>
                <c:pt idx="624">
                  <c:v>-13.317743510370864</c:v>
                </c:pt>
                <c:pt idx="625">
                  <c:v>-13.280550930112785</c:v>
                </c:pt>
                <c:pt idx="626">
                  <c:v>-13.243358349854706</c:v>
                </c:pt>
                <c:pt idx="627">
                  <c:v>-13.206165769596627</c:v>
                </c:pt>
                <c:pt idx="628">
                  <c:v>-13.168973189338548</c:v>
                </c:pt>
                <c:pt idx="629">
                  <c:v>-13.131780609080469</c:v>
                </c:pt>
                <c:pt idx="630">
                  <c:v>-13.09458802882239</c:v>
                </c:pt>
                <c:pt idx="631">
                  <c:v>-13.057395448564314</c:v>
                </c:pt>
                <c:pt idx="632">
                  <c:v>-13.020202868306235</c:v>
                </c:pt>
                <c:pt idx="633">
                  <c:v>-12.983010288048156</c:v>
                </c:pt>
                <c:pt idx="634">
                  <c:v>-12.945817707790077</c:v>
                </c:pt>
                <c:pt idx="635">
                  <c:v>-12.908625127531998</c:v>
                </c:pt>
                <c:pt idx="636">
                  <c:v>-12.871432547273919</c:v>
                </c:pt>
                <c:pt idx="637">
                  <c:v>-12.83423996701584</c:v>
                </c:pt>
                <c:pt idx="638">
                  <c:v>-12.797047386757761</c:v>
                </c:pt>
                <c:pt idx="639">
                  <c:v>-12.759854806499686</c:v>
                </c:pt>
                <c:pt idx="640">
                  <c:v>-12.722662226241606</c:v>
                </c:pt>
                <c:pt idx="641">
                  <c:v>-12.685469645983527</c:v>
                </c:pt>
                <c:pt idx="642">
                  <c:v>-12.648277065725448</c:v>
                </c:pt>
                <c:pt idx="643">
                  <c:v>-12.611084485467369</c:v>
                </c:pt>
                <c:pt idx="644">
                  <c:v>-12.57389190520929</c:v>
                </c:pt>
                <c:pt idx="645">
                  <c:v>-12.536699324951211</c:v>
                </c:pt>
                <c:pt idx="646">
                  <c:v>-12.499506744693136</c:v>
                </c:pt>
                <c:pt idx="647">
                  <c:v>-12.462314164435057</c:v>
                </c:pt>
                <c:pt idx="648">
                  <c:v>-12.425121584176978</c:v>
                </c:pt>
                <c:pt idx="649">
                  <c:v>-12.387929003918899</c:v>
                </c:pt>
                <c:pt idx="650">
                  <c:v>-12.35073642366082</c:v>
                </c:pt>
                <c:pt idx="651">
                  <c:v>-12.313543843402741</c:v>
                </c:pt>
                <c:pt idx="652">
                  <c:v>-12.276351263144662</c:v>
                </c:pt>
                <c:pt idx="653">
                  <c:v>-12.239158682886583</c:v>
                </c:pt>
                <c:pt idx="654">
                  <c:v>-12.201966102628507</c:v>
                </c:pt>
                <c:pt idx="655">
                  <c:v>-12.164773522370428</c:v>
                </c:pt>
                <c:pt idx="656">
                  <c:v>-12.127580942112349</c:v>
                </c:pt>
                <c:pt idx="657">
                  <c:v>-12.09038836185427</c:v>
                </c:pt>
                <c:pt idx="658">
                  <c:v>-12.053195781596191</c:v>
                </c:pt>
                <c:pt idx="659">
                  <c:v>-12.016003201338112</c:v>
                </c:pt>
                <c:pt idx="660">
                  <c:v>-11.978810621080033</c:v>
                </c:pt>
                <c:pt idx="661">
                  <c:v>-11.941618040821957</c:v>
                </c:pt>
                <c:pt idx="662">
                  <c:v>-11.904425460563878</c:v>
                </c:pt>
                <c:pt idx="663">
                  <c:v>-11.867232880305799</c:v>
                </c:pt>
                <c:pt idx="664">
                  <c:v>-11.83004030004772</c:v>
                </c:pt>
                <c:pt idx="665">
                  <c:v>-11.792847719789641</c:v>
                </c:pt>
                <c:pt idx="666">
                  <c:v>-11.755655139531562</c:v>
                </c:pt>
                <c:pt idx="667">
                  <c:v>-11.718462559273483</c:v>
                </c:pt>
                <c:pt idx="668">
                  <c:v>-11.681269979015404</c:v>
                </c:pt>
                <c:pt idx="669">
                  <c:v>-11.644077398757329</c:v>
                </c:pt>
                <c:pt idx="670">
                  <c:v>-11.60688481849925</c:v>
                </c:pt>
                <c:pt idx="671">
                  <c:v>-11.569692238241171</c:v>
                </c:pt>
                <c:pt idx="672">
                  <c:v>-11.532499657983092</c:v>
                </c:pt>
                <c:pt idx="673">
                  <c:v>-11.495307077725013</c:v>
                </c:pt>
                <c:pt idx="674">
                  <c:v>-11.458114497466934</c:v>
                </c:pt>
                <c:pt idx="675">
                  <c:v>-11.420921917208855</c:v>
                </c:pt>
                <c:pt idx="676">
                  <c:v>-11.383729336950779</c:v>
                </c:pt>
                <c:pt idx="677">
                  <c:v>-11.3465367566927</c:v>
                </c:pt>
                <c:pt idx="678">
                  <c:v>-11.309344176434621</c:v>
                </c:pt>
                <c:pt idx="679">
                  <c:v>-11.272151596176542</c:v>
                </c:pt>
                <c:pt idx="680">
                  <c:v>-11.234959015918463</c:v>
                </c:pt>
                <c:pt idx="681">
                  <c:v>-11.197766435660384</c:v>
                </c:pt>
                <c:pt idx="682">
                  <c:v>-11.160573855402305</c:v>
                </c:pt>
                <c:pt idx="683">
                  <c:v>-11.123381275144226</c:v>
                </c:pt>
                <c:pt idx="684">
                  <c:v>-11.08618869488615</c:v>
                </c:pt>
                <c:pt idx="685">
                  <c:v>-11.048996114628071</c:v>
                </c:pt>
                <c:pt idx="686">
                  <c:v>-11.011803534369992</c:v>
                </c:pt>
                <c:pt idx="687">
                  <c:v>-10.974610954111913</c:v>
                </c:pt>
                <c:pt idx="688">
                  <c:v>-10.937418373853838</c:v>
                </c:pt>
                <c:pt idx="689">
                  <c:v>-10.900225793595759</c:v>
                </c:pt>
                <c:pt idx="690">
                  <c:v>-10.863033213337683</c:v>
                </c:pt>
                <c:pt idx="691">
                  <c:v>-10.825840633079604</c:v>
                </c:pt>
                <c:pt idx="692">
                  <c:v>-10.788648052821525</c:v>
                </c:pt>
                <c:pt idx="693">
                  <c:v>-10.751455472563446</c:v>
                </c:pt>
                <c:pt idx="694">
                  <c:v>-10.714262892305367</c:v>
                </c:pt>
                <c:pt idx="695">
                  <c:v>-10.677070312047288</c:v>
                </c:pt>
                <c:pt idx="696">
                  <c:v>-10.639877731789209</c:v>
                </c:pt>
                <c:pt idx="697">
                  <c:v>-10.60268515153113</c:v>
                </c:pt>
                <c:pt idx="698">
                  <c:v>-10.565492571273055</c:v>
                </c:pt>
                <c:pt idx="699">
                  <c:v>-10.528299991014975</c:v>
                </c:pt>
                <c:pt idx="700">
                  <c:v>-10.491107410756896</c:v>
                </c:pt>
                <c:pt idx="701">
                  <c:v>-10.453914830498817</c:v>
                </c:pt>
                <c:pt idx="702">
                  <c:v>-10.416722250240738</c:v>
                </c:pt>
                <c:pt idx="703">
                  <c:v>-10.379529669982659</c:v>
                </c:pt>
                <c:pt idx="704">
                  <c:v>-10.34233708972458</c:v>
                </c:pt>
                <c:pt idx="705">
                  <c:v>-10.305144509466505</c:v>
                </c:pt>
                <c:pt idx="706">
                  <c:v>-10.267951929208426</c:v>
                </c:pt>
                <c:pt idx="707">
                  <c:v>-10.230759348950347</c:v>
                </c:pt>
                <c:pt idx="708">
                  <c:v>-10.193566768692268</c:v>
                </c:pt>
                <c:pt idx="709">
                  <c:v>-10.156374188434189</c:v>
                </c:pt>
                <c:pt idx="710">
                  <c:v>-10.11918160817611</c:v>
                </c:pt>
                <c:pt idx="711">
                  <c:v>-10.081989027918031</c:v>
                </c:pt>
                <c:pt idx="712">
                  <c:v>-10.044796447659952</c:v>
                </c:pt>
                <c:pt idx="713">
                  <c:v>-10.007603867401876</c:v>
                </c:pt>
                <c:pt idx="714">
                  <c:v>-9.9704112871437971</c:v>
                </c:pt>
                <c:pt idx="715">
                  <c:v>-9.9332187068857181</c:v>
                </c:pt>
                <c:pt idx="716">
                  <c:v>-9.896026126627639</c:v>
                </c:pt>
                <c:pt idx="717">
                  <c:v>-9.85883354636956</c:v>
                </c:pt>
                <c:pt idx="718">
                  <c:v>-9.821640966111481</c:v>
                </c:pt>
                <c:pt idx="719">
                  <c:v>-9.7844483858534019</c:v>
                </c:pt>
                <c:pt idx="720">
                  <c:v>-9.7472558055953264</c:v>
                </c:pt>
                <c:pt idx="721">
                  <c:v>-9.7100632253372474</c:v>
                </c:pt>
                <c:pt idx="722">
                  <c:v>-9.6728706450791684</c:v>
                </c:pt>
                <c:pt idx="723">
                  <c:v>-9.6356780648210894</c:v>
                </c:pt>
                <c:pt idx="724">
                  <c:v>-9.5984854845630103</c:v>
                </c:pt>
                <c:pt idx="725">
                  <c:v>-9.5612929043049313</c:v>
                </c:pt>
                <c:pt idx="726">
                  <c:v>-9.5241003240468523</c:v>
                </c:pt>
                <c:pt idx="727">
                  <c:v>-9.4869077437887732</c:v>
                </c:pt>
                <c:pt idx="728">
                  <c:v>-9.4497151635306977</c:v>
                </c:pt>
                <c:pt idx="729">
                  <c:v>-9.4125225832726187</c:v>
                </c:pt>
                <c:pt idx="730">
                  <c:v>-9.3753300030145397</c:v>
                </c:pt>
                <c:pt idx="731">
                  <c:v>-9.3381374227564606</c:v>
                </c:pt>
                <c:pt idx="732">
                  <c:v>-9.3009448424983816</c:v>
                </c:pt>
                <c:pt idx="733">
                  <c:v>-9.2637522622403026</c:v>
                </c:pt>
                <c:pt idx="734">
                  <c:v>-9.2265596819822235</c:v>
                </c:pt>
                <c:pt idx="735">
                  <c:v>-9.1893671017241481</c:v>
                </c:pt>
                <c:pt idx="736">
                  <c:v>-9.152174521466069</c:v>
                </c:pt>
                <c:pt idx="737">
                  <c:v>-9.11498194120799</c:v>
                </c:pt>
                <c:pt idx="738">
                  <c:v>-9.077789360949911</c:v>
                </c:pt>
                <c:pt idx="739">
                  <c:v>-9.0405967806918319</c:v>
                </c:pt>
                <c:pt idx="740">
                  <c:v>-9.0034042004337529</c:v>
                </c:pt>
                <c:pt idx="741">
                  <c:v>-8.9662116201756739</c:v>
                </c:pt>
                <c:pt idx="742">
                  <c:v>-8.9290190399175948</c:v>
                </c:pt>
                <c:pt idx="743">
                  <c:v>-8.8918264596595193</c:v>
                </c:pt>
                <c:pt idx="744">
                  <c:v>-8.8546338794014403</c:v>
                </c:pt>
                <c:pt idx="745">
                  <c:v>-8.8174412991433613</c:v>
                </c:pt>
                <c:pt idx="746">
                  <c:v>-8.7802487188852822</c:v>
                </c:pt>
                <c:pt idx="747">
                  <c:v>-8.7430561386272032</c:v>
                </c:pt>
                <c:pt idx="748">
                  <c:v>-8.7058635583691242</c:v>
                </c:pt>
                <c:pt idx="749">
                  <c:v>-8.6686709781110451</c:v>
                </c:pt>
                <c:pt idx="750">
                  <c:v>-8.6314783978529661</c:v>
                </c:pt>
                <c:pt idx="751">
                  <c:v>-8.5942858175948906</c:v>
                </c:pt>
                <c:pt idx="752">
                  <c:v>-8.5570932373368116</c:v>
                </c:pt>
                <c:pt idx="753">
                  <c:v>-8.5199006570787326</c:v>
                </c:pt>
                <c:pt idx="754">
                  <c:v>-8.4827080768206535</c:v>
                </c:pt>
                <c:pt idx="755">
                  <c:v>-8.4455154965625745</c:v>
                </c:pt>
                <c:pt idx="756">
                  <c:v>-8.4083229163044955</c:v>
                </c:pt>
                <c:pt idx="757">
                  <c:v>-8.3711303360464164</c:v>
                </c:pt>
                <c:pt idx="758">
                  <c:v>-8.333937755788341</c:v>
                </c:pt>
                <c:pt idx="759">
                  <c:v>-8.2967451755302619</c:v>
                </c:pt>
                <c:pt idx="760">
                  <c:v>-8.2595525952721829</c:v>
                </c:pt>
                <c:pt idx="761">
                  <c:v>-8.2223600150141039</c:v>
                </c:pt>
                <c:pt idx="762">
                  <c:v>-8.1851674347560248</c:v>
                </c:pt>
                <c:pt idx="763">
                  <c:v>-8.1479748544979458</c:v>
                </c:pt>
                <c:pt idx="764">
                  <c:v>-8.1107822742398668</c:v>
                </c:pt>
                <c:pt idx="765">
                  <c:v>-8.0735896939817877</c:v>
                </c:pt>
                <c:pt idx="766">
                  <c:v>-8.0363971137237122</c:v>
                </c:pt>
                <c:pt idx="767">
                  <c:v>-7.9992045334656332</c:v>
                </c:pt>
                <c:pt idx="768">
                  <c:v>-7.9620119532075542</c:v>
                </c:pt>
                <c:pt idx="769">
                  <c:v>-7.9248193729494751</c:v>
                </c:pt>
                <c:pt idx="770">
                  <c:v>-7.8876267926913961</c:v>
                </c:pt>
                <c:pt idx="771">
                  <c:v>-7.8504342124333171</c:v>
                </c:pt>
                <c:pt idx="772">
                  <c:v>-7.813241632175238</c:v>
                </c:pt>
                <c:pt idx="773">
                  <c:v>-7.7760490519171626</c:v>
                </c:pt>
                <c:pt idx="774">
                  <c:v>-7.7388564716590835</c:v>
                </c:pt>
                <c:pt idx="775">
                  <c:v>-7.7016638914010045</c:v>
                </c:pt>
                <c:pt idx="776">
                  <c:v>-7.6644713111429255</c:v>
                </c:pt>
                <c:pt idx="777">
                  <c:v>-7.6272787308848464</c:v>
                </c:pt>
                <c:pt idx="778">
                  <c:v>-7.5900861506267674</c:v>
                </c:pt>
                <c:pt idx="779">
                  <c:v>-7.5528935703686884</c:v>
                </c:pt>
                <c:pt idx="780">
                  <c:v>-7.5157009901106093</c:v>
                </c:pt>
                <c:pt idx="781">
                  <c:v>-7.4785084098525338</c:v>
                </c:pt>
                <c:pt idx="782">
                  <c:v>-7.4413158295944548</c:v>
                </c:pt>
                <c:pt idx="783">
                  <c:v>-7.4041232493363758</c:v>
                </c:pt>
                <c:pt idx="784">
                  <c:v>-7.3669306690782967</c:v>
                </c:pt>
                <c:pt idx="785">
                  <c:v>-7.3297380888202177</c:v>
                </c:pt>
                <c:pt idx="786">
                  <c:v>-7.2925455085621387</c:v>
                </c:pt>
                <c:pt idx="787">
                  <c:v>-7.2553529283040596</c:v>
                </c:pt>
                <c:pt idx="788">
                  <c:v>-7.2181603480459842</c:v>
                </c:pt>
                <c:pt idx="789">
                  <c:v>-7.1809677677879051</c:v>
                </c:pt>
                <c:pt idx="790">
                  <c:v>-7.1437751875298261</c:v>
                </c:pt>
                <c:pt idx="791">
                  <c:v>-7.1065826072717471</c:v>
                </c:pt>
                <c:pt idx="792">
                  <c:v>-7.069390027013668</c:v>
                </c:pt>
                <c:pt idx="793">
                  <c:v>-7.032197446755589</c:v>
                </c:pt>
                <c:pt idx="794">
                  <c:v>-6.99500486649751</c:v>
                </c:pt>
                <c:pt idx="795">
                  <c:v>-6.9578122862394309</c:v>
                </c:pt>
                <c:pt idx="796">
                  <c:v>-6.9206197059813555</c:v>
                </c:pt>
                <c:pt idx="797">
                  <c:v>-6.8834271257232764</c:v>
                </c:pt>
                <c:pt idx="798">
                  <c:v>-6.8462345454651974</c:v>
                </c:pt>
                <c:pt idx="799">
                  <c:v>-6.8090419652071184</c:v>
                </c:pt>
                <c:pt idx="800">
                  <c:v>-6.7718493849490393</c:v>
                </c:pt>
                <c:pt idx="801">
                  <c:v>-6.7346568046909603</c:v>
                </c:pt>
                <c:pt idx="802">
                  <c:v>-6.6974642244328813</c:v>
                </c:pt>
                <c:pt idx="803">
                  <c:v>-6.6602716441748058</c:v>
                </c:pt>
                <c:pt idx="804">
                  <c:v>-6.6230790639167267</c:v>
                </c:pt>
                <c:pt idx="805">
                  <c:v>-6.5858864836586477</c:v>
                </c:pt>
                <c:pt idx="806">
                  <c:v>-6.5486939034005687</c:v>
                </c:pt>
                <c:pt idx="807">
                  <c:v>-6.5115013231424896</c:v>
                </c:pt>
                <c:pt idx="808">
                  <c:v>-6.4743087428844106</c:v>
                </c:pt>
                <c:pt idx="809">
                  <c:v>-6.4371161626263316</c:v>
                </c:pt>
                <c:pt idx="810">
                  <c:v>-6.3999235823682525</c:v>
                </c:pt>
                <c:pt idx="811">
                  <c:v>-6.3627310021101771</c:v>
                </c:pt>
                <c:pt idx="812">
                  <c:v>-6.325538421852098</c:v>
                </c:pt>
                <c:pt idx="813">
                  <c:v>-6.2883458415940225</c:v>
                </c:pt>
                <c:pt idx="814">
                  <c:v>-6.2511532613359435</c:v>
                </c:pt>
                <c:pt idx="815">
                  <c:v>-6.2139606810778645</c:v>
                </c:pt>
                <c:pt idx="816">
                  <c:v>-6.1767681008197854</c:v>
                </c:pt>
                <c:pt idx="817">
                  <c:v>-6.13957552056171</c:v>
                </c:pt>
                <c:pt idx="818">
                  <c:v>-6.1023829403036309</c:v>
                </c:pt>
                <c:pt idx="819">
                  <c:v>-6.0651903600455519</c:v>
                </c:pt>
                <c:pt idx="820">
                  <c:v>-6.0279977797874729</c:v>
                </c:pt>
                <c:pt idx="821">
                  <c:v>-5.9908051995293938</c:v>
                </c:pt>
                <c:pt idx="822">
                  <c:v>-5.9536126192713148</c:v>
                </c:pt>
                <c:pt idx="823">
                  <c:v>-5.9164200390132358</c:v>
                </c:pt>
                <c:pt idx="824">
                  <c:v>-5.8792274587551567</c:v>
                </c:pt>
                <c:pt idx="825">
                  <c:v>-5.8420348784970813</c:v>
                </c:pt>
                <c:pt idx="826">
                  <c:v>-5.8048422982390022</c:v>
                </c:pt>
                <c:pt idx="827">
                  <c:v>-5.7676497179809232</c:v>
                </c:pt>
                <c:pt idx="828">
                  <c:v>-5.7304571377228442</c:v>
                </c:pt>
                <c:pt idx="829">
                  <c:v>-5.6932645574647651</c:v>
                </c:pt>
                <c:pt idx="830">
                  <c:v>-5.6560719772066861</c:v>
                </c:pt>
                <c:pt idx="831">
                  <c:v>-5.6188793969486071</c:v>
                </c:pt>
                <c:pt idx="832">
                  <c:v>-5.5816868166905316</c:v>
                </c:pt>
                <c:pt idx="833">
                  <c:v>-5.5444942364324525</c:v>
                </c:pt>
                <c:pt idx="834">
                  <c:v>-5.5073016561743735</c:v>
                </c:pt>
                <c:pt idx="835">
                  <c:v>-5.4701090759162945</c:v>
                </c:pt>
                <c:pt idx="836">
                  <c:v>-5.4329164956582154</c:v>
                </c:pt>
                <c:pt idx="837">
                  <c:v>-5.3957239154001364</c:v>
                </c:pt>
                <c:pt idx="838">
                  <c:v>-5.3585313351420574</c:v>
                </c:pt>
                <c:pt idx="839">
                  <c:v>-5.3213387548839783</c:v>
                </c:pt>
                <c:pt idx="840">
                  <c:v>-5.2841461746259029</c:v>
                </c:pt>
                <c:pt idx="841">
                  <c:v>-5.2469535943678238</c:v>
                </c:pt>
                <c:pt idx="842">
                  <c:v>-5.2097610141097448</c:v>
                </c:pt>
                <c:pt idx="843">
                  <c:v>-5.1725684338516658</c:v>
                </c:pt>
                <c:pt idx="844">
                  <c:v>-5.1353758535935867</c:v>
                </c:pt>
                <c:pt idx="845">
                  <c:v>-5.0981832733355077</c:v>
                </c:pt>
                <c:pt idx="846">
                  <c:v>-5.0609906930774287</c:v>
                </c:pt>
                <c:pt idx="847">
                  <c:v>-5.0237981128193532</c:v>
                </c:pt>
                <c:pt idx="848">
                  <c:v>-4.9866055325612741</c:v>
                </c:pt>
                <c:pt idx="849">
                  <c:v>-4.9494129523031951</c:v>
                </c:pt>
                <c:pt idx="850">
                  <c:v>-4.9122203720451161</c:v>
                </c:pt>
                <c:pt idx="851">
                  <c:v>-4.875027791787037</c:v>
                </c:pt>
                <c:pt idx="852">
                  <c:v>-4.837835211528958</c:v>
                </c:pt>
                <c:pt idx="853">
                  <c:v>-4.800642631270879</c:v>
                </c:pt>
                <c:pt idx="854">
                  <c:v>-4.7634500510127999</c:v>
                </c:pt>
                <c:pt idx="855">
                  <c:v>-4.7262574707547245</c:v>
                </c:pt>
                <c:pt idx="856">
                  <c:v>-4.6890648904966454</c:v>
                </c:pt>
                <c:pt idx="857">
                  <c:v>-4.6518723102385664</c:v>
                </c:pt>
                <c:pt idx="858">
                  <c:v>-4.6146797299804874</c:v>
                </c:pt>
                <c:pt idx="859">
                  <c:v>-4.5774871497224083</c:v>
                </c:pt>
                <c:pt idx="860">
                  <c:v>-4.5402945694643293</c:v>
                </c:pt>
                <c:pt idx="861">
                  <c:v>-4.5031019892062503</c:v>
                </c:pt>
                <c:pt idx="862">
                  <c:v>-4.4659094089481712</c:v>
                </c:pt>
                <c:pt idx="863">
                  <c:v>-4.4287168286900922</c:v>
                </c:pt>
                <c:pt idx="864">
                  <c:v>-4.3915242484320132</c:v>
                </c:pt>
                <c:pt idx="865">
                  <c:v>-4.3543316681739341</c:v>
                </c:pt>
                <c:pt idx="866">
                  <c:v>-4.3171390879158622</c:v>
                </c:pt>
                <c:pt idx="867">
                  <c:v>-4.2799465076577832</c:v>
                </c:pt>
                <c:pt idx="868">
                  <c:v>-4.2427539273997041</c:v>
                </c:pt>
                <c:pt idx="869">
                  <c:v>-4.2055613471416251</c:v>
                </c:pt>
                <c:pt idx="870">
                  <c:v>-4.1683687668835461</c:v>
                </c:pt>
                <c:pt idx="871">
                  <c:v>-4.131176186625467</c:v>
                </c:pt>
                <c:pt idx="872">
                  <c:v>-4.093983606367388</c:v>
                </c:pt>
                <c:pt idx="873">
                  <c:v>-4.056791026109309</c:v>
                </c:pt>
                <c:pt idx="874">
                  <c:v>-4.0195984458512299</c:v>
                </c:pt>
                <c:pt idx="875">
                  <c:v>-3.9824058655931509</c:v>
                </c:pt>
                <c:pt idx="876">
                  <c:v>-3.9452132853350719</c:v>
                </c:pt>
                <c:pt idx="877">
                  <c:v>-3.9080207050769928</c:v>
                </c:pt>
                <c:pt idx="878">
                  <c:v>-3.8708281248189138</c:v>
                </c:pt>
                <c:pt idx="879">
                  <c:v>-3.8336355445608348</c:v>
                </c:pt>
                <c:pt idx="880">
                  <c:v>-3.7964429643027557</c:v>
                </c:pt>
                <c:pt idx="881">
                  <c:v>-3.7592503840446838</c:v>
                </c:pt>
                <c:pt idx="882">
                  <c:v>-3.7220578037866048</c:v>
                </c:pt>
                <c:pt idx="883">
                  <c:v>-3.6848652235285257</c:v>
                </c:pt>
                <c:pt idx="884">
                  <c:v>-3.6476726432704467</c:v>
                </c:pt>
                <c:pt idx="885">
                  <c:v>-3.6104800630123677</c:v>
                </c:pt>
                <c:pt idx="886">
                  <c:v>-3.5732874827542886</c:v>
                </c:pt>
                <c:pt idx="887">
                  <c:v>-3.5360949024962096</c:v>
                </c:pt>
                <c:pt idx="888">
                  <c:v>-3.4989023222381306</c:v>
                </c:pt>
                <c:pt idx="889">
                  <c:v>-3.4617097419800515</c:v>
                </c:pt>
                <c:pt idx="890">
                  <c:v>-3.4245171617219725</c:v>
                </c:pt>
                <c:pt idx="891">
                  <c:v>-3.3873245814638935</c:v>
                </c:pt>
                <c:pt idx="892">
                  <c:v>-3.3501320012058144</c:v>
                </c:pt>
                <c:pt idx="893">
                  <c:v>-3.3129394209477354</c:v>
                </c:pt>
                <c:pt idx="894">
                  <c:v>-3.2757468406896564</c:v>
                </c:pt>
                <c:pt idx="895">
                  <c:v>-3.2385542604315773</c:v>
                </c:pt>
                <c:pt idx="896">
                  <c:v>-3.2013616801735054</c:v>
                </c:pt>
                <c:pt idx="897">
                  <c:v>-3.1641690999154264</c:v>
                </c:pt>
                <c:pt idx="898">
                  <c:v>-3.1269765196573474</c:v>
                </c:pt>
                <c:pt idx="899">
                  <c:v>-3.0897839393992683</c:v>
                </c:pt>
                <c:pt idx="900">
                  <c:v>-3.0525913591411893</c:v>
                </c:pt>
                <c:pt idx="901">
                  <c:v>-3.0153987788831103</c:v>
                </c:pt>
                <c:pt idx="902">
                  <c:v>-2.9782061986250312</c:v>
                </c:pt>
                <c:pt idx="903">
                  <c:v>-2.9410136183669522</c:v>
                </c:pt>
                <c:pt idx="904">
                  <c:v>-2.9038210381088732</c:v>
                </c:pt>
                <c:pt idx="905">
                  <c:v>-2.8666284578507941</c:v>
                </c:pt>
                <c:pt idx="906">
                  <c:v>-2.8294358775927151</c:v>
                </c:pt>
                <c:pt idx="907">
                  <c:v>-2.7922432973346361</c:v>
                </c:pt>
                <c:pt idx="908">
                  <c:v>-2.755050717076557</c:v>
                </c:pt>
                <c:pt idx="909">
                  <c:v>-2.717858136818478</c:v>
                </c:pt>
                <c:pt idx="910">
                  <c:v>-2.680665556560399</c:v>
                </c:pt>
                <c:pt idx="911">
                  <c:v>-2.643472976302327</c:v>
                </c:pt>
                <c:pt idx="912">
                  <c:v>-2.606280396044248</c:v>
                </c:pt>
                <c:pt idx="913">
                  <c:v>-2.569087815786169</c:v>
                </c:pt>
                <c:pt idx="914">
                  <c:v>-2.5318952355280899</c:v>
                </c:pt>
                <c:pt idx="915">
                  <c:v>-2.4947026552700109</c:v>
                </c:pt>
                <c:pt idx="916">
                  <c:v>-2.4575100750119319</c:v>
                </c:pt>
                <c:pt idx="917">
                  <c:v>-2.4203174947538528</c:v>
                </c:pt>
                <c:pt idx="918">
                  <c:v>-2.3831249144957738</c:v>
                </c:pt>
                <c:pt idx="919">
                  <c:v>-2.3459323342376948</c:v>
                </c:pt>
                <c:pt idx="920">
                  <c:v>-2.3087397539796157</c:v>
                </c:pt>
                <c:pt idx="921">
                  <c:v>-2.2715471737215367</c:v>
                </c:pt>
                <c:pt idx="922">
                  <c:v>-2.2343545934634577</c:v>
                </c:pt>
                <c:pt idx="923">
                  <c:v>-2.1971620132053786</c:v>
                </c:pt>
                <c:pt idx="924">
                  <c:v>-2.1599694329472996</c:v>
                </c:pt>
                <c:pt idx="925">
                  <c:v>-2.1227768526892206</c:v>
                </c:pt>
                <c:pt idx="926">
                  <c:v>-2.0855842724311486</c:v>
                </c:pt>
                <c:pt idx="927">
                  <c:v>-2.0483916921730696</c:v>
                </c:pt>
                <c:pt idx="928">
                  <c:v>-2.0111991119149906</c:v>
                </c:pt>
                <c:pt idx="929">
                  <c:v>-1.9740065316569115</c:v>
                </c:pt>
                <c:pt idx="930">
                  <c:v>-1.9368139513988325</c:v>
                </c:pt>
                <c:pt idx="931">
                  <c:v>-1.8996213711407535</c:v>
                </c:pt>
                <c:pt idx="932">
                  <c:v>-1.8624287908826744</c:v>
                </c:pt>
                <c:pt idx="933">
                  <c:v>-1.8252362106245954</c:v>
                </c:pt>
                <c:pt idx="934">
                  <c:v>-1.7880436303665164</c:v>
                </c:pt>
                <c:pt idx="935">
                  <c:v>-1.7508510501084373</c:v>
                </c:pt>
                <c:pt idx="936">
                  <c:v>-1.7136584698503583</c:v>
                </c:pt>
                <c:pt idx="937">
                  <c:v>-1.6764658895922793</c:v>
                </c:pt>
                <c:pt idx="938">
                  <c:v>-1.6392733093342073</c:v>
                </c:pt>
                <c:pt idx="939">
                  <c:v>-1.6020807290761283</c:v>
                </c:pt>
                <c:pt idx="940">
                  <c:v>-1.5648881488180493</c:v>
                </c:pt>
                <c:pt idx="941">
                  <c:v>-1.5276955685599702</c:v>
                </c:pt>
                <c:pt idx="942">
                  <c:v>-1.4905029883018912</c:v>
                </c:pt>
                <c:pt idx="943">
                  <c:v>-1.4533104080438122</c:v>
                </c:pt>
                <c:pt idx="944">
                  <c:v>-1.4161178277857331</c:v>
                </c:pt>
                <c:pt idx="945">
                  <c:v>-1.3789252475276541</c:v>
                </c:pt>
                <c:pt idx="946">
                  <c:v>-1.3417326672695751</c:v>
                </c:pt>
                <c:pt idx="947">
                  <c:v>-1.304540087011496</c:v>
                </c:pt>
                <c:pt idx="948">
                  <c:v>-1.2673475067534241</c:v>
                </c:pt>
                <c:pt idx="949">
                  <c:v>-1.2301549264953451</c:v>
                </c:pt>
                <c:pt idx="950">
                  <c:v>-1.192962346237266</c:v>
                </c:pt>
                <c:pt idx="951">
                  <c:v>-1.155769765979187</c:v>
                </c:pt>
                <c:pt idx="952">
                  <c:v>-1.118577185721108</c:v>
                </c:pt>
                <c:pt idx="953">
                  <c:v>-1.0813846054630289</c:v>
                </c:pt>
                <c:pt idx="954">
                  <c:v>-1.0441920252049499</c:v>
                </c:pt>
                <c:pt idx="955">
                  <c:v>-1.0069994449468709</c:v>
                </c:pt>
                <c:pt idx="956">
                  <c:v>-0.96980686468879185</c:v>
                </c:pt>
                <c:pt idx="957">
                  <c:v>-0.93261428443071281</c:v>
                </c:pt>
                <c:pt idx="958">
                  <c:v>-0.89542170417263378</c:v>
                </c:pt>
                <c:pt idx="959">
                  <c:v>-0.85822912391455475</c:v>
                </c:pt>
                <c:pt idx="960">
                  <c:v>-0.82103654365647571</c:v>
                </c:pt>
                <c:pt idx="961">
                  <c:v>-0.78384396339839668</c:v>
                </c:pt>
                <c:pt idx="962">
                  <c:v>-0.74665138314031765</c:v>
                </c:pt>
                <c:pt idx="963">
                  <c:v>-0.70945880288224572</c:v>
                </c:pt>
                <c:pt idx="964">
                  <c:v>-0.67226622262416669</c:v>
                </c:pt>
                <c:pt idx="965">
                  <c:v>-0.63507364236608765</c:v>
                </c:pt>
                <c:pt idx="966">
                  <c:v>-0.59788106210800862</c:v>
                </c:pt>
                <c:pt idx="967">
                  <c:v>-0.56068848184992959</c:v>
                </c:pt>
                <c:pt idx="968">
                  <c:v>-0.52349590159185055</c:v>
                </c:pt>
                <c:pt idx="969">
                  <c:v>-0.48630332133377152</c:v>
                </c:pt>
                <c:pt idx="970">
                  <c:v>-0.44911074107569249</c:v>
                </c:pt>
                <c:pt idx="971">
                  <c:v>-0.41191816081761345</c:v>
                </c:pt>
                <c:pt idx="972">
                  <c:v>-0.37472558055953442</c:v>
                </c:pt>
                <c:pt idx="973">
                  <c:v>-0.33753300030145539</c:v>
                </c:pt>
                <c:pt idx="974">
                  <c:v>-0.30034042004337635</c:v>
                </c:pt>
                <c:pt idx="975">
                  <c:v>-0.26314783978529732</c:v>
                </c:pt>
                <c:pt idx="976">
                  <c:v>-0.22595525952721829</c:v>
                </c:pt>
                <c:pt idx="977">
                  <c:v>-0.18876267926913926</c:v>
                </c:pt>
                <c:pt idx="978">
                  <c:v>-0.15157009901106733</c:v>
                </c:pt>
                <c:pt idx="979">
                  <c:v>-0.11437751875298829</c:v>
                </c:pt>
                <c:pt idx="980">
                  <c:v>-7.7184938494909261E-2</c:v>
                </c:pt>
                <c:pt idx="981">
                  <c:v>-3.9992358236830228E-2</c:v>
                </c:pt>
                <c:pt idx="982">
                  <c:v>-2.7997779787511945E-3</c:v>
                </c:pt>
                <c:pt idx="983">
                  <c:v>3.4392802279327839E-2</c:v>
                </c:pt>
                <c:pt idx="984">
                  <c:v>7.1585382537406872E-2</c:v>
                </c:pt>
                <c:pt idx="985">
                  <c:v>0.10877796279548591</c:v>
                </c:pt>
                <c:pt idx="986">
                  <c:v>0.14597054305356494</c:v>
                </c:pt>
                <c:pt idx="987">
                  <c:v>0.18316312331164397</c:v>
                </c:pt>
                <c:pt idx="988">
                  <c:v>0.220355703569723</c:v>
                </c:pt>
                <c:pt idx="989">
                  <c:v>0.25754828382780204</c:v>
                </c:pt>
                <c:pt idx="990">
                  <c:v>0.29474086408588107</c:v>
                </c:pt>
                <c:pt idx="991">
                  <c:v>0.3319334443439601</c:v>
                </c:pt>
                <c:pt idx="992">
                  <c:v>0.36912602460203914</c:v>
                </c:pt>
                <c:pt idx="993">
                  <c:v>0.40631860486011107</c:v>
                </c:pt>
                <c:pt idx="994">
                  <c:v>0.4435111851181901</c:v>
                </c:pt>
                <c:pt idx="995">
                  <c:v>0.48070376537626913</c:v>
                </c:pt>
                <c:pt idx="996">
                  <c:v>0.51789634563434817</c:v>
                </c:pt>
                <c:pt idx="997">
                  <c:v>0.5550889258924272</c:v>
                </c:pt>
                <c:pt idx="998">
                  <c:v>0.59228150615050623</c:v>
                </c:pt>
                <c:pt idx="999">
                  <c:v>0.62947408640858526</c:v>
                </c:pt>
                <c:pt idx="1000">
                  <c:v>0.6666666666666643</c:v>
                </c:pt>
              </c:numCache>
            </c:numRef>
          </c:xVal>
          <c:yVal>
            <c:numRef>
              <c:f>MPa!$H$28:$H$1028</c:f>
              <c:numCache>
                <c:formatCode>General</c:formatCode>
                <c:ptCount val="1001"/>
                <c:pt idx="0">
                  <c:v>0</c:v>
                </c:pt>
                <c:pt idx="1">
                  <c:v>0.95411027271932269</c:v>
                </c:pt>
                <c:pt idx="2">
                  <c:v>1.3482412250618081</c:v>
                </c:pt>
                <c:pt idx="3">
                  <c:v>1.6499358765460082</c:v>
                </c:pt>
                <c:pt idx="4">
                  <c:v>1.9036630027983577</c:v>
                </c:pt>
                <c:pt idx="5">
                  <c:v>2.1266622019020009</c:v>
                </c:pt>
                <c:pt idx="6">
                  <c:v>2.3277823561546378</c:v>
                </c:pt>
                <c:pt idx="7">
                  <c:v>2.5122844141851854</c:v>
                </c:pt>
                <c:pt idx="8">
                  <c:v>2.6835989600022225</c:v>
                </c:pt>
                <c:pt idx="9">
                  <c:v>2.844110812279582</c:v>
                </c:pt>
                <c:pt idx="10">
                  <c:v>2.995557743030425</c:v>
                </c:pt>
                <c:pt idx="11">
                  <c:v>3.1392526855890859</c:v>
                </c:pt>
                <c:pt idx="12">
                  <c:v>3.2762164784984158</c:v>
                </c:pt>
                <c:pt idx="13">
                  <c:v>3.4072615931173287</c:v>
                </c:pt>
                <c:pt idx="14">
                  <c:v>3.5330473069260284</c:v>
                </c:pt>
                <c:pt idx="15">
                  <c:v>3.6541173951237158</c:v>
                </c:pt>
                <c:pt idx="16">
                  <c:v>3.7709266699759292</c:v>
                </c:pt>
                <c:pt idx="17">
                  <c:v>3.8838601548352285</c:v>
                </c:pt>
                <c:pt idx="18">
                  <c:v>3.9932472476330774</c:v>
                </c:pt>
                <c:pt idx="19">
                  <c:v>4.099372387339919</c:v>
                </c:pt>
                <c:pt idx="20">
                  <c:v>4.202483224471866</c:v>
                </c:pt>
                <c:pt idx="21">
                  <c:v>4.3027969746469621</c:v>
                </c:pt>
                <c:pt idx="22">
                  <c:v>4.4005054260847682</c:v>
                </c:pt>
                <c:pt idx="23">
                  <c:v>4.4957789341421304</c:v>
                </c:pt>
                <c:pt idx="24">
                  <c:v>4.588769642717244</c:v>
                </c:pt>
                <c:pt idx="25">
                  <c:v>4.6796141079882716</c:v>
                </c:pt>
                <c:pt idx="26">
                  <c:v>4.7684354547341599</c:v>
                </c:pt>
                <c:pt idx="27">
                  <c:v>4.8553451632046096</c:v>
                </c:pt>
                <c:pt idx="28">
                  <c:v>4.9404445611202306</c:v>
                </c:pt>
                <c:pt idx="29">
                  <c:v>5.0238260782131912</c:v>
                </c:pt>
                <c:pt idx="30">
                  <c:v>5.1055743079547904</c:v>
                </c:pt>
                <c:pt idx="31">
                  <c:v>5.1857669115194094</c:v>
                </c:pt>
                <c:pt idx="32">
                  <c:v>5.264475391742109</c:v>
                </c:pt>
                <c:pt idx="33">
                  <c:v>5.3417657592320875</c:v>
                </c:pt>
                <c:pt idx="34">
                  <c:v>5.4176991084711874</c:v>
                </c:pt>
                <c:pt idx="35">
                  <c:v>5.4923321183433886</c:v>
                </c:pt>
                <c:pt idx="36">
                  <c:v>5.5657174888777012</c:v>
                </c:pt>
                <c:pt idx="37">
                  <c:v>5.637904323874551</c:v>
                </c:pt>
                <c:pt idx="38">
                  <c:v>5.7089384673988057</c:v>
                </c:pt>
                <c:pt idx="39">
                  <c:v>5.7788628007666425</c:v>
                </c:pt>
                <c:pt idx="40">
                  <c:v>5.8477175055562336</c:v>
                </c:pt>
                <c:pt idx="41">
                  <c:v>5.9155402972796516</c:v>
                </c:pt>
                <c:pt idx="42">
                  <c:v>5.9823666336232133</c:v>
                </c:pt>
                <c:pt idx="43">
                  <c:v>6.0482299005625464</c:v>
                </c:pt>
                <c:pt idx="44">
                  <c:v>6.113161579162254</c:v>
                </c:pt>
                <c:pt idx="45">
                  <c:v>6.1771913954575179</c:v>
                </c:pt>
                <c:pt idx="46">
                  <c:v>6.2403474554709417</c:v>
                </c:pt>
                <c:pt idx="47">
                  <c:v>6.3026563671295559</c:v>
                </c:pt>
                <c:pt idx="48">
                  <c:v>6.3641433506044338</c:v>
                </c:pt>
                <c:pt idx="49">
                  <c:v>6.4248323383902708</c:v>
                </c:pt>
                <c:pt idx="50">
                  <c:v>6.4847460662688539</c:v>
                </c:pt>
                <c:pt idx="51">
                  <c:v>6.5439061561523468</c:v>
                </c:pt>
                <c:pt idx="52">
                  <c:v>6.6023331916761112</c:v>
                </c:pt>
                <c:pt idx="53">
                  <c:v>6.6600467873029343</c:v>
                </c:pt>
                <c:pt idx="54">
                  <c:v>6.7170656516074381</c:v>
                </c:pt>
                <c:pt idx="55">
                  <c:v>6.7734076453294954</c:v>
                </c:pt>
                <c:pt idx="56">
                  <c:v>6.8290898347162825</c:v>
                </c:pt>
                <c:pt idx="57">
                  <c:v>6.8841285406126538</c:v>
                </c:pt>
                <c:pt idx="58">
                  <c:v>6.9385393837073703</c:v>
                </c:pt>
                <c:pt idx="59">
                  <c:v>6.992337326297358</c:v>
                </c:pt>
                <c:pt idx="60">
                  <c:v>7.0455367108923754</c:v>
                </c:pt>
                <c:pt idx="61">
                  <c:v>7.0981512959479653</c:v>
                </c:pt>
                <c:pt idx="62">
                  <c:v>7.1501942889837888</c:v>
                </c:pt>
                <c:pt idx="63">
                  <c:v>7.2016783773178474</c:v>
                </c:pt>
                <c:pt idx="64">
                  <c:v>7.25261575662336</c:v>
                </c:pt>
                <c:pt idx="65">
                  <c:v>7.3030181574942583</c:v>
                </c:pt>
                <c:pt idx="66">
                  <c:v>7.3528968701865338</c:v>
                </c:pt>
                <c:pt idx="67">
                  <c:v>7.4022627676866781</c:v>
                </c:pt>
                <c:pt idx="68">
                  <c:v>7.4511263272435038</c:v>
                </c:pt>
                <c:pt idx="69">
                  <c:v>7.4994976504869157</c:v>
                </c:pt>
                <c:pt idx="70">
                  <c:v>7.5473864822454662</c:v>
                </c:pt>
                <c:pt idx="71">
                  <c:v>7.5948022281643173</c:v>
                </c:pt>
                <c:pt idx="72">
                  <c:v>7.6417539712159144</c:v>
                </c:pt>
                <c:pt idx="73">
                  <c:v>7.6882504871874344</c:v>
                </c:pt>
                <c:pt idx="74">
                  <c:v>7.7343002592215369</c:v>
                </c:pt>
                <c:pt idx="75">
                  <c:v>7.7799114914804051</c:v>
                </c:pt>
                <c:pt idx="76">
                  <c:v>7.825092121996903</c:v>
                </c:pt>
                <c:pt idx="77">
                  <c:v>7.8698498347712667</c:v>
                </c:pt>
                <c:pt idx="78">
                  <c:v>7.9141920711669718</c:v>
                </c:pt>
                <c:pt idx="79">
                  <c:v>7.958126040654725</c:v>
                </c:pt>
                <c:pt idx="80">
                  <c:v>8.001658730949794</c:v>
                </c:pt>
                <c:pt idx="81">
                  <c:v>8.0447969175840495</c:v>
                </c:pt>
                <c:pt idx="82">
                  <c:v>8.0875471729508579</c:v>
                </c:pt>
                <c:pt idx="83">
                  <c:v>8.1299158748579643</c:v>
                </c:pt>
                <c:pt idx="84">
                  <c:v>8.1719092146207242</c:v>
                </c:pt>
                <c:pt idx="85">
                  <c:v>8.2135332047256249</c:v>
                </c:pt>
                <c:pt idx="86">
                  <c:v>8.2547936860916664</c:v>
                </c:pt>
                <c:pt idx="87">
                  <c:v>8.295696334955224</c:v>
                </c:pt>
                <c:pt idx="88">
                  <c:v>8.3362466694019091</c:v>
                </c:pt>
                <c:pt idx="89">
                  <c:v>8.3764500555675205</c:v>
                </c:pt>
                <c:pt idx="90">
                  <c:v>8.4163117135282253</c:v>
                </c:pt>
                <c:pt idx="91">
                  <c:v>8.4558367228989439</c:v>
                </c:pt>
                <c:pt idx="92">
                  <c:v>8.4950300281574158</c:v>
                </c:pt>
                <c:pt idx="93">
                  <c:v>8.5338964437102831</c:v>
                </c:pt>
                <c:pt idx="94">
                  <c:v>8.5724406587161983</c:v>
                </c:pt>
                <c:pt idx="95">
                  <c:v>8.6106672416803107</c:v>
                </c:pt>
                <c:pt idx="96">
                  <c:v>8.6485806448330553</c:v>
                </c:pt>
                <c:pt idx="97">
                  <c:v>8.6861852083056696</c:v>
                </c:pt>
                <c:pt idx="98">
                  <c:v>8.7234851641137947</c:v>
                </c:pt>
                <c:pt idx="99">
                  <c:v>8.7604846399599001</c:v>
                </c:pt>
                <c:pt idx="100">
                  <c:v>8.7971876628645109</c:v>
                </c:pt>
                <c:pt idx="101">
                  <c:v>8.8335981626356226</c:v>
                </c:pt>
                <c:pt idx="102">
                  <c:v>8.8697199751849816</c:v>
                </c:pt>
                <c:pt idx="103">
                  <c:v>8.905556845699504</c:v>
                </c:pt>
                <c:pt idx="104">
                  <c:v>8.9411124316755028</c:v>
                </c:pt>
                <c:pt idx="105">
                  <c:v>8.9763903058228482</c:v>
                </c:pt>
                <c:pt idx="106">
                  <c:v>9.0113939588459804</c:v>
                </c:pt>
                <c:pt idx="107">
                  <c:v>9.0461268021079313</c:v>
                </c:pt>
                <c:pt idx="108">
                  <c:v>9.080592170183488</c:v>
                </c:pt>
                <c:pt idx="109">
                  <c:v>9.1147933233070066</c:v>
                </c:pt>
                <c:pt idx="110">
                  <c:v>9.1487334497202077</c:v>
                </c:pt>
                <c:pt idx="111">
                  <c:v>9.182415667924877</c:v>
                </c:pt>
                <c:pt idx="112">
                  <c:v>9.2158430288451658</c:v>
                </c:pt>
                <c:pt idx="113">
                  <c:v>9.2490185179039219</c:v>
                </c:pt>
                <c:pt idx="114">
                  <c:v>9.2819450570171611</c:v>
                </c:pt>
                <c:pt idx="115">
                  <c:v>9.3146255065106338</c:v>
                </c:pt>
                <c:pt idx="116">
                  <c:v>9.3470626669621737</c:v>
                </c:pt>
                <c:pt idx="117">
                  <c:v>9.379259280973308</c:v>
                </c:pt>
                <c:pt idx="118">
                  <c:v>9.4112180348734764</c:v>
                </c:pt>
                <c:pt idx="119">
                  <c:v>9.4429415603598965</c:v>
                </c:pt>
                <c:pt idx="120">
                  <c:v>9.4744324360761176</c:v>
                </c:pt>
                <c:pt idx="121">
                  <c:v>9.505693189131982</c:v>
                </c:pt>
                <c:pt idx="122">
                  <c:v>9.5367262965677018</c:v>
                </c:pt>
                <c:pt idx="123">
                  <c:v>9.5675341867644299</c:v>
                </c:pt>
                <c:pt idx="124">
                  <c:v>9.5981192408039107</c:v>
                </c:pt>
                <c:pt idx="125">
                  <c:v>9.6284837937792087</c:v>
                </c:pt>
                <c:pt idx="126">
                  <c:v>9.6586301360588287</c:v>
                </c:pt>
                <c:pt idx="127">
                  <c:v>9.6885605145061806</c:v>
                </c:pt>
                <c:pt idx="128">
                  <c:v>9.7182771336562936</c:v>
                </c:pt>
                <c:pt idx="129">
                  <c:v>9.7477821568516383</c:v>
                </c:pt>
                <c:pt idx="130">
                  <c:v>9.7770777073387602</c:v>
                </c:pt>
                <c:pt idx="131">
                  <c:v>9.8061658693273817</c:v>
                </c:pt>
                <c:pt idx="132">
                  <c:v>9.8350486890135489</c:v>
                </c:pt>
                <c:pt idx="133">
                  <c:v>9.863728175568264</c:v>
                </c:pt>
                <c:pt idx="134">
                  <c:v>9.8922063020930686</c:v>
                </c:pt>
                <c:pt idx="135">
                  <c:v>9.9204850065439167</c:v>
                </c:pt>
                <c:pt idx="136">
                  <c:v>9.9485661926245772</c:v>
                </c:pt>
                <c:pt idx="137">
                  <c:v>9.9764517306508367</c:v>
                </c:pt>
                <c:pt idx="138">
                  <c:v>10.004143458386658</c:v>
                </c:pt>
                <c:pt idx="139">
                  <c:v>10.031643181853358</c:v>
                </c:pt>
                <c:pt idx="140">
                  <c:v>10.058952676112932</c:v>
                </c:pt>
                <c:pt idx="141">
                  <c:v>10.086073686026479</c:v>
                </c:pt>
                <c:pt idx="142">
                  <c:v>10.113007926988711</c:v>
                </c:pt>
                <c:pt idx="143">
                  <c:v>10.139757085639465</c:v>
                </c:pt>
                <c:pt idx="144">
                  <c:v>10.166322820553116</c:v>
                </c:pt>
                <c:pt idx="145">
                  <c:v>10.19270676290666</c:v>
                </c:pt>
                <c:pt idx="146">
                  <c:v>10.218910517127357</c:v>
                </c:pt>
                <c:pt idx="147">
                  <c:v>10.244935661520636</c:v>
                </c:pt>
                <c:pt idx="148">
                  <c:v>10.270783748879014</c:v>
                </c:pt>
                <c:pt idx="149">
                  <c:v>10.296456307072745</c:v>
                </c:pt>
                <c:pt idx="150">
                  <c:v>10.321954839622826</c:v>
                </c:pt>
                <c:pt idx="151">
                  <c:v>10.347280826257046</c:v>
                </c:pt>
                <c:pt idx="152">
                  <c:v>10.372435723449678</c:v>
                </c:pt>
                <c:pt idx="153">
                  <c:v>10.397420964945356</c:v>
                </c:pt>
                <c:pt idx="154">
                  <c:v>10.422237962267783</c:v>
                </c:pt>
                <c:pt idx="155">
                  <c:v>10.446888105213745</c:v>
                </c:pt>
                <c:pt idx="156">
                  <c:v>10.471372762332955</c:v>
                </c:pt>
                <c:pt idx="157">
                  <c:v>10.495693281394244</c:v>
                </c:pt>
                <c:pt idx="158">
                  <c:v>10.519850989838568</c:v>
                </c:pt>
                <c:pt idx="159">
                  <c:v>10.543847195219277</c:v>
                </c:pt>
                <c:pt idx="160">
                  <c:v>10.567683185630054</c:v>
                </c:pt>
                <c:pt idx="161">
                  <c:v>10.59136023012104</c:v>
                </c:pt>
                <c:pt idx="162">
                  <c:v>10.614879579103413</c:v>
                </c:pt>
                <c:pt idx="163">
                  <c:v>10.638242464742923</c:v>
                </c:pt>
                <c:pt idx="164">
                  <c:v>10.661450101342689</c:v>
                </c:pt>
                <c:pt idx="165">
                  <c:v>10.684503685715628</c:v>
                </c:pt>
                <c:pt idx="166">
                  <c:v>10.707404397546881</c:v>
                </c:pt>
                <c:pt idx="167">
                  <c:v>10.730153399746525</c:v>
                </c:pt>
                <c:pt idx="168">
                  <c:v>10.75275183879292</c:v>
                </c:pt>
                <c:pt idx="169">
                  <c:v>10.775200845066987</c:v>
                </c:pt>
                <c:pt idx="170">
                  <c:v>10.797501533177693</c:v>
                </c:pt>
                <c:pt idx="171">
                  <c:v>10.819655002279058</c:v>
                </c:pt>
                <c:pt idx="172">
                  <c:v>10.841662336378926</c:v>
                </c:pt>
                <c:pt idx="173">
                  <c:v>10.863524604639748</c:v>
                </c:pt>
                <c:pt idx="174">
                  <c:v>10.885242861671692</c:v>
                </c:pt>
                <c:pt idx="175">
                  <c:v>10.906818147818242</c:v>
                </c:pt>
                <c:pt idx="176">
                  <c:v>10.928251489434569</c:v>
                </c:pt>
                <c:pt idx="177">
                  <c:v>10.949543899158897</c:v>
                </c:pt>
                <c:pt idx="178">
                  <c:v>10.97069637617704</c:v>
                </c:pt>
                <c:pt idx="179">
                  <c:v>10.991709906480368</c:v>
                </c:pt>
                <c:pt idx="180">
                  <c:v>11.012585463117391</c:v>
                </c:pt>
                <c:pt idx="181">
                  <c:v>11.033324006439091</c:v>
                </c:pt>
                <c:pt idx="182">
                  <c:v>11.053926484338305</c:v>
                </c:pt>
                <c:pt idx="183">
                  <c:v>11.074393832483249</c:v>
                </c:pt>
                <c:pt idx="184">
                  <c:v>11.094726974545365</c:v>
                </c:pt>
                <c:pt idx="185">
                  <c:v>11.114926822421697</c:v>
                </c:pt>
                <c:pt idx="186">
                  <c:v>11.134994276451957</c:v>
                </c:pt>
                <c:pt idx="187">
                  <c:v>11.154930225630359</c:v>
                </c:pt>
                <c:pt idx="188">
                  <c:v>11.174735547812489</c:v>
                </c:pt>
                <c:pt idx="189">
                  <c:v>11.194411109917269</c:v>
                </c:pt>
                <c:pt idx="190">
                  <c:v>11.213957768124175</c:v>
                </c:pt>
                <c:pt idx="191">
                  <c:v>11.233376368065889</c:v>
                </c:pt>
                <c:pt idx="192">
                  <c:v>11.25266774501644</c:v>
                </c:pt>
                <c:pt idx="193">
                  <c:v>11.271832724075022</c:v>
                </c:pt>
                <c:pt idx="194">
                  <c:v>11.2908721203456</c:v>
                </c:pt>
                <c:pt idx="195">
                  <c:v>11.309786739112401</c:v>
                </c:pt>
                <c:pt idx="196">
                  <c:v>11.328577376011395</c:v>
                </c:pt>
                <c:pt idx="197">
                  <c:v>11.34724481719797</c:v>
                </c:pt>
                <c:pt idx="198">
                  <c:v>11.365789839510734</c:v>
                </c:pt>
                <c:pt idx="199">
                  <c:v>11.384213210631748</c:v>
                </c:pt>
                <c:pt idx="200">
                  <c:v>11.402515689243137</c:v>
                </c:pt>
                <c:pt idx="201">
                  <c:v>11.420698025180238</c:v>
                </c:pt>
                <c:pt idx="202">
                  <c:v>11.438760959581394</c:v>
                </c:pt>
                <c:pt idx="203">
                  <c:v>11.456705225034446</c:v>
                </c:pt>
                <c:pt idx="204">
                  <c:v>11.474531545720023</c:v>
                </c:pt>
                <c:pt idx="205">
                  <c:v>11.492240637551753</c:v>
                </c:pt>
                <c:pt idx="206">
                  <c:v>11.509833208313401</c:v>
                </c:pt>
                <c:pt idx="207">
                  <c:v>11.527309957793102</c:v>
                </c:pt>
                <c:pt idx="208">
                  <c:v>11.544671577914686</c:v>
                </c:pt>
                <c:pt idx="209">
                  <c:v>11.561918752866239</c:v>
                </c:pt>
                <c:pt idx="210">
                  <c:v>11.579052159225906</c:v>
                </c:pt>
                <c:pt idx="211">
                  <c:v>11.596072466085094</c:v>
                </c:pt>
                <c:pt idx="212">
                  <c:v>11.61298033516902</c:v>
                </c:pt>
                <c:pt idx="213">
                  <c:v>11.62977642095481</c:v>
                </c:pt>
                <c:pt idx="214">
                  <c:v>11.646461370787101</c:v>
                </c:pt>
                <c:pt idx="215">
                  <c:v>11.663035824991272</c:v>
                </c:pt>
                <c:pt idx="216">
                  <c:v>11.679500416984322</c:v>
                </c:pt>
                <c:pt idx="217">
                  <c:v>11.695855773383519</c:v>
                </c:pt>
                <c:pt idx="218">
                  <c:v>11.712102514112786</c:v>
                </c:pt>
                <c:pt idx="219">
                  <c:v>11.728241252506947</c:v>
                </c:pt>
                <c:pt idx="220">
                  <c:v>11.744272595413884</c:v>
                </c:pt>
                <c:pt idx="221">
                  <c:v>11.76019714329461</c:v>
                </c:pt>
                <c:pt idx="222">
                  <c:v>11.776015490321361</c:v>
                </c:pt>
                <c:pt idx="223">
                  <c:v>11.791728224473722</c:v>
                </c:pt>
                <c:pt idx="224">
                  <c:v>11.807335927632849</c:v>
                </c:pt>
                <c:pt idx="225">
                  <c:v>11.822839175673829</c:v>
                </c:pt>
                <c:pt idx="226">
                  <c:v>11.838238538556231</c:v>
                </c:pt>
                <c:pt idx="227">
                  <c:v>11.853534580412878</c:v>
                </c:pt>
                <c:pt idx="228">
                  <c:v>11.868727859636898</c:v>
                </c:pt>
                <c:pt idx="229">
                  <c:v>11.88381892896707</c:v>
                </c:pt>
                <c:pt idx="230">
                  <c:v>11.898808335571537</c:v>
                </c:pt>
                <c:pt idx="231">
                  <c:v>11.913696621129915</c:v>
                </c:pt>
                <c:pt idx="232">
                  <c:v>11.928484321913809</c:v>
                </c:pt>
                <c:pt idx="233">
                  <c:v>11.943171968865817</c:v>
                </c:pt>
                <c:pt idx="234">
                  <c:v>11.957760087677018</c:v>
                </c:pt>
                <c:pt idx="235">
                  <c:v>11.972249198863004</c:v>
                </c:pt>
                <c:pt idx="236">
                  <c:v>11.986639817838487</c:v>
                </c:pt>
                <c:pt idx="237">
                  <c:v>12.000932454990501</c:v>
                </c:pt>
                <c:pt idx="238">
                  <c:v>12.015127615750236</c:v>
                </c:pt>
                <c:pt idx="239">
                  <c:v>12.029225800663554</c:v>
                </c:pt>
                <c:pt idx="240">
                  <c:v>12.043227505460182</c:v>
                </c:pt>
                <c:pt idx="241">
                  <c:v>12.057133221121642</c:v>
                </c:pt>
                <c:pt idx="242">
                  <c:v>12.070943433947932</c:v>
                </c:pt>
                <c:pt idx="243">
                  <c:v>12.084658625623</c:v>
                </c:pt>
                <c:pt idx="244">
                  <c:v>12.098279273279005</c:v>
                </c:pt>
                <c:pt idx="245">
                  <c:v>12.111805849559438</c:v>
                </c:pt>
                <c:pt idx="246">
                  <c:v>12.125238822681101</c:v>
                </c:pt>
                <c:pt idx="247">
                  <c:v>12.138578656494948</c:v>
                </c:pt>
                <c:pt idx="248">
                  <c:v>12.151825810545875</c:v>
                </c:pt>
                <c:pt idx="249">
                  <c:v>12.164980740131416</c:v>
                </c:pt>
                <c:pt idx="250">
                  <c:v>12.178043896359432</c:v>
                </c:pt>
                <c:pt idx="251">
                  <c:v>12.191015726204727</c:v>
                </c:pt>
                <c:pt idx="252">
                  <c:v>12.203896672564714</c:v>
                </c:pt>
                <c:pt idx="253">
                  <c:v>12.216687174314112</c:v>
                </c:pt>
                <c:pt idx="254">
                  <c:v>12.229387666358633</c:v>
                </c:pt>
                <c:pt idx="255">
                  <c:v>12.241998579687793</c:v>
                </c:pt>
                <c:pt idx="256">
                  <c:v>12.254520341426781</c:v>
                </c:pt>
                <c:pt idx="257">
                  <c:v>12.266953374887443</c:v>
                </c:pt>
                <c:pt idx="258">
                  <c:v>12.279298099618375</c:v>
                </c:pt>
                <c:pt idx="259">
                  <c:v>12.291554931454185</c:v>
                </c:pt>
                <c:pt idx="260">
                  <c:v>12.303724282563893</c:v>
                </c:pt>
                <c:pt idx="261">
                  <c:v>12.315806561498526</c:v>
                </c:pt>
                <c:pt idx="262">
                  <c:v>12.327802173237879</c:v>
                </c:pt>
                <c:pt idx="263">
                  <c:v>12.339711519236539</c:v>
                </c:pt>
                <c:pt idx="264">
                  <c:v>12.351534997469082</c:v>
                </c:pt>
                <c:pt idx="265">
                  <c:v>12.363273002474559</c:v>
                </c:pt>
                <c:pt idx="266">
                  <c:v>12.374925925400204</c:v>
                </c:pt>
                <c:pt idx="267">
                  <c:v>12.386494154044449</c:v>
                </c:pt>
                <c:pt idx="268">
                  <c:v>12.397978072899214</c:v>
                </c:pt>
                <c:pt idx="269">
                  <c:v>12.409378063191488</c:v>
                </c:pt>
                <c:pt idx="270">
                  <c:v>12.420694502924258</c:v>
                </c:pt>
                <c:pt idx="271">
                  <c:v>12.431927766916747</c:v>
                </c:pt>
                <c:pt idx="272">
                  <c:v>12.443078226843996</c:v>
                </c:pt>
                <c:pt idx="273">
                  <c:v>12.454146251275823</c:v>
                </c:pt>
                <c:pt idx="274">
                  <c:v>12.465132205715138</c:v>
                </c:pt>
                <c:pt idx="275">
                  <c:v>12.476036452635634</c:v>
                </c:pt>
                <c:pt idx="276">
                  <c:v>12.486859351518902</c:v>
                </c:pt>
                <c:pt idx="277">
                  <c:v>12.497601258890919</c:v>
                </c:pt>
                <c:pt idx="278">
                  <c:v>12.50826252835798</c:v>
                </c:pt>
                <c:pt idx="279">
                  <c:v>12.518843510642048</c:v>
                </c:pt>
                <c:pt idx="280">
                  <c:v>12.529344553615553</c:v>
                </c:pt>
                <c:pt idx="281">
                  <c:v>12.539766002335638</c:v>
                </c:pt>
                <c:pt idx="282">
                  <c:v>12.550108199077863</c:v>
                </c:pt>
                <c:pt idx="283">
                  <c:v>12.560371483369392</c:v>
                </c:pt>
                <c:pt idx="284">
                  <c:v>12.570556192021664</c:v>
                </c:pt>
                <c:pt idx="285">
                  <c:v>12.580662659162551</c:v>
                </c:pt>
                <c:pt idx="286">
                  <c:v>12.590691216268006</c:v>
                </c:pt>
                <c:pt idx="287">
                  <c:v>12.600642192193256</c:v>
                </c:pt>
                <c:pt idx="288">
                  <c:v>12.610515913203491</c:v>
                </c:pt>
                <c:pt idx="289">
                  <c:v>12.620312703004084</c:v>
                </c:pt>
                <c:pt idx="290">
                  <c:v>12.63003288277036</c:v>
                </c:pt>
                <c:pt idx="291">
                  <c:v>12.639676771176916</c:v>
                </c:pt>
                <c:pt idx="292">
                  <c:v>12.649244684426476</c:v>
                </c:pt>
                <c:pt idx="293">
                  <c:v>12.658736936278332</c:v>
                </c:pt>
                <c:pt idx="294">
                  <c:v>12.668153838076352</c:v>
                </c:pt>
                <c:pt idx="295">
                  <c:v>12.677495698776568</c:v>
                </c:pt>
                <c:pt idx="296">
                  <c:v>12.686762824974341</c:v>
                </c:pt>
                <c:pt idx="297">
                  <c:v>12.695955520931133</c:v>
                </c:pt>
                <c:pt idx="298">
                  <c:v>12.70507408860089</c:v>
                </c:pt>
                <c:pt idx="299">
                  <c:v>12.714118827656018</c:v>
                </c:pt>
                <c:pt idx="300">
                  <c:v>12.723090035512978</c:v>
                </c:pt>
                <c:pt idx="301">
                  <c:v>12.731988007357524</c:v>
                </c:pt>
                <c:pt idx="302">
                  <c:v>12.74081303616955</c:v>
                </c:pt>
                <c:pt idx="303">
                  <c:v>12.749565412747586</c:v>
                </c:pt>
                <c:pt idx="304">
                  <c:v>12.758245425732925</c:v>
                </c:pt>
                <c:pt idx="305">
                  <c:v>12.766853361633437</c:v>
                </c:pt>
                <c:pt idx="306">
                  <c:v>12.775389504846984</c:v>
                </c:pt>
                <c:pt idx="307">
                  <c:v>12.783854137684543</c:v>
                </c:pt>
                <c:pt idx="308">
                  <c:v>12.792247540392976</c:v>
                </c:pt>
                <c:pt idx="309">
                  <c:v>12.80056999117749</c:v>
                </c:pt>
                <c:pt idx="310">
                  <c:v>12.808821766223751</c:v>
                </c:pt>
                <c:pt idx="311">
                  <c:v>12.817003139719715</c:v>
                </c:pt>
                <c:pt idx="312">
                  <c:v>12.82511438387713</c:v>
                </c:pt>
                <c:pt idx="313">
                  <c:v>12.833155768952736</c:v>
                </c:pt>
                <c:pt idx="314">
                  <c:v>12.841127563269175</c:v>
                </c:pt>
                <c:pt idx="315">
                  <c:v>12.849030033235607</c:v>
                </c:pt>
                <c:pt idx="316">
                  <c:v>12.856863443368026</c:v>
                </c:pt>
                <c:pt idx="317">
                  <c:v>12.864628056309314</c:v>
                </c:pt>
                <c:pt idx="318">
                  <c:v>12.872324132848984</c:v>
                </c:pt>
                <c:pt idx="319">
                  <c:v>12.879951931942703</c:v>
                </c:pt>
                <c:pt idx="320">
                  <c:v>12.887511710731472</c:v>
                </c:pt>
                <c:pt idx="321">
                  <c:v>12.89500372456062</c:v>
                </c:pt>
                <c:pt idx="322">
                  <c:v>12.902428226998483</c:v>
                </c:pt>
                <c:pt idx="323">
                  <c:v>12.909785469854844</c:v>
                </c:pt>
                <c:pt idx="324">
                  <c:v>12.91707570319913</c:v>
                </c:pt>
                <c:pt idx="325">
                  <c:v>12.924299175378351</c:v>
                </c:pt>
                <c:pt idx="326">
                  <c:v>12.931456133034807</c:v>
                </c:pt>
                <c:pt idx="327">
                  <c:v>12.938546821123545</c:v>
                </c:pt>
                <c:pt idx="328">
                  <c:v>12.945571482929578</c:v>
                </c:pt>
                <c:pt idx="329">
                  <c:v>12.952530360084904</c:v>
                </c:pt>
                <c:pt idx="330">
                  <c:v>12.959423692585245</c:v>
                </c:pt>
                <c:pt idx="331">
                  <c:v>12.966251718806616</c:v>
                </c:pt>
                <c:pt idx="332">
                  <c:v>12.973014675521632</c:v>
                </c:pt>
                <c:pt idx="333">
                  <c:v>12.979712797915639</c:v>
                </c:pt>
                <c:pt idx="334">
                  <c:v>12.986346319602585</c:v>
                </c:pt>
                <c:pt idx="335">
                  <c:v>12.992915472640716</c:v>
                </c:pt>
                <c:pt idx="336">
                  <c:v>12.999420487548074</c:v>
                </c:pt>
                <c:pt idx="337">
                  <c:v>13.005861593317752</c:v>
                </c:pt>
                <c:pt idx="338">
                  <c:v>13.012239017432977</c:v>
                </c:pt>
                <c:pt idx="339">
                  <c:v>13.018552985882009</c:v>
                </c:pt>
                <c:pt idx="340">
                  <c:v>13.024803723172807</c:v>
                </c:pt>
                <c:pt idx="341">
                  <c:v>13.030991452347553</c:v>
                </c:pt>
                <c:pt idx="342">
                  <c:v>13.037116394996938</c:v>
                </c:pt>
                <c:pt idx="343">
                  <c:v>13.043178771274318</c:v>
                </c:pt>
                <c:pt idx="344">
                  <c:v>13.049178799909642</c:v>
                </c:pt>
                <c:pt idx="345">
                  <c:v>13.055116698223232</c:v>
                </c:pt>
                <c:pt idx="346">
                  <c:v>13.060992682139366</c:v>
                </c:pt>
                <c:pt idx="347">
                  <c:v>13.066806966199715</c:v>
                </c:pt>
                <c:pt idx="348">
                  <c:v>13.072559763576578</c:v>
                </c:pt>
                <c:pt idx="349">
                  <c:v>13.078251286085976</c:v>
                </c:pt>
                <c:pt idx="350">
                  <c:v>13.083881744200562</c:v>
                </c:pt>
                <c:pt idx="351">
                  <c:v>13.089451347062392</c:v>
                </c:pt>
                <c:pt idx="352">
                  <c:v>13.094960302495503</c:v>
                </c:pt>
                <c:pt idx="353">
                  <c:v>13.100408817018366</c:v>
                </c:pt>
                <c:pt idx="354">
                  <c:v>13.10579709585617</c:v>
                </c:pt>
                <c:pt idx="355">
                  <c:v>13.111125342952942</c:v>
                </c:pt>
                <c:pt idx="356">
                  <c:v>13.116393760983541</c:v>
                </c:pt>
                <c:pt idx="357">
                  <c:v>13.121602551365495</c:v>
                </c:pt>
                <c:pt idx="358">
                  <c:v>13.126751914270669</c:v>
                </c:pt>
                <c:pt idx="359">
                  <c:v>13.13184204863683</c:v>
                </c:pt>
                <c:pt idx="360">
                  <c:v>13.136873152179041</c:v>
                </c:pt>
                <c:pt idx="361">
                  <c:v>13.141845421400921</c:v>
                </c:pt>
                <c:pt idx="362">
                  <c:v>13.146759051605789</c:v>
                </c:pt>
                <c:pt idx="363">
                  <c:v>13.15161423690763</c:v>
                </c:pt>
                <c:pt idx="364">
                  <c:v>13.156411170241974</c:v>
                </c:pt>
                <c:pt idx="365">
                  <c:v>13.161150043376617</c:v>
                </c:pt>
                <c:pt idx="366">
                  <c:v>13.165831046922214</c:v>
                </c:pt>
                <c:pt idx="367">
                  <c:v>13.17045437034276</c:v>
                </c:pt>
                <c:pt idx="368">
                  <c:v>13.175020201965925</c:v>
                </c:pt>
                <c:pt idx="369">
                  <c:v>13.179528728993281</c:v>
                </c:pt>
                <c:pt idx="370">
                  <c:v>13.183980137510405</c:v>
                </c:pt>
                <c:pt idx="371">
                  <c:v>13.188374612496855</c:v>
                </c:pt>
                <c:pt idx="372">
                  <c:v>13.192712337836026</c:v>
                </c:pt>
                <c:pt idx="373">
                  <c:v>13.196993496324913</c:v>
                </c:pt>
                <c:pt idx="374">
                  <c:v>13.201218269683721</c:v>
                </c:pt>
                <c:pt idx="375">
                  <c:v>13.205386838565399</c:v>
                </c:pt>
                <c:pt idx="376">
                  <c:v>13.20949938256503</c:v>
                </c:pt>
                <c:pt idx="377">
                  <c:v>13.213556080229141</c:v>
                </c:pt>
                <c:pt idx="378">
                  <c:v>13.217557109064881</c:v>
                </c:pt>
                <c:pt idx="379">
                  <c:v>13.221502645549108</c:v>
                </c:pt>
                <c:pt idx="380">
                  <c:v>13.225392865137357</c:v>
                </c:pt>
                <c:pt idx="381">
                  <c:v>13.229227942272717</c:v>
                </c:pt>
                <c:pt idx="382">
                  <c:v>13.233008050394597</c:v>
                </c:pt>
                <c:pt idx="383">
                  <c:v>13.236733361947394</c:v>
                </c:pt>
                <c:pt idx="384">
                  <c:v>13.240404048389063</c:v>
                </c:pt>
                <c:pt idx="385">
                  <c:v>13.244020280199587</c:v>
                </c:pt>
                <c:pt idx="386">
                  <c:v>13.247582226889348</c:v>
                </c:pt>
                <c:pt idx="387">
                  <c:v>13.251090057007408</c:v>
                </c:pt>
                <c:pt idx="388">
                  <c:v>13.254543938149693</c:v>
                </c:pt>
                <c:pt idx="389">
                  <c:v>13.257944036967086</c:v>
                </c:pt>
                <c:pt idx="390">
                  <c:v>13.261290519173416</c:v>
                </c:pt>
                <c:pt idx="391">
                  <c:v>13.264583549553386</c:v>
                </c:pt>
                <c:pt idx="392">
                  <c:v>13.267823291970378</c:v>
                </c:pt>
                <c:pt idx="393">
                  <c:v>13.271009909374197</c:v>
                </c:pt>
                <c:pt idx="394">
                  <c:v>13.274143563808703</c:v>
                </c:pt>
                <c:pt idx="395">
                  <c:v>13.277224416419388</c:v>
                </c:pt>
                <c:pt idx="396">
                  <c:v>13.28025262746085</c:v>
                </c:pt>
                <c:pt idx="397">
                  <c:v>13.283228356304175</c:v>
                </c:pt>
                <c:pt idx="398">
                  <c:v>13.286151761444259</c:v>
                </c:pt>
                <c:pt idx="399">
                  <c:v>13.28902300050704</c:v>
                </c:pt>
                <c:pt idx="400">
                  <c:v>13.291842230256638</c:v>
                </c:pt>
                <c:pt idx="401">
                  <c:v>13.294609606602446</c:v>
                </c:pt>
                <c:pt idx="402">
                  <c:v>13.297325284606107</c:v>
                </c:pt>
                <c:pt idx="403">
                  <c:v>13.299989418488448</c:v>
                </c:pt>
                <c:pt idx="404">
                  <c:v>13.302602161636303</c:v>
                </c:pt>
                <c:pt idx="405">
                  <c:v>13.305163666609305</c:v>
                </c:pt>
                <c:pt idx="406">
                  <c:v>13.307674085146562</c:v>
                </c:pt>
                <c:pt idx="407">
                  <c:v>13.310133568173294</c:v>
                </c:pt>
                <c:pt idx="408">
                  <c:v>13.312542265807364</c:v>
                </c:pt>
                <c:pt idx="409">
                  <c:v>13.31490032736578</c:v>
                </c:pt>
                <c:pt idx="410">
                  <c:v>13.317207901371097</c:v>
                </c:pt>
                <c:pt idx="411">
                  <c:v>13.319465135557742</c:v>
                </c:pt>
                <c:pt idx="412">
                  <c:v>13.321672176878318</c:v>
                </c:pt>
                <c:pt idx="413">
                  <c:v>13.323829171509784</c:v>
                </c:pt>
                <c:pt idx="414">
                  <c:v>13.325936264859612</c:v>
                </c:pt>
                <c:pt idx="415">
                  <c:v>13.327993601571851</c:v>
                </c:pt>
                <c:pt idx="416">
                  <c:v>13.330001325533139</c:v>
                </c:pt>
                <c:pt idx="417">
                  <c:v>13.331959579878664</c:v>
                </c:pt>
                <c:pt idx="418">
                  <c:v>13.333868506998019</c:v>
                </c:pt>
                <c:pt idx="419">
                  <c:v>13.335728248541052</c:v>
                </c:pt>
                <c:pt idx="420">
                  <c:v>13.337538945423617</c:v>
                </c:pt>
                <c:pt idx="421">
                  <c:v>13.33930073783327</c:v>
                </c:pt>
                <c:pt idx="422">
                  <c:v>13.341013765234905</c:v>
                </c:pt>
                <c:pt idx="423">
                  <c:v>13.342678166376356</c:v>
                </c:pt>
                <c:pt idx="424">
                  <c:v>13.344294079293903</c:v>
                </c:pt>
                <c:pt idx="425">
                  <c:v>13.345861641317732</c:v>
                </c:pt>
                <c:pt idx="426">
                  <c:v>13.347380989077372</c:v>
                </c:pt>
                <c:pt idx="427">
                  <c:v>13.348852258507019</c:v>
                </c:pt>
                <c:pt idx="428">
                  <c:v>13.35027558485085</c:v>
                </c:pt>
                <c:pt idx="429">
                  <c:v>13.351651102668264</c:v>
                </c:pt>
                <c:pt idx="430">
                  <c:v>13.352978945839064</c:v>
                </c:pt>
                <c:pt idx="431">
                  <c:v>13.35425924756861</c:v>
                </c:pt>
                <c:pt idx="432">
                  <c:v>13.355492140392878</c:v>
                </c:pt>
                <c:pt idx="433">
                  <c:v>13.356677756183517</c:v>
                </c:pt>
                <c:pt idx="434">
                  <c:v>13.357816226152813</c:v>
                </c:pt>
                <c:pt idx="435">
                  <c:v>13.358907680858628</c:v>
                </c:pt>
                <c:pt idx="436">
                  <c:v>13.359952250209266</c:v>
                </c:pt>
                <c:pt idx="437">
                  <c:v>13.360950063468325</c:v>
                </c:pt>
                <c:pt idx="438">
                  <c:v>13.361901249259459</c:v>
                </c:pt>
                <c:pt idx="439">
                  <c:v>13.362805935571117</c:v>
                </c:pt>
                <c:pt idx="440">
                  <c:v>13.363664249761234</c:v>
                </c:pt>
                <c:pt idx="441">
                  <c:v>13.364476318561872</c:v>
                </c:pt>
                <c:pt idx="442">
                  <c:v>13.36524226808379</c:v>
                </c:pt>
                <c:pt idx="443">
                  <c:v>13.365962223821022</c:v>
                </c:pt>
                <c:pt idx="444">
                  <c:v>13.36663631065535</c:v>
                </c:pt>
                <c:pt idx="445">
                  <c:v>13.367264652860783</c:v>
                </c:pt>
                <c:pt idx="446">
                  <c:v>13.367847374107946</c:v>
                </c:pt>
                <c:pt idx="447">
                  <c:v>13.368384597468467</c:v>
                </c:pt>
                <c:pt idx="448">
                  <c:v>13.368876445419293</c:v>
                </c:pt>
                <c:pt idx="449">
                  <c:v>13.369323039846973</c:v>
                </c:pt>
                <c:pt idx="450">
                  <c:v>13.369724502051897</c:v>
                </c:pt>
                <c:pt idx="451">
                  <c:v>13.370080952752494</c:v>
                </c:pt>
                <c:pt idx="452">
                  <c:v>13.370392512089392</c:v>
                </c:pt>
                <c:pt idx="453">
                  <c:v>13.37065929962953</c:v>
                </c:pt>
                <c:pt idx="454">
                  <c:v>13.37088143437024</c:v>
                </c:pt>
                <c:pt idx="455">
                  <c:v>13.371059034743276</c:v>
                </c:pt>
                <c:pt idx="456">
                  <c:v>13.371192218618807</c:v>
                </c:pt>
                <c:pt idx="457">
                  <c:v>13.371281103309396</c:v>
                </c:pt>
                <c:pt idx="458">
                  <c:v>13.371325805573893</c:v>
                </c:pt>
                <c:pt idx="459">
                  <c:v>13.371326441621335</c:v>
                </c:pt>
                <c:pt idx="460">
                  <c:v>13.371283127114776</c:v>
                </c:pt>
                <c:pt idx="461">
                  <c:v>13.371195977175111</c:v>
                </c:pt>
                <c:pt idx="462">
                  <c:v>13.371065106384835</c:v>
                </c:pt>
                <c:pt idx="463">
                  <c:v>13.37089062879177</c:v>
                </c:pt>
                <c:pt idx="464">
                  <c:v>13.370672657912786</c:v>
                </c:pt>
                <c:pt idx="465">
                  <c:v>13.370411306737438</c:v>
                </c:pt>
                <c:pt idx="466">
                  <c:v>13.370106687731615</c:v>
                </c:pt>
                <c:pt idx="467">
                  <c:v>13.369758912841114</c:v>
                </c:pt>
                <c:pt idx="468">
                  <c:v>13.369368093495218</c:v>
                </c:pt>
                <c:pt idx="469">
                  <c:v>13.368934340610213</c:v>
                </c:pt>
                <c:pt idx="470">
                  <c:v>13.368457764592872</c:v>
                </c:pt>
                <c:pt idx="471">
                  <c:v>13.367938475343925</c:v>
                </c:pt>
                <c:pt idx="472">
                  <c:v>13.367376582261478</c:v>
                </c:pt>
                <c:pt idx="473">
                  <c:v>13.366772194244417</c:v>
                </c:pt>
                <c:pt idx="474">
                  <c:v>13.36612541969575</c:v>
                </c:pt>
                <c:pt idx="475">
                  <c:v>13.365436366525964</c:v>
                </c:pt>
                <c:pt idx="476">
                  <c:v>13.364705142156302</c:v>
                </c:pt>
                <c:pt idx="477">
                  <c:v>13.363931853522029</c:v>
                </c:pt>
                <c:pt idx="478">
                  <c:v>13.363116607075701</c:v>
                </c:pt>
                <c:pt idx="479">
                  <c:v>13.362259508790329</c:v>
                </c:pt>
                <c:pt idx="480">
                  <c:v>13.361360664162587</c:v>
                </c:pt>
                <c:pt idx="481">
                  <c:v>13.36042017821595</c:v>
                </c:pt>
                <c:pt idx="482">
                  <c:v>13.359438155503808</c:v>
                </c:pt>
                <c:pt idx="483">
                  <c:v>13.35841470011257</c:v>
                </c:pt>
                <c:pt idx="484">
                  <c:v>13.357349915664702</c:v>
                </c:pt>
                <c:pt idx="485">
                  <c:v>13.356243905321788</c:v>
                </c:pt>
                <c:pt idx="486">
                  <c:v>13.355096771787505</c:v>
                </c:pt>
                <c:pt idx="487">
                  <c:v>13.353908617310621</c:v>
                </c:pt>
                <c:pt idx="488">
                  <c:v>13.352679543687943</c:v>
                </c:pt>
                <c:pt idx="489">
                  <c:v>13.351409652267231</c:v>
                </c:pt>
                <c:pt idx="490">
                  <c:v>13.350099043950097</c:v>
                </c:pt>
                <c:pt idx="491">
                  <c:v>13.348747819194879</c:v>
                </c:pt>
                <c:pt idx="492">
                  <c:v>13.347356078019477</c:v>
                </c:pt>
                <c:pt idx="493">
                  <c:v>13.345923920004179</c:v>
                </c:pt>
                <c:pt idx="494">
                  <c:v>13.344451444294439</c:v>
                </c:pt>
                <c:pt idx="495">
                  <c:v>13.342938749603659</c:v>
                </c:pt>
                <c:pt idx="496">
                  <c:v>13.341385934215921</c:v>
                </c:pt>
                <c:pt idx="497">
                  <c:v>13.339793095988703</c:v>
                </c:pt>
                <c:pt idx="498">
                  <c:v>13.338160332355573</c:v>
                </c:pt>
                <c:pt idx="499">
                  <c:v>13.336487740328856</c:v>
                </c:pt>
                <c:pt idx="500">
                  <c:v>13.33477541650228</c:v>
                </c:pt>
                <c:pt idx="501">
                  <c:v>13.333023457053585</c:v>
                </c:pt>
                <c:pt idx="502">
                  <c:v>13.331231957747136</c:v>
                </c:pt>
                <c:pt idx="503">
                  <c:v>13.329401013936474</c:v>
                </c:pt>
                <c:pt idx="504">
                  <c:v>13.327530720566886</c:v>
                </c:pt>
                <c:pt idx="505">
                  <c:v>13.325621172177923</c:v>
                </c:pt>
                <c:pt idx="506">
                  <c:v>13.323672462905897</c:v>
                </c:pt>
                <c:pt idx="507">
                  <c:v>13.321684686486375</c:v>
                </c:pt>
                <c:pt idx="508">
                  <c:v>13.319657936256631</c:v>
                </c:pt>
                <c:pt idx="509">
                  <c:v>13.317592305158085</c:v>
                </c:pt>
                <c:pt idx="510">
                  <c:v>13.315487885738717</c:v>
                </c:pt>
                <c:pt idx="511">
                  <c:v>13.313344770155469</c:v>
                </c:pt>
                <c:pt idx="512">
                  <c:v>13.311163050176607</c:v>
                </c:pt>
                <c:pt idx="513">
                  <c:v>13.308942817184082</c:v>
                </c:pt>
                <c:pt idx="514">
                  <c:v>13.306684162175861</c:v>
                </c:pt>
                <c:pt idx="515">
                  <c:v>13.304387175768227</c:v>
                </c:pt>
                <c:pt idx="516">
                  <c:v>13.302051948198081</c:v>
                </c:pt>
                <c:pt idx="517">
                  <c:v>13.299678569325209</c:v>
                </c:pt>
                <c:pt idx="518">
                  <c:v>13.297267128634532</c:v>
                </c:pt>
                <c:pt idx="519">
                  <c:v>13.294817715238333</c:v>
                </c:pt>
                <c:pt idx="520">
                  <c:v>13.292330417878468</c:v>
                </c:pt>
                <c:pt idx="521">
                  <c:v>13.289805324928567</c:v>
                </c:pt>
                <c:pt idx="522">
                  <c:v>13.287242524396191</c:v>
                </c:pt>
                <c:pt idx="523">
                  <c:v>13.284642103924998</c:v>
                </c:pt>
                <c:pt idx="524">
                  <c:v>13.282004150796871</c:v>
                </c:pt>
                <c:pt idx="525">
                  <c:v>13.279328751934026</c:v>
                </c:pt>
                <c:pt idx="526">
                  <c:v>13.276615993901132</c:v>
                </c:pt>
                <c:pt idx="527">
                  <c:v>13.273865962907362</c:v>
                </c:pt>
                <c:pt idx="528">
                  <c:v>13.271078744808477</c:v>
                </c:pt>
                <c:pt idx="529">
                  <c:v>13.268254425108854</c:v>
                </c:pt>
                <c:pt idx="530">
                  <c:v>13.265393088963515</c:v>
                </c:pt>
                <c:pt idx="531">
                  <c:v>13.262494821180145</c:v>
                </c:pt>
                <c:pt idx="532">
                  <c:v>13.259559706221054</c:v>
                </c:pt>
                <c:pt idx="533">
                  <c:v>13.256587828205189</c:v>
                </c:pt>
                <c:pt idx="534">
                  <c:v>13.253579270910055</c:v>
                </c:pt>
                <c:pt idx="535">
                  <c:v>13.250534117773679</c:v>
                </c:pt>
                <c:pt idx="536">
                  <c:v>13.247452451896505</c:v>
                </c:pt>
                <c:pt idx="537">
                  <c:v>13.244334356043336</c:v>
                </c:pt>
                <c:pt idx="538">
                  <c:v>13.241179912645189</c:v>
                </c:pt>
                <c:pt idx="539">
                  <c:v>13.237989203801181</c:v>
                </c:pt>
                <c:pt idx="540">
                  <c:v>13.234762311280399</c:v>
                </c:pt>
                <c:pt idx="541">
                  <c:v>13.231499316523713</c:v>
                </c:pt>
                <c:pt idx="542">
                  <c:v>13.228200300645623</c:v>
                </c:pt>
                <c:pt idx="543">
                  <c:v>13.224865344436065</c:v>
                </c:pt>
                <c:pt idx="544">
                  <c:v>13.221494528362189</c:v>
                </c:pt>
                <c:pt idx="545">
                  <c:v>13.21808793257016</c:v>
                </c:pt>
                <c:pt idx="546">
                  <c:v>13.214645636886907</c:v>
                </c:pt>
                <c:pt idx="547">
                  <c:v>13.211167720821871</c:v>
                </c:pt>
                <c:pt idx="548">
                  <c:v>13.207654263568745</c:v>
                </c:pt>
                <c:pt idx="549">
                  <c:v>13.204105344007187</c:v>
                </c:pt>
                <c:pt idx="550">
                  <c:v>13.200521040704521</c:v>
                </c:pt>
                <c:pt idx="551">
                  <c:v>13.196901431917434</c:v>
                </c:pt>
                <c:pt idx="552">
                  <c:v>13.193246595593648</c:v>
                </c:pt>
                <c:pt idx="553">
                  <c:v>13.189556609373572</c:v>
                </c:pt>
                <c:pt idx="554">
                  <c:v>13.18583155059196</c:v>
                </c:pt>
                <c:pt idx="555">
                  <c:v>13.182071496279535</c:v>
                </c:pt>
                <c:pt idx="556">
                  <c:v>13.178276523164611</c:v>
                </c:pt>
                <c:pt idx="557">
                  <c:v>13.174446707674694</c:v>
                </c:pt>
                <c:pt idx="558">
                  <c:v>13.170582125938076</c:v>
                </c:pt>
                <c:pt idx="559">
                  <c:v>13.166682853785415</c:v>
                </c:pt>
                <c:pt idx="560">
                  <c:v>13.162748966751286</c:v>
                </c:pt>
                <c:pt idx="561">
                  <c:v>13.158780540075751</c:v>
                </c:pt>
                <c:pt idx="562">
                  <c:v>13.154777648705878</c:v>
                </c:pt>
                <c:pt idx="563">
                  <c:v>13.150740367297272</c:v>
                </c:pt>
                <c:pt idx="564">
                  <c:v>13.146668770215596</c:v>
                </c:pt>
                <c:pt idx="565">
                  <c:v>13.142562931538047</c:v>
                </c:pt>
                <c:pt idx="566">
                  <c:v>13.138422925054869</c:v>
                </c:pt>
                <c:pt idx="567">
                  <c:v>13.134248824270804</c:v>
                </c:pt>
                <c:pt idx="568">
                  <c:v>13.130040702406564</c:v>
                </c:pt>
                <c:pt idx="569">
                  <c:v>13.125798632400276</c:v>
                </c:pt>
                <c:pt idx="570">
                  <c:v>13.121522686908921</c:v>
                </c:pt>
                <c:pt idx="571">
                  <c:v>13.117212938309754</c:v>
                </c:pt>
                <c:pt idx="572">
                  <c:v>13.112869458701708</c:v>
                </c:pt>
                <c:pt idx="573">
                  <c:v>13.108492319906814</c:v>
                </c:pt>
                <c:pt idx="574">
                  <c:v>13.104081593471578</c:v>
                </c:pt>
                <c:pt idx="575">
                  <c:v>13.099637350668349</c:v>
                </c:pt>
                <c:pt idx="576">
                  <c:v>13.095159662496691</c:v>
                </c:pt>
                <c:pt idx="577">
                  <c:v>13.090648599684746</c:v>
                </c:pt>
                <c:pt idx="578">
                  <c:v>13.086104232690555</c:v>
                </c:pt>
                <c:pt idx="579">
                  <c:v>13.081526631703399</c:v>
                </c:pt>
                <c:pt idx="580">
                  <c:v>13.076915866645125</c:v>
                </c:pt>
                <c:pt idx="581">
                  <c:v>13.07227200717144</c:v>
                </c:pt>
                <c:pt idx="582">
                  <c:v>13.067595122673207</c:v>
                </c:pt>
                <c:pt idx="583">
                  <c:v>13.062885282277749</c:v>
                </c:pt>
                <c:pt idx="584">
                  <c:v>13.058142554850104</c:v>
                </c:pt>
                <c:pt idx="585">
                  <c:v>13.053367008994289</c:v>
                </c:pt>
                <c:pt idx="586">
                  <c:v>13.048558713054575</c:v>
                </c:pt>
                <c:pt idx="587">
                  <c:v>13.043717735116701</c:v>
                </c:pt>
                <c:pt idx="588">
                  <c:v>13.03884414300912</c:v>
                </c:pt>
                <c:pt idx="589">
                  <c:v>13.033938004304224</c:v>
                </c:pt>
                <c:pt idx="590">
                  <c:v>13.028999386319542</c:v>
                </c:pt>
                <c:pt idx="591">
                  <c:v>13.02402835611896</c:v>
                </c:pt>
                <c:pt idx="592">
                  <c:v>13.019024980513883</c:v>
                </c:pt>
                <c:pt idx="593">
                  <c:v>13.013989326064443</c:v>
                </c:pt>
                <c:pt idx="594">
                  <c:v>13.008921459080653</c:v>
                </c:pt>
                <c:pt idx="595">
                  <c:v>13.003821445623574</c:v>
                </c:pt>
                <c:pt idx="596">
                  <c:v>12.998689351506453</c:v>
                </c:pt>
                <c:pt idx="597">
                  <c:v>12.993525242295886</c:v>
                </c:pt>
                <c:pt idx="598">
                  <c:v>12.988329183312931</c:v>
                </c:pt>
                <c:pt idx="599">
                  <c:v>12.983101239634223</c:v>
                </c:pt>
                <c:pt idx="600">
                  <c:v>12.977841476093108</c:v>
                </c:pt>
                <c:pt idx="601">
                  <c:v>12.972549957280727</c:v>
                </c:pt>
                <c:pt idx="602">
                  <c:v>12.967226747547112</c:v>
                </c:pt>
                <c:pt idx="603">
                  <c:v>12.961871911002268</c:v>
                </c:pt>
                <c:pt idx="604">
                  <c:v>12.956485511517251</c:v>
                </c:pt>
                <c:pt idx="605">
                  <c:v>12.951067612725232</c:v>
                </c:pt>
                <c:pt idx="606">
                  <c:v>12.945618278022542</c:v>
                </c:pt>
                <c:pt idx="607">
                  <c:v>12.94013757056973</c:v>
                </c:pt>
                <c:pt idx="608">
                  <c:v>12.934625553292598</c:v>
                </c:pt>
                <c:pt idx="609">
                  <c:v>12.929082288883219</c:v>
                </c:pt>
                <c:pt idx="610">
                  <c:v>12.923507839800964</c:v>
                </c:pt>
                <c:pt idx="611">
                  <c:v>12.917902268273515</c:v>
                </c:pt>
                <c:pt idx="612">
                  <c:v>12.912265636297862</c:v>
                </c:pt>
                <c:pt idx="613">
                  <c:v>12.906598005641287</c:v>
                </c:pt>
                <c:pt idx="614">
                  <c:v>12.900899437842368</c:v>
                </c:pt>
                <c:pt idx="615">
                  <c:v>12.895169994211937</c:v>
                </c:pt>
                <c:pt idx="616">
                  <c:v>12.889409735834047</c:v>
                </c:pt>
                <c:pt idx="617">
                  <c:v>12.883618723566949</c:v>
                </c:pt>
                <c:pt idx="618">
                  <c:v>12.877797018044012</c:v>
                </c:pt>
                <c:pt idx="619">
                  <c:v>12.871944679674696</c:v>
                </c:pt>
                <c:pt idx="620">
                  <c:v>12.866061768645459</c:v>
                </c:pt>
                <c:pt idx="621">
                  <c:v>12.860148344920695</c:v>
                </c:pt>
                <c:pt idx="622">
                  <c:v>12.854204468243656</c:v>
                </c:pt>
                <c:pt idx="623">
                  <c:v>12.848230198137342</c:v>
                </c:pt>
                <c:pt idx="624">
                  <c:v>12.842225593905422</c:v>
                </c:pt>
                <c:pt idx="625">
                  <c:v>12.836190714633105</c:v>
                </c:pt>
                <c:pt idx="626">
                  <c:v>12.830125619188046</c:v>
                </c:pt>
                <c:pt idx="627">
                  <c:v>12.824030366221209</c:v>
                </c:pt>
                <c:pt idx="628">
                  <c:v>12.817905014167739</c:v>
                </c:pt>
                <c:pt idx="629">
                  <c:v>12.811749621247827</c:v>
                </c:pt>
                <c:pt idx="630">
                  <c:v>12.805564245467549</c:v>
                </c:pt>
                <c:pt idx="631">
                  <c:v>12.799348944619735</c:v>
                </c:pt>
                <c:pt idx="632">
                  <c:v>12.793103776284777</c:v>
                </c:pt>
                <c:pt idx="633">
                  <c:v>12.786828797831493</c:v>
                </c:pt>
                <c:pt idx="634">
                  <c:v>12.780524066417913</c:v>
                </c:pt>
                <c:pt idx="635">
                  <c:v>12.774189638992127</c:v>
                </c:pt>
                <c:pt idx="636">
                  <c:v>12.76782557229307</c:v>
                </c:pt>
                <c:pt idx="637">
                  <c:v>12.76143192285133</c:v>
                </c:pt>
                <c:pt idx="638">
                  <c:v>12.755008746989942</c:v>
                </c:pt>
                <c:pt idx="639">
                  <c:v>12.748556100825173</c:v>
                </c:pt>
                <c:pt idx="640">
                  <c:v>12.742074040267298</c:v>
                </c:pt>
                <c:pt idx="641">
                  <c:v>12.735562621021362</c:v>
                </c:pt>
                <c:pt idx="642">
                  <c:v>12.729021898587968</c:v>
                </c:pt>
                <c:pt idx="643">
                  <c:v>12.722451928264007</c:v>
                </c:pt>
                <c:pt idx="644">
                  <c:v>12.715852765143422</c:v>
                </c:pt>
                <c:pt idx="645">
                  <c:v>12.709224464117948</c:v>
                </c:pt>
                <c:pt idx="646">
                  <c:v>12.702567079877841</c:v>
                </c:pt>
                <c:pt idx="647">
                  <c:v>12.695880666912615</c:v>
                </c:pt>
                <c:pt idx="648">
                  <c:v>12.689165279511753</c:v>
                </c:pt>
                <c:pt idx="649">
                  <c:v>12.682420971765435</c:v>
                </c:pt>
                <c:pt idx="650">
                  <c:v>12.67564779756523</c:v>
                </c:pt>
                <c:pt idx="651">
                  <c:v>12.668845810604804</c:v>
                </c:pt>
                <c:pt idx="652">
                  <c:v>12.662015064380617</c:v>
                </c:pt>
                <c:pt idx="653">
                  <c:v>12.655155612192603</c:v>
                </c:pt>
                <c:pt idx="654">
                  <c:v>12.648267507144855</c:v>
                </c:pt>
                <c:pt idx="655">
                  <c:v>12.641350802146299</c:v>
                </c:pt>
                <c:pt idx="656">
                  <c:v>12.634405549911348</c:v>
                </c:pt>
                <c:pt idx="657">
                  <c:v>12.627431802960585</c:v>
                </c:pt>
                <c:pt idx="658">
                  <c:v>12.620429613621397</c:v>
                </c:pt>
                <c:pt idx="659">
                  <c:v>12.61339903402863</c:v>
                </c:pt>
                <c:pt idx="660">
                  <c:v>12.606340116125233</c:v>
                </c:pt>
                <c:pt idx="661">
                  <c:v>12.599252911662882</c:v>
                </c:pt>
                <c:pt idx="662">
                  <c:v>12.592137472202612</c:v>
                </c:pt>
                <c:pt idx="663">
                  <c:v>12.584993849115445</c:v>
                </c:pt>
                <c:pt idx="664">
                  <c:v>12.577822093582995</c:v>
                </c:pt>
                <c:pt idx="665">
                  <c:v>12.570622256598078</c:v>
                </c:pt>
                <c:pt idx="666">
                  <c:v>12.563394388965321</c:v>
                </c:pt>
                <c:pt idx="667">
                  <c:v>12.556138541301751</c:v>
                </c:pt>
                <c:pt idx="668">
                  <c:v>12.548854764037381</c:v>
                </c:pt>
                <c:pt idx="669">
                  <c:v>12.541543107415807</c:v>
                </c:pt>
                <c:pt idx="670">
                  <c:v>12.534203621494767</c:v>
                </c:pt>
                <c:pt idx="671">
                  <c:v>12.526836356146724</c:v>
                </c:pt>
                <c:pt idx="672">
                  <c:v>12.519441361059428</c:v>
                </c:pt>
                <c:pt idx="673">
                  <c:v>12.512018905727132</c:v>
                </c:pt>
                <c:pt idx="674">
                  <c:v>12.50458589357272</c:v>
                </c:pt>
                <c:pt idx="675">
                  <c:v>12.497152881418307</c:v>
                </c:pt>
                <c:pt idx="676">
                  <c:v>12.489719869263894</c:v>
                </c:pt>
                <c:pt idx="677">
                  <c:v>12.482286857109482</c:v>
                </c:pt>
                <c:pt idx="678">
                  <c:v>12.474853844955069</c:v>
                </c:pt>
                <c:pt idx="679">
                  <c:v>12.467420832800657</c:v>
                </c:pt>
                <c:pt idx="680">
                  <c:v>12.459987820646244</c:v>
                </c:pt>
                <c:pt idx="681">
                  <c:v>12.452554808491833</c:v>
                </c:pt>
                <c:pt idx="682">
                  <c:v>12.445121796337419</c:v>
                </c:pt>
                <c:pt idx="683">
                  <c:v>12.437688784183006</c:v>
                </c:pt>
                <c:pt idx="684">
                  <c:v>12.430255772028595</c:v>
                </c:pt>
                <c:pt idx="685">
                  <c:v>12.422822759874181</c:v>
                </c:pt>
                <c:pt idx="686">
                  <c:v>12.41538974771977</c:v>
                </c:pt>
                <c:pt idx="687">
                  <c:v>12.407956735565357</c:v>
                </c:pt>
                <c:pt idx="688">
                  <c:v>12.400523723410945</c:v>
                </c:pt>
                <c:pt idx="689">
                  <c:v>12.393090711256532</c:v>
                </c:pt>
                <c:pt idx="690">
                  <c:v>12.38565769910212</c:v>
                </c:pt>
                <c:pt idx="691">
                  <c:v>12.378224686947707</c:v>
                </c:pt>
                <c:pt idx="692">
                  <c:v>12.370791674793296</c:v>
                </c:pt>
                <c:pt idx="693">
                  <c:v>12.363358662638882</c:v>
                </c:pt>
                <c:pt idx="694">
                  <c:v>12.355925650484469</c:v>
                </c:pt>
                <c:pt idx="695">
                  <c:v>12.348492638330058</c:v>
                </c:pt>
                <c:pt idx="696">
                  <c:v>12.341059626175644</c:v>
                </c:pt>
                <c:pt idx="697">
                  <c:v>12.333626614021231</c:v>
                </c:pt>
                <c:pt idx="698">
                  <c:v>12.326193601866819</c:v>
                </c:pt>
                <c:pt idx="699">
                  <c:v>12.318760589712408</c:v>
                </c:pt>
                <c:pt idx="700">
                  <c:v>12.311327577557995</c:v>
                </c:pt>
                <c:pt idx="701">
                  <c:v>12.303894565403581</c:v>
                </c:pt>
                <c:pt idx="702">
                  <c:v>12.29646155324917</c:v>
                </c:pt>
                <c:pt idx="703">
                  <c:v>12.289028541094757</c:v>
                </c:pt>
                <c:pt idx="704">
                  <c:v>12.281595528940343</c:v>
                </c:pt>
                <c:pt idx="705">
                  <c:v>12.274162516785932</c:v>
                </c:pt>
                <c:pt idx="706">
                  <c:v>12.26672950463152</c:v>
                </c:pt>
                <c:pt idx="707">
                  <c:v>12.259296492477107</c:v>
                </c:pt>
                <c:pt idx="708">
                  <c:v>12.251863480322694</c:v>
                </c:pt>
                <c:pt idx="709">
                  <c:v>12.244430468168282</c:v>
                </c:pt>
                <c:pt idx="710">
                  <c:v>12.236997456013869</c:v>
                </c:pt>
                <c:pt idx="711">
                  <c:v>12.229564443859456</c:v>
                </c:pt>
                <c:pt idx="712">
                  <c:v>12.222131431705044</c:v>
                </c:pt>
                <c:pt idx="713">
                  <c:v>12.214698419550633</c:v>
                </c:pt>
                <c:pt idx="714">
                  <c:v>12.207265407396219</c:v>
                </c:pt>
                <c:pt idx="715">
                  <c:v>12.199832395241806</c:v>
                </c:pt>
                <c:pt idx="716">
                  <c:v>12.192399383087395</c:v>
                </c:pt>
                <c:pt idx="717">
                  <c:v>12.184966370932981</c:v>
                </c:pt>
                <c:pt idx="718">
                  <c:v>12.177533358778568</c:v>
                </c:pt>
                <c:pt idx="719">
                  <c:v>12.170100346624157</c:v>
                </c:pt>
                <c:pt idx="720">
                  <c:v>12.162667334469745</c:v>
                </c:pt>
                <c:pt idx="721">
                  <c:v>12.155234322315332</c:v>
                </c:pt>
                <c:pt idx="722">
                  <c:v>12.147801310160919</c:v>
                </c:pt>
                <c:pt idx="723">
                  <c:v>12.140368298006507</c:v>
                </c:pt>
                <c:pt idx="724">
                  <c:v>12.132935285852094</c:v>
                </c:pt>
                <c:pt idx="725">
                  <c:v>12.125502273697681</c:v>
                </c:pt>
                <c:pt idx="726">
                  <c:v>12.118069261543269</c:v>
                </c:pt>
                <c:pt idx="727">
                  <c:v>12.110636249388856</c:v>
                </c:pt>
                <c:pt idx="728">
                  <c:v>12.103203237234444</c:v>
                </c:pt>
                <c:pt idx="729">
                  <c:v>12.095770225080031</c:v>
                </c:pt>
                <c:pt idx="730">
                  <c:v>12.088337212925619</c:v>
                </c:pt>
                <c:pt idx="731">
                  <c:v>12.080904200771206</c:v>
                </c:pt>
                <c:pt idx="732">
                  <c:v>12.073471188616793</c:v>
                </c:pt>
                <c:pt idx="733">
                  <c:v>12.066038176462381</c:v>
                </c:pt>
                <c:pt idx="734">
                  <c:v>12.058605164307968</c:v>
                </c:pt>
                <c:pt idx="735">
                  <c:v>12.051172152153557</c:v>
                </c:pt>
                <c:pt idx="736">
                  <c:v>12.043739139999143</c:v>
                </c:pt>
                <c:pt idx="737">
                  <c:v>12.036306127844732</c:v>
                </c:pt>
                <c:pt idx="738">
                  <c:v>12.028873115690319</c:v>
                </c:pt>
                <c:pt idx="739">
                  <c:v>12.021440103535905</c:v>
                </c:pt>
                <c:pt idx="740">
                  <c:v>12.014007091381494</c:v>
                </c:pt>
                <c:pt idx="741">
                  <c:v>12.006574079227081</c:v>
                </c:pt>
                <c:pt idx="742">
                  <c:v>11.999141067072667</c:v>
                </c:pt>
                <c:pt idx="743">
                  <c:v>11.991708054918256</c:v>
                </c:pt>
                <c:pt idx="744">
                  <c:v>11.984275042763844</c:v>
                </c:pt>
                <c:pt idx="745">
                  <c:v>11.976842030609431</c:v>
                </c:pt>
                <c:pt idx="746">
                  <c:v>11.969409018455018</c:v>
                </c:pt>
                <c:pt idx="747">
                  <c:v>11.961976006300606</c:v>
                </c:pt>
                <c:pt idx="748">
                  <c:v>11.954542994146193</c:v>
                </c:pt>
                <c:pt idx="749">
                  <c:v>11.94710998199178</c:v>
                </c:pt>
                <c:pt idx="750">
                  <c:v>11.939676969837368</c:v>
                </c:pt>
                <c:pt idx="751">
                  <c:v>11.932243957682957</c:v>
                </c:pt>
                <c:pt idx="752">
                  <c:v>11.924810945528543</c:v>
                </c:pt>
                <c:pt idx="753">
                  <c:v>11.91737793337413</c:v>
                </c:pt>
                <c:pt idx="754">
                  <c:v>11.909944921219719</c:v>
                </c:pt>
                <c:pt idx="755">
                  <c:v>11.902511909065305</c:v>
                </c:pt>
                <c:pt idx="756">
                  <c:v>11.895078896910892</c:v>
                </c:pt>
                <c:pt idx="757">
                  <c:v>11.887645884756481</c:v>
                </c:pt>
                <c:pt idx="758">
                  <c:v>11.880212872602069</c:v>
                </c:pt>
                <c:pt idx="759">
                  <c:v>11.872779860447656</c:v>
                </c:pt>
                <c:pt idx="760">
                  <c:v>11.865346848293242</c:v>
                </c:pt>
                <c:pt idx="761">
                  <c:v>11.857913836138831</c:v>
                </c:pt>
                <c:pt idx="762">
                  <c:v>11.850480823984418</c:v>
                </c:pt>
                <c:pt idx="763">
                  <c:v>11.843047811830004</c:v>
                </c:pt>
                <c:pt idx="764">
                  <c:v>11.835614799675593</c:v>
                </c:pt>
                <c:pt idx="765">
                  <c:v>11.82818178752118</c:v>
                </c:pt>
                <c:pt idx="766">
                  <c:v>11.820748775366768</c:v>
                </c:pt>
                <c:pt idx="767">
                  <c:v>11.813315763212355</c:v>
                </c:pt>
                <c:pt idx="768">
                  <c:v>11.805882751057943</c:v>
                </c:pt>
                <c:pt idx="769">
                  <c:v>11.79844973890353</c:v>
                </c:pt>
                <c:pt idx="770">
                  <c:v>11.791016726749117</c:v>
                </c:pt>
                <c:pt idx="771">
                  <c:v>11.783583714594705</c:v>
                </c:pt>
                <c:pt idx="772">
                  <c:v>11.776150702440292</c:v>
                </c:pt>
                <c:pt idx="773">
                  <c:v>11.768717690285881</c:v>
                </c:pt>
                <c:pt idx="774">
                  <c:v>11.761284678131467</c:v>
                </c:pt>
                <c:pt idx="775">
                  <c:v>11.753851665977056</c:v>
                </c:pt>
                <c:pt idx="776">
                  <c:v>11.746418653822642</c:v>
                </c:pt>
                <c:pt idx="777">
                  <c:v>11.738985641668229</c:v>
                </c:pt>
                <c:pt idx="778">
                  <c:v>11.731552629513818</c:v>
                </c:pt>
                <c:pt idx="779">
                  <c:v>11.724119617359404</c:v>
                </c:pt>
                <c:pt idx="780">
                  <c:v>11.716686605204991</c:v>
                </c:pt>
                <c:pt idx="781">
                  <c:v>11.70925359305058</c:v>
                </c:pt>
                <c:pt idx="782">
                  <c:v>11.701820580896168</c:v>
                </c:pt>
                <c:pt idx="783">
                  <c:v>11.694387568741755</c:v>
                </c:pt>
                <c:pt idx="784">
                  <c:v>11.686954556587342</c:v>
                </c:pt>
                <c:pt idx="785">
                  <c:v>11.67952154443293</c:v>
                </c:pt>
                <c:pt idx="786">
                  <c:v>11.672088532278517</c:v>
                </c:pt>
                <c:pt idx="787">
                  <c:v>11.664655520124104</c:v>
                </c:pt>
                <c:pt idx="788">
                  <c:v>11.657222507969692</c:v>
                </c:pt>
                <c:pt idx="789">
                  <c:v>11.649789495815281</c:v>
                </c:pt>
                <c:pt idx="790">
                  <c:v>11.642356483660867</c:v>
                </c:pt>
                <c:pt idx="791">
                  <c:v>11.634923471506454</c:v>
                </c:pt>
                <c:pt idx="792">
                  <c:v>11.627490459352043</c:v>
                </c:pt>
                <c:pt idx="793">
                  <c:v>11.620057447197629</c:v>
                </c:pt>
                <c:pt idx="794">
                  <c:v>11.612624435043216</c:v>
                </c:pt>
                <c:pt idx="795">
                  <c:v>11.605191422888804</c:v>
                </c:pt>
                <c:pt idx="796">
                  <c:v>11.597758410734393</c:v>
                </c:pt>
                <c:pt idx="797">
                  <c:v>11.59032539857998</c:v>
                </c:pt>
                <c:pt idx="798">
                  <c:v>11.582892386425566</c:v>
                </c:pt>
                <c:pt idx="799">
                  <c:v>11.575459374271155</c:v>
                </c:pt>
                <c:pt idx="800">
                  <c:v>11.568026362116742</c:v>
                </c:pt>
                <c:pt idx="801">
                  <c:v>11.560593349962328</c:v>
                </c:pt>
                <c:pt idx="802">
                  <c:v>11.553160337807917</c:v>
                </c:pt>
                <c:pt idx="803">
                  <c:v>11.545722935570984</c:v>
                </c:pt>
                <c:pt idx="804">
                  <c:v>11.538090497360791</c:v>
                </c:pt>
                <c:pt idx="805">
                  <c:v>11.530161698219441</c:v>
                </c:pt>
                <c:pt idx="806">
                  <c:v>11.521937073512454</c:v>
                </c:pt>
                <c:pt idx="807">
                  <c:v>11.513417135823547</c:v>
                </c:pt>
                <c:pt idx="808">
                  <c:v>11.504602375004897</c:v>
                </c:pt>
                <c:pt idx="809">
                  <c:v>11.495493258218646</c:v>
                </c:pt>
                <c:pt idx="810">
                  <c:v>11.486090229969646</c:v>
                </c:pt>
                <c:pt idx="811">
                  <c:v>11.476393712129486</c:v>
                </c:pt>
                <c:pt idx="812">
                  <c:v>11.466404103951731</c:v>
                </c:pt>
                <c:pt idx="813">
                  <c:v>11.45612178207845</c:v>
                </c:pt>
                <c:pt idx="814">
                  <c:v>11.445547100537887</c:v>
                </c:pt>
                <c:pt idx="815">
                  <c:v>11.434680390733405</c:v>
                </c:pt>
                <c:pt idx="816">
                  <c:v>11.423521961423511</c:v>
                </c:pt>
                <c:pt idx="817">
                  <c:v>11.412072098693029</c:v>
                </c:pt>
                <c:pt idx="818">
                  <c:v>11.400331065915289</c:v>
                </c:pt>
                <c:pt idx="819">
                  <c:v>11.388299103705357</c:v>
                </c:pt>
                <c:pt idx="820">
                  <c:v>11.375976429864121</c:v>
                </c:pt>
                <c:pt idx="821">
                  <c:v>11.363363239313278</c:v>
                </c:pt>
                <c:pt idx="822">
                  <c:v>11.350459704021043</c:v>
                </c:pt>
                <c:pt idx="823">
                  <c:v>11.337265972918505</c:v>
                </c:pt>
                <c:pt idx="824">
                  <c:v>11.323782171806574</c:v>
                </c:pt>
                <c:pt idx="825">
                  <c:v>11.310008403253324</c:v>
                </c:pt>
                <c:pt idx="826">
                  <c:v>11.295944746481668</c:v>
                </c:pt>
                <c:pt idx="827">
                  <c:v>11.281591257247214</c:v>
                </c:pt>
                <c:pt idx="828">
                  <c:v>11.266947967706136</c:v>
                </c:pt>
                <c:pt idx="829">
                  <c:v>11.252014886272947</c:v>
                </c:pt>
                <c:pt idx="830">
                  <c:v>11.236791997467966</c:v>
                </c:pt>
                <c:pt idx="831">
                  <c:v>11.221279261754333</c:v>
                </c:pt>
                <c:pt idx="832">
                  <c:v>11.205476615364372</c:v>
                </c:pt>
                <c:pt idx="833">
                  <c:v>11.189383970115097</c:v>
                </c:pt>
                <c:pt idx="834">
                  <c:v>11.173001213212682</c:v>
                </c:pt>
                <c:pt idx="835">
                  <c:v>11.156328207045618</c:v>
                </c:pt>
                <c:pt idx="836">
                  <c:v>11.139364788966375</c:v>
                </c:pt>
                <c:pt idx="837">
                  <c:v>11.122110771061278</c:v>
                </c:pt>
                <c:pt idx="838">
                  <c:v>11.104565939908367</c:v>
                </c:pt>
                <c:pt idx="839">
                  <c:v>11.086730056322949</c:v>
                </c:pt>
                <c:pt idx="840">
                  <c:v>11.068602855090528</c:v>
                </c:pt>
                <c:pt idx="841">
                  <c:v>11.050184044686864</c:v>
                </c:pt>
                <c:pt idx="842">
                  <c:v>11.031473306984758</c:v>
                </c:pt>
                <c:pt idx="843">
                  <c:v>11.012470296947317</c:v>
                </c:pt>
                <c:pt idx="844">
                  <c:v>10.993174642307237</c:v>
                </c:pt>
                <c:pt idx="845">
                  <c:v>10.97358594323183</c:v>
                </c:pt>
                <c:pt idx="846">
                  <c:v>10.953703771973329</c:v>
                </c:pt>
                <c:pt idx="847">
                  <c:v>10.933527672504077</c:v>
                </c:pt>
                <c:pt idx="848">
                  <c:v>10.913057160136189</c:v>
                </c:pt>
                <c:pt idx="849">
                  <c:v>10.892291721125201</c:v>
                </c:pt>
                <c:pt idx="850">
                  <c:v>10.871230812257251</c:v>
                </c:pt>
                <c:pt idx="851">
                  <c:v>10.849873860419255</c:v>
                </c:pt>
                <c:pt idx="852">
                  <c:v>10.828220262151605</c:v>
                </c:pt>
                <c:pt idx="853">
                  <c:v>10.806269383182794</c:v>
                </c:pt>
                <c:pt idx="854">
                  <c:v>10.784020557945393</c:v>
                </c:pt>
                <c:pt idx="855">
                  <c:v>10.761473089072812</c:v>
                </c:pt>
                <c:pt idx="856">
                  <c:v>10.738626246876136</c:v>
                </c:pt>
                <c:pt idx="857">
                  <c:v>10.715479268800465</c:v>
                </c:pt>
                <c:pt idx="858">
                  <c:v>10.692031358859955</c:v>
                </c:pt>
                <c:pt idx="859">
                  <c:v>10.668281687050905</c:v>
                </c:pt>
                <c:pt idx="860">
                  <c:v>10.644229388742072</c:v>
                </c:pt>
                <c:pt idx="861">
                  <c:v>10.619873564041427</c:v>
                </c:pt>
                <c:pt idx="862">
                  <c:v>10.5952132771385</c:v>
                </c:pt>
                <c:pt idx="863">
                  <c:v>10.570247555621414</c:v>
                </c:pt>
                <c:pt idx="864">
                  <c:v>10.544975389767675</c:v>
                </c:pt>
                <c:pt idx="865">
                  <c:v>10.519395731807759</c:v>
                </c:pt>
                <c:pt idx="866">
                  <c:v>10.493507495160426</c:v>
                </c:pt>
                <c:pt idx="867">
                  <c:v>10.467309553638685</c:v>
                </c:pt>
                <c:pt idx="868">
                  <c:v>10.44080074062534</c:v>
                </c:pt>
                <c:pt idx="869">
                  <c:v>10.413979848216798</c:v>
                </c:pt>
                <c:pt idx="870">
                  <c:v>10.386845626333988</c:v>
                </c:pt>
                <c:pt idx="871">
                  <c:v>10.359396781799028</c:v>
                </c:pt>
                <c:pt idx="872">
                  <c:v>10.331631977376238</c:v>
                </c:pt>
                <c:pt idx="873">
                  <c:v>10.303549830776058</c:v>
                </c:pt>
                <c:pt idx="874">
                  <c:v>10.275148913620342</c:v>
                </c:pt>
                <c:pt idx="875">
                  <c:v>10.246427750367364</c:v>
                </c:pt>
                <c:pt idx="876">
                  <c:v>10.217384817194873</c:v>
                </c:pt>
                <c:pt idx="877">
                  <c:v>10.188018540839394</c:v>
                </c:pt>
                <c:pt idx="878">
                  <c:v>10.158327297389853</c:v>
                </c:pt>
                <c:pt idx="879">
                  <c:v>10.128309411033561</c:v>
                </c:pt>
                <c:pt idx="880">
                  <c:v>10.097963152752458</c:v>
                </c:pt>
                <c:pt idx="881">
                  <c:v>10.067286738967349</c:v>
                </c:pt>
                <c:pt idx="882">
                  <c:v>10.036278330127836</c:v>
                </c:pt>
                <c:pt idx="883">
                  <c:v>10.004936029245489</c:v>
                </c:pt>
                <c:pt idx="884">
                  <c:v>9.973257880367564</c:v>
                </c:pt>
                <c:pt idx="885">
                  <c:v>9.9412418669885998</c:v>
                </c:pt>
                <c:pt idx="886">
                  <c:v>9.9088859103969114</c:v>
                </c:pt>
                <c:pt idx="887">
                  <c:v>9.8761878679529218</c:v>
                </c:pt>
                <c:pt idx="888">
                  <c:v>9.8431455312960896</c:v>
                </c:pt>
                <c:pt idx="889">
                  <c:v>9.8097566244769236</c:v>
                </c:pt>
                <c:pt idx="890">
                  <c:v>9.7760188020104817</c:v>
                </c:pt>
                <c:pt idx="891">
                  <c:v>9.7419296468474457</c:v>
                </c:pt>
                <c:pt idx="892">
                  <c:v>9.7074866682586656</c:v>
                </c:pt>
                <c:pt idx="893">
                  <c:v>9.6726872996288495</c:v>
                </c:pt>
                <c:pt idx="894">
                  <c:v>9.6375288961547305</c:v>
                </c:pt>
                <c:pt idx="895">
                  <c:v>9.6020087324428189</c:v>
                </c:pt>
                <c:pt idx="896">
                  <c:v>9.5661240000015741</c:v>
                </c:pt>
                <c:pt idx="897">
                  <c:v>9.5298718046223421</c:v>
                </c:pt>
                <c:pt idx="898">
                  <c:v>9.4932491636433394</c:v>
                </c:pt>
                <c:pt idx="899">
                  <c:v>9.4562530030902376</c:v>
                </c:pt>
                <c:pt idx="900">
                  <c:v>9.4188801546867857</c:v>
                </c:pt>
                <c:pt idx="901">
                  <c:v>9.3811273527283454</c:v>
                </c:pt>
                <c:pt idx="902">
                  <c:v>9.3429912308107337</c:v>
                </c:pt>
                <c:pt idx="903">
                  <c:v>9.3044683184063306</c:v>
                </c:pt>
                <c:pt idx="904">
                  <c:v>9.2655550372787978</c:v>
                </c:pt>
                <c:pt idx="905">
                  <c:v>9.2262476977272136</c:v>
                </c:pt>
                <c:pt idx="906">
                  <c:v>9.1865424946498013</c:v>
                </c:pt>
                <c:pt idx="907">
                  <c:v>9.1464355034166971</c:v>
                </c:pt>
                <c:pt idx="908">
                  <c:v>9.1059226755405174</c:v>
                </c:pt>
                <c:pt idx="909">
                  <c:v>9.0649998341326654</c:v>
                </c:pt>
                <c:pt idx="910">
                  <c:v>9.0236626691324702</c:v>
                </c:pt>
                <c:pt idx="911">
                  <c:v>8.9819067322952719</c:v>
                </c:pt>
                <c:pt idx="912">
                  <c:v>8.9397274319245899</c:v>
                </c:pt>
                <c:pt idx="913">
                  <c:v>8.8971200273324733</c:v>
                </c:pt>
                <c:pt idx="914">
                  <c:v>8.8540796230107528</c:v>
                </c:pt>
                <c:pt idx="915">
                  <c:v>8.8106011624947964</c:v>
                </c:pt>
                <c:pt idx="916">
                  <c:v>8.7666794218998945</c:v>
                </c:pt>
                <c:pt idx="917">
                  <c:v>8.7223090031088155</c:v>
                </c:pt>
                <c:pt idx="918">
                  <c:v>8.6774843265874466</c:v>
                </c:pt>
                <c:pt idx="919">
                  <c:v>8.6321996238035847</c:v>
                </c:pt>
                <c:pt idx="920">
                  <c:v>8.5864489292218913</c:v>
                </c:pt>
                <c:pt idx="921">
                  <c:v>8.5402260718459502</c:v>
                </c:pt>
                <c:pt idx="922">
                  <c:v>8.4935246662757873</c:v>
                </c:pt>
                <c:pt idx="923">
                  <c:v>8.4463381032467382</c:v>
                </c:pt>
                <c:pt idx="924">
                  <c:v>8.3986595396125825</c:v>
                </c:pt>
                <c:pt idx="925">
                  <c:v>8.3504818877326823</c:v>
                </c:pt>
                <c:pt idx="926">
                  <c:v>8.3017978042193885</c:v>
                </c:pt>
                <c:pt idx="927">
                  <c:v>8.2525996779980719</c:v>
                </c:pt>
                <c:pt idx="928">
                  <c:v>8.2028796176280903</c:v>
                </c:pt>
                <c:pt idx="929">
                  <c:v>8.1526294378279012</c:v>
                </c:pt>
                <c:pt idx="930">
                  <c:v>8.1018406451428309</c:v>
                </c:pt>
                <c:pt idx="931">
                  <c:v>8.0505044226878741</c:v>
                </c:pt>
                <c:pt idx="932">
                  <c:v>7.99861161389176</c:v>
                </c:pt>
                <c:pt idx="933">
                  <c:v>7.9461527051613103</c:v>
                </c:pt>
                <c:pt idx="934">
                  <c:v>7.8931178073773154</c:v>
                </c:pt>
                <c:pt idx="935">
                  <c:v>7.8394966361243501</c:v>
                </c:pt>
                <c:pt idx="936">
                  <c:v>7.7852784905471903</c:v>
                </c:pt>
                <c:pt idx="937">
                  <c:v>7.7304522307155121</c:v>
                </c:pt>
                <c:pt idx="938">
                  <c:v>7.6750062533663828</c:v>
                </c:pt>
                <c:pt idx="939">
                  <c:v>7.6189284658801979</c:v>
                </c:pt>
                <c:pt idx="940">
                  <c:v>7.5622062583305549</c:v>
                </c:pt>
                <c:pt idx="941">
                  <c:v>7.5048264734308017</c:v>
                </c:pt>
                <c:pt idx="942">
                  <c:v>7.4467753741808398</c:v>
                </c:pt>
                <c:pt idx="943">
                  <c:v>7.3880386089953474</c:v>
                </c:pt>
                <c:pt idx="944">
                  <c:v>7.3286011740697417</c:v>
                </c:pt>
                <c:pt idx="945">
                  <c:v>7.2684473727116936</c:v>
                </c:pt>
                <c:pt idx="946">
                  <c:v>7.2075607713337781</c:v>
                </c:pt>
                <c:pt idx="947">
                  <c:v>7.1459241517660468</c:v>
                </c:pt>
                <c:pt idx="948">
                  <c:v>7.0835194595052844</c:v>
                </c:pt>
                <c:pt idx="949">
                  <c:v>7.0203277474695618</c:v>
                </c:pt>
                <c:pt idx="950">
                  <c:v>6.956329114771707</c:v>
                </c:pt>
                <c:pt idx="951">
                  <c:v>6.8915026399614039</c:v>
                </c:pt>
                <c:pt idx="952">
                  <c:v>6.8258263081126929</c:v>
                </c:pt>
                <c:pt idx="953">
                  <c:v>6.759276931048686</c:v>
                </c:pt>
                <c:pt idx="954">
                  <c:v>6.6918300598968878</c:v>
                </c:pt>
                <c:pt idx="955">
                  <c:v>6.6234598890540193</c:v>
                </c:pt>
                <c:pt idx="956">
                  <c:v>6.5541391505055273</c:v>
                </c:pt>
                <c:pt idx="957">
                  <c:v>6.4838389972882693</c:v>
                </c:pt>
                <c:pt idx="958">
                  <c:v>6.412528874700806</c:v>
                </c:pt>
                <c:pt idx="959">
                  <c:v>6.3401763776484614</c:v>
                </c:pt>
                <c:pt idx="960">
                  <c:v>6.2667470922532438</c:v>
                </c:pt>
                <c:pt idx="961">
                  <c:v>6.1922044195529606</c:v>
                </c:pt>
                <c:pt idx="962">
                  <c:v>6.1165093787490479</c:v>
                </c:pt>
                <c:pt idx="963">
                  <c:v>6.0396203870253204</c:v>
                </c:pt>
                <c:pt idx="964">
                  <c:v>5.9614930124331682</c:v>
                </c:pt>
                <c:pt idx="965">
                  <c:v>5.8820796957019121</c:v>
                </c:pt>
                <c:pt idx="966">
                  <c:v>5.8013294360579524</c:v>
                </c:pt>
                <c:pt idx="967">
                  <c:v>5.7191874351901033</c:v>
                </c:pt>
                <c:pt idx="968">
                  <c:v>5.6355946923344478</c:v>
                </c:pt>
                <c:pt idx="969">
                  <c:v>5.5504875420136166</c:v>
                </c:pt>
                <c:pt idx="970">
                  <c:v>5.4637971241756063</c:v>
                </c:pt>
                <c:pt idx="971">
                  <c:v>5.375448774236177</c:v>
                </c:pt>
                <c:pt idx="972">
                  <c:v>5.2853613177027707</c:v>
                </c:pt>
                <c:pt idx="973">
                  <c:v>5.1934462504674492</c:v>
                </c:pt>
                <c:pt idx="974">
                  <c:v>5.0996067812583936</c:v>
                </c:pt>
                <c:pt idx="975">
                  <c:v>5.0037367068012628</c:v>
                </c:pt>
                <c:pt idx="976">
                  <c:v>4.9057190825018795</c:v>
                </c:pt>
                <c:pt idx="977">
                  <c:v>4.8054246412751684</c:v>
                </c:pt>
                <c:pt idx="978">
                  <c:v>4.7027098995959049</c:v>
                </c:pt>
                <c:pt idx="979">
                  <c:v>4.5974148716181418</c:v>
                </c:pt>
                <c:pt idx="980">
                  <c:v>4.4893602873824827</c:v>
                </c:pt>
                <c:pt idx="981">
                  <c:v>4.3783441768550686</c:v>
                </c:pt>
                <c:pt idx="982">
                  <c:v>4.2641376335290797</c:v>
                </c:pt>
                <c:pt idx="983">
                  <c:v>4.1464795029683019</c:v>
                </c:pt>
                <c:pt idx="984">
                  <c:v>4.0250696426322135</c:v>
                </c:pt>
                <c:pt idx="985">
                  <c:v>3.899560252970554</c:v>
                </c:pt>
                <c:pt idx="986">
                  <c:v>3.7695445587382457</c:v>
                </c:pt>
                <c:pt idx="987">
                  <c:v>3.6345417773743685</c:v>
                </c:pt>
                <c:pt idx="988">
                  <c:v>3.4939767669639661</c:v>
                </c:pt>
                <c:pt idx="989">
                  <c:v>3.3471518525539317</c:v>
                </c:pt>
                <c:pt idx="990">
                  <c:v>3.193206808087266</c:v>
                </c:pt>
                <c:pt idx="991">
                  <c:v>3.0310602698192759</c:v>
                </c:pt>
                <c:pt idx="992">
                  <c:v>2.8593208172304974</c:v>
                </c:pt>
                <c:pt idx="993">
                  <c:v>2.6761459800291614</c:v>
                </c:pt>
                <c:pt idx="994">
                  <c:v>2.4790061908763827</c:v>
                </c:pt>
                <c:pt idx="995">
                  <c:v>2.2642611795160006</c:v>
                </c:pt>
                <c:pt idx="996">
                  <c:v>2.0263262929700181</c:v>
                </c:pt>
                <c:pt idx="997">
                  <c:v>1.7558047400059291</c:v>
                </c:pt>
                <c:pt idx="998">
                  <c:v>1.4343830361382626</c:v>
                </c:pt>
                <c:pt idx="999">
                  <c:v>1.01480605360672</c:v>
                </c:pt>
                <c:pt idx="1000">
                  <c:v>2.6019719930795531E-7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15-4147-8235-0B06C1486F9F}"/>
            </c:ext>
          </c:extLst>
        </c:ser>
        <c:ser>
          <c:idx val="1"/>
          <c:order val="1"/>
          <c:tx>
            <c:v>Hardened Surface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MPa!$L$28:$L$1028</c:f>
              <c:numCache>
                <c:formatCode>General</c:formatCode>
                <c:ptCount val="1001"/>
                <c:pt idx="0">
                  <c:v>-52.525913591411864</c:v>
                </c:pt>
                <c:pt idx="1">
                  <c:v>-52.464721011153785</c:v>
                </c:pt>
                <c:pt idx="2">
                  <c:v>-52.403528430895705</c:v>
                </c:pt>
                <c:pt idx="3">
                  <c:v>-52.342335850637632</c:v>
                </c:pt>
                <c:pt idx="4">
                  <c:v>-52.281143270379552</c:v>
                </c:pt>
                <c:pt idx="5">
                  <c:v>-52.219950690121472</c:v>
                </c:pt>
                <c:pt idx="6">
                  <c:v>-52.158758109863392</c:v>
                </c:pt>
                <c:pt idx="7">
                  <c:v>-52.097565529605312</c:v>
                </c:pt>
                <c:pt idx="8">
                  <c:v>-52.036372949347239</c:v>
                </c:pt>
                <c:pt idx="9">
                  <c:v>-51.975180369089159</c:v>
                </c:pt>
                <c:pt idx="10">
                  <c:v>-51.913987788831079</c:v>
                </c:pt>
                <c:pt idx="11">
                  <c:v>-51.852795208572999</c:v>
                </c:pt>
                <c:pt idx="12">
                  <c:v>-51.791602628314919</c:v>
                </c:pt>
                <c:pt idx="13">
                  <c:v>-51.730410048056847</c:v>
                </c:pt>
                <c:pt idx="14">
                  <c:v>-51.669217467798767</c:v>
                </c:pt>
                <c:pt idx="15">
                  <c:v>-51.608024887540687</c:v>
                </c:pt>
                <c:pt idx="16">
                  <c:v>-51.546832307282607</c:v>
                </c:pt>
                <c:pt idx="17">
                  <c:v>-51.485639727024527</c:v>
                </c:pt>
                <c:pt idx="18">
                  <c:v>-51.424447146766454</c:v>
                </c:pt>
                <c:pt idx="19">
                  <c:v>-51.363254566508374</c:v>
                </c:pt>
                <c:pt idx="20">
                  <c:v>-51.302061986250294</c:v>
                </c:pt>
                <c:pt idx="21">
                  <c:v>-51.240869405992214</c:v>
                </c:pt>
                <c:pt idx="22">
                  <c:v>-51.179676825734134</c:v>
                </c:pt>
                <c:pt idx="23">
                  <c:v>-51.118484245476061</c:v>
                </c:pt>
                <c:pt idx="24">
                  <c:v>-51.057291665217981</c:v>
                </c:pt>
                <c:pt idx="25">
                  <c:v>-50.996099084959901</c:v>
                </c:pt>
                <c:pt idx="26">
                  <c:v>-50.934906504701821</c:v>
                </c:pt>
                <c:pt idx="27">
                  <c:v>-50.873713924443742</c:v>
                </c:pt>
                <c:pt idx="28">
                  <c:v>-50.812521344185669</c:v>
                </c:pt>
                <c:pt idx="29">
                  <c:v>-50.751328763927589</c:v>
                </c:pt>
                <c:pt idx="30">
                  <c:v>-50.690136183669509</c:v>
                </c:pt>
                <c:pt idx="31">
                  <c:v>-50.628943603411429</c:v>
                </c:pt>
                <c:pt idx="32">
                  <c:v>-50.567751023153349</c:v>
                </c:pt>
                <c:pt idx="33">
                  <c:v>-50.506558442895276</c:v>
                </c:pt>
                <c:pt idx="34">
                  <c:v>-50.445365862637196</c:v>
                </c:pt>
                <c:pt idx="35">
                  <c:v>-50.384173282379116</c:v>
                </c:pt>
                <c:pt idx="36">
                  <c:v>-50.322980702121036</c:v>
                </c:pt>
                <c:pt idx="37">
                  <c:v>-50.261788121862956</c:v>
                </c:pt>
                <c:pt idx="38">
                  <c:v>-50.200595541604883</c:v>
                </c:pt>
                <c:pt idx="39">
                  <c:v>-50.139402961346804</c:v>
                </c:pt>
                <c:pt idx="40">
                  <c:v>-50.078210381088724</c:v>
                </c:pt>
                <c:pt idx="41">
                  <c:v>-50.017017800830644</c:v>
                </c:pt>
                <c:pt idx="42">
                  <c:v>-49.955825220572564</c:v>
                </c:pt>
                <c:pt idx="43">
                  <c:v>-49.894632640314491</c:v>
                </c:pt>
                <c:pt idx="44">
                  <c:v>-49.833440060056411</c:v>
                </c:pt>
                <c:pt idx="45">
                  <c:v>-49.772247479798331</c:v>
                </c:pt>
                <c:pt idx="46">
                  <c:v>-49.711054899540251</c:v>
                </c:pt>
                <c:pt idx="47">
                  <c:v>-49.649862319282171</c:v>
                </c:pt>
                <c:pt idx="48">
                  <c:v>-49.588669739024098</c:v>
                </c:pt>
                <c:pt idx="49">
                  <c:v>-49.527477158766018</c:v>
                </c:pt>
                <c:pt idx="50">
                  <c:v>-49.466284578507938</c:v>
                </c:pt>
                <c:pt idx="51">
                  <c:v>-49.405091998249858</c:v>
                </c:pt>
                <c:pt idx="52">
                  <c:v>-49.343899417991778</c:v>
                </c:pt>
                <c:pt idx="53">
                  <c:v>-49.282706837733706</c:v>
                </c:pt>
                <c:pt idx="54">
                  <c:v>-49.221514257475626</c:v>
                </c:pt>
                <c:pt idx="55">
                  <c:v>-49.160321677217546</c:v>
                </c:pt>
                <c:pt idx="56">
                  <c:v>-49.099129096959466</c:v>
                </c:pt>
                <c:pt idx="57">
                  <c:v>-49.037936516701386</c:v>
                </c:pt>
                <c:pt idx="58">
                  <c:v>-48.976743936443313</c:v>
                </c:pt>
                <c:pt idx="59">
                  <c:v>-48.915551356185233</c:v>
                </c:pt>
                <c:pt idx="60">
                  <c:v>-48.854358775927153</c:v>
                </c:pt>
                <c:pt idx="61">
                  <c:v>-48.793166195669073</c:v>
                </c:pt>
                <c:pt idx="62">
                  <c:v>-48.731973615410993</c:v>
                </c:pt>
                <c:pt idx="63">
                  <c:v>-48.67078103515292</c:v>
                </c:pt>
                <c:pt idx="64">
                  <c:v>-48.60958845489484</c:v>
                </c:pt>
                <c:pt idx="65">
                  <c:v>-48.548395874636761</c:v>
                </c:pt>
                <c:pt idx="66">
                  <c:v>-48.487203294378681</c:v>
                </c:pt>
                <c:pt idx="67">
                  <c:v>-48.426010714120601</c:v>
                </c:pt>
                <c:pt idx="68">
                  <c:v>-48.364818133862528</c:v>
                </c:pt>
                <c:pt idx="69">
                  <c:v>-48.303625553604448</c:v>
                </c:pt>
                <c:pt idx="70">
                  <c:v>-48.242432973346368</c:v>
                </c:pt>
                <c:pt idx="71">
                  <c:v>-48.181240393088288</c:v>
                </c:pt>
                <c:pt idx="72">
                  <c:v>-48.120047812830208</c:v>
                </c:pt>
                <c:pt idx="73">
                  <c:v>-48.058855232572135</c:v>
                </c:pt>
                <c:pt idx="74">
                  <c:v>-47.997662652314055</c:v>
                </c:pt>
                <c:pt idx="75">
                  <c:v>-47.936470072055975</c:v>
                </c:pt>
                <c:pt idx="76">
                  <c:v>-47.875277491797895</c:v>
                </c:pt>
                <c:pt idx="77">
                  <c:v>-47.814084911539815</c:v>
                </c:pt>
                <c:pt idx="78">
                  <c:v>-47.752892331281743</c:v>
                </c:pt>
                <c:pt idx="79">
                  <c:v>-47.691699751023663</c:v>
                </c:pt>
                <c:pt idx="80">
                  <c:v>-47.630507170765583</c:v>
                </c:pt>
                <c:pt idx="81">
                  <c:v>-47.569314590507503</c:v>
                </c:pt>
                <c:pt idx="82">
                  <c:v>-47.508122010249423</c:v>
                </c:pt>
                <c:pt idx="83">
                  <c:v>-47.446929429991343</c:v>
                </c:pt>
                <c:pt idx="84">
                  <c:v>-47.38573684973327</c:v>
                </c:pt>
                <c:pt idx="85">
                  <c:v>-47.32454426947519</c:v>
                </c:pt>
                <c:pt idx="86">
                  <c:v>-47.26335168921711</c:v>
                </c:pt>
                <c:pt idx="87">
                  <c:v>-47.20215910895903</c:v>
                </c:pt>
                <c:pt idx="88">
                  <c:v>-47.140966528700957</c:v>
                </c:pt>
                <c:pt idx="89">
                  <c:v>-47.079773948442877</c:v>
                </c:pt>
                <c:pt idx="90">
                  <c:v>-47.018581368184797</c:v>
                </c:pt>
                <c:pt idx="91">
                  <c:v>-46.957388787926718</c:v>
                </c:pt>
                <c:pt idx="92">
                  <c:v>-46.896196207668638</c:v>
                </c:pt>
                <c:pt idx="93">
                  <c:v>-46.835003627410558</c:v>
                </c:pt>
                <c:pt idx="94">
                  <c:v>-46.773811047152485</c:v>
                </c:pt>
                <c:pt idx="95">
                  <c:v>-46.712618466894405</c:v>
                </c:pt>
                <c:pt idx="96">
                  <c:v>-46.651425886636325</c:v>
                </c:pt>
                <c:pt idx="97">
                  <c:v>-46.590233306378245</c:v>
                </c:pt>
                <c:pt idx="98">
                  <c:v>-46.529040726120172</c:v>
                </c:pt>
                <c:pt idx="99">
                  <c:v>-46.467848145862092</c:v>
                </c:pt>
                <c:pt idx="100">
                  <c:v>-46.406655565604012</c:v>
                </c:pt>
                <c:pt idx="101">
                  <c:v>-46.345462985345932</c:v>
                </c:pt>
                <c:pt idx="102">
                  <c:v>-46.284270405087852</c:v>
                </c:pt>
                <c:pt idx="103">
                  <c:v>-46.223077824829772</c:v>
                </c:pt>
                <c:pt idx="104">
                  <c:v>-46.1618852445717</c:v>
                </c:pt>
                <c:pt idx="105">
                  <c:v>-46.10069266431362</c:v>
                </c:pt>
                <c:pt idx="106">
                  <c:v>-46.03950008405554</c:v>
                </c:pt>
                <c:pt idx="107">
                  <c:v>-45.97830750379746</c:v>
                </c:pt>
                <c:pt idx="108">
                  <c:v>-45.917114923539387</c:v>
                </c:pt>
                <c:pt idx="109">
                  <c:v>-45.855922343281307</c:v>
                </c:pt>
                <c:pt idx="110">
                  <c:v>-45.794729763023227</c:v>
                </c:pt>
                <c:pt idx="111">
                  <c:v>-45.733537182765147</c:v>
                </c:pt>
                <c:pt idx="112">
                  <c:v>-45.672344602507067</c:v>
                </c:pt>
                <c:pt idx="113">
                  <c:v>-45.611152022248987</c:v>
                </c:pt>
                <c:pt idx="114">
                  <c:v>-45.549959441990914</c:v>
                </c:pt>
                <c:pt idx="115">
                  <c:v>-45.488766861732834</c:v>
                </c:pt>
                <c:pt idx="116">
                  <c:v>-45.427574281474755</c:v>
                </c:pt>
                <c:pt idx="117">
                  <c:v>-45.366381701216675</c:v>
                </c:pt>
                <c:pt idx="118">
                  <c:v>-45.305189120958602</c:v>
                </c:pt>
                <c:pt idx="119">
                  <c:v>-45.243996540700522</c:v>
                </c:pt>
                <c:pt idx="120">
                  <c:v>-45.182803960442442</c:v>
                </c:pt>
                <c:pt idx="121">
                  <c:v>-45.121611380184362</c:v>
                </c:pt>
                <c:pt idx="122">
                  <c:v>-45.060418799926282</c:v>
                </c:pt>
                <c:pt idx="123">
                  <c:v>-44.999226219668202</c:v>
                </c:pt>
                <c:pt idx="124">
                  <c:v>-44.938033639410129</c:v>
                </c:pt>
                <c:pt idx="125">
                  <c:v>-44.876841059152049</c:v>
                </c:pt>
                <c:pt idx="126">
                  <c:v>-44.815648478893969</c:v>
                </c:pt>
                <c:pt idx="127">
                  <c:v>-44.754455898635889</c:v>
                </c:pt>
                <c:pt idx="128">
                  <c:v>-44.693263318377817</c:v>
                </c:pt>
                <c:pt idx="129">
                  <c:v>-44.632070738119737</c:v>
                </c:pt>
                <c:pt idx="130">
                  <c:v>-44.570878157861657</c:v>
                </c:pt>
                <c:pt idx="131">
                  <c:v>-44.509685577603577</c:v>
                </c:pt>
                <c:pt idx="132">
                  <c:v>-44.448492997345497</c:v>
                </c:pt>
                <c:pt idx="133">
                  <c:v>-44.387300417087417</c:v>
                </c:pt>
                <c:pt idx="134">
                  <c:v>-44.326107836829337</c:v>
                </c:pt>
                <c:pt idx="135">
                  <c:v>-44.264915256571264</c:v>
                </c:pt>
                <c:pt idx="136">
                  <c:v>-44.203722676313184</c:v>
                </c:pt>
                <c:pt idx="137">
                  <c:v>-44.142530096055104</c:v>
                </c:pt>
                <c:pt idx="138">
                  <c:v>-44.081337515797024</c:v>
                </c:pt>
                <c:pt idx="139">
                  <c:v>-44.020144935538951</c:v>
                </c:pt>
                <c:pt idx="140">
                  <c:v>-43.958952355280871</c:v>
                </c:pt>
                <c:pt idx="141">
                  <c:v>-43.897759775022791</c:v>
                </c:pt>
                <c:pt idx="142">
                  <c:v>-43.836567194764712</c:v>
                </c:pt>
                <c:pt idx="143">
                  <c:v>-43.775374614506632</c:v>
                </c:pt>
                <c:pt idx="144">
                  <c:v>-43.714182034248559</c:v>
                </c:pt>
                <c:pt idx="145">
                  <c:v>-43.652989453990479</c:v>
                </c:pt>
                <c:pt idx="146">
                  <c:v>-43.591796873732399</c:v>
                </c:pt>
                <c:pt idx="147">
                  <c:v>-43.530604293474319</c:v>
                </c:pt>
                <c:pt idx="148">
                  <c:v>-43.469411713216246</c:v>
                </c:pt>
                <c:pt idx="149">
                  <c:v>-43.408219132958166</c:v>
                </c:pt>
                <c:pt idx="150">
                  <c:v>-43.347026552700086</c:v>
                </c:pt>
                <c:pt idx="151">
                  <c:v>-43.285833972442006</c:v>
                </c:pt>
                <c:pt idx="152">
                  <c:v>-43.224641392183926</c:v>
                </c:pt>
                <c:pt idx="153">
                  <c:v>-43.163448811925846</c:v>
                </c:pt>
                <c:pt idx="154">
                  <c:v>-43.102256231667774</c:v>
                </c:pt>
                <c:pt idx="155">
                  <c:v>-43.041063651409694</c:v>
                </c:pt>
                <c:pt idx="156">
                  <c:v>-42.979871071151614</c:v>
                </c:pt>
                <c:pt idx="157">
                  <c:v>-42.918678490893534</c:v>
                </c:pt>
                <c:pt idx="158">
                  <c:v>-42.857485910635461</c:v>
                </c:pt>
                <c:pt idx="159">
                  <c:v>-42.796293330377381</c:v>
                </c:pt>
                <c:pt idx="160">
                  <c:v>-42.735100750119301</c:v>
                </c:pt>
                <c:pt idx="161">
                  <c:v>-42.673908169861221</c:v>
                </c:pt>
                <c:pt idx="162">
                  <c:v>-42.612715589603141</c:v>
                </c:pt>
                <c:pt idx="163">
                  <c:v>-42.551523009345061</c:v>
                </c:pt>
                <c:pt idx="164">
                  <c:v>-42.490330429086981</c:v>
                </c:pt>
                <c:pt idx="165">
                  <c:v>-42.429137848828908</c:v>
                </c:pt>
                <c:pt idx="166">
                  <c:v>-42.367945268570828</c:v>
                </c:pt>
                <c:pt idx="167">
                  <c:v>-42.306752688312748</c:v>
                </c:pt>
                <c:pt idx="168">
                  <c:v>-42.245560108054669</c:v>
                </c:pt>
                <c:pt idx="169">
                  <c:v>-42.184367527796596</c:v>
                </c:pt>
                <c:pt idx="170">
                  <c:v>-42.123174947538516</c:v>
                </c:pt>
                <c:pt idx="171">
                  <c:v>-42.061982367280436</c:v>
                </c:pt>
                <c:pt idx="172">
                  <c:v>-42.000789787022356</c:v>
                </c:pt>
                <c:pt idx="173">
                  <c:v>-41.939597206764276</c:v>
                </c:pt>
                <c:pt idx="174">
                  <c:v>-41.878404626506203</c:v>
                </c:pt>
                <c:pt idx="175">
                  <c:v>-41.817212046248123</c:v>
                </c:pt>
                <c:pt idx="176">
                  <c:v>-41.756019465990043</c:v>
                </c:pt>
                <c:pt idx="177">
                  <c:v>-41.694826885731963</c:v>
                </c:pt>
                <c:pt idx="178">
                  <c:v>-41.63363430547389</c:v>
                </c:pt>
                <c:pt idx="179">
                  <c:v>-41.57244172521581</c:v>
                </c:pt>
                <c:pt idx="180">
                  <c:v>-41.511249144957731</c:v>
                </c:pt>
                <c:pt idx="181">
                  <c:v>-41.450056564699651</c:v>
                </c:pt>
                <c:pt idx="182">
                  <c:v>-41.388863984441571</c:v>
                </c:pt>
                <c:pt idx="183">
                  <c:v>-41.327671404183491</c:v>
                </c:pt>
                <c:pt idx="184">
                  <c:v>-41.266478823925418</c:v>
                </c:pt>
                <c:pt idx="185">
                  <c:v>-41.205286243667338</c:v>
                </c:pt>
                <c:pt idx="186">
                  <c:v>-41.144093663409258</c:v>
                </c:pt>
                <c:pt idx="187">
                  <c:v>-41.082901083151178</c:v>
                </c:pt>
                <c:pt idx="188">
                  <c:v>-41.021708502893105</c:v>
                </c:pt>
                <c:pt idx="189">
                  <c:v>-40.960515922635025</c:v>
                </c:pt>
                <c:pt idx="190">
                  <c:v>-40.899323342376945</c:v>
                </c:pt>
                <c:pt idx="191">
                  <c:v>-40.838130762118865</c:v>
                </c:pt>
                <c:pt idx="192">
                  <c:v>-40.776938181860785</c:v>
                </c:pt>
                <c:pt idx="193">
                  <c:v>-40.715745601602706</c:v>
                </c:pt>
                <c:pt idx="194">
                  <c:v>-40.654553021344626</c:v>
                </c:pt>
                <c:pt idx="195">
                  <c:v>-40.593360441086553</c:v>
                </c:pt>
                <c:pt idx="196">
                  <c:v>-40.532167860828473</c:v>
                </c:pt>
                <c:pt idx="197">
                  <c:v>-40.470975280570393</c:v>
                </c:pt>
                <c:pt idx="198">
                  <c:v>-40.409782700312313</c:v>
                </c:pt>
                <c:pt idx="199">
                  <c:v>-40.34859012005424</c:v>
                </c:pt>
                <c:pt idx="200">
                  <c:v>-40.28739753979616</c:v>
                </c:pt>
                <c:pt idx="201">
                  <c:v>-40.22620495953808</c:v>
                </c:pt>
                <c:pt idx="202">
                  <c:v>-40.16501237928</c:v>
                </c:pt>
                <c:pt idx="203">
                  <c:v>-40.10381979902192</c:v>
                </c:pt>
                <c:pt idx="204">
                  <c:v>-40.042627218763847</c:v>
                </c:pt>
                <c:pt idx="205">
                  <c:v>-39.981434638505768</c:v>
                </c:pt>
                <c:pt idx="206">
                  <c:v>-39.920242058247688</c:v>
                </c:pt>
                <c:pt idx="207">
                  <c:v>-39.859049477989608</c:v>
                </c:pt>
                <c:pt idx="208">
                  <c:v>-39.797856897731535</c:v>
                </c:pt>
                <c:pt idx="209">
                  <c:v>-39.736664317473455</c:v>
                </c:pt>
                <c:pt idx="210">
                  <c:v>-39.675471737215375</c:v>
                </c:pt>
                <c:pt idx="211">
                  <c:v>-39.614279156957295</c:v>
                </c:pt>
                <c:pt idx="212">
                  <c:v>-39.553086576699215</c:v>
                </c:pt>
                <c:pt idx="213">
                  <c:v>-39.491893996441135</c:v>
                </c:pt>
                <c:pt idx="214">
                  <c:v>-39.430701416183055</c:v>
                </c:pt>
                <c:pt idx="215">
                  <c:v>-39.369508835924982</c:v>
                </c:pt>
                <c:pt idx="216">
                  <c:v>-39.308316255666902</c:v>
                </c:pt>
                <c:pt idx="217">
                  <c:v>-39.247123675408822</c:v>
                </c:pt>
                <c:pt idx="218">
                  <c:v>-39.18593109515075</c:v>
                </c:pt>
                <c:pt idx="219">
                  <c:v>-39.12473851489267</c:v>
                </c:pt>
                <c:pt idx="220">
                  <c:v>-39.06354593463459</c:v>
                </c:pt>
                <c:pt idx="221">
                  <c:v>-39.00235335437651</c:v>
                </c:pt>
                <c:pt idx="222">
                  <c:v>-38.94116077411843</c:v>
                </c:pt>
                <c:pt idx="223">
                  <c:v>-38.87996819386035</c:v>
                </c:pt>
                <c:pt idx="224">
                  <c:v>-38.81877561360227</c:v>
                </c:pt>
                <c:pt idx="225">
                  <c:v>-38.757583033344197</c:v>
                </c:pt>
                <c:pt idx="226">
                  <c:v>-38.696390453086117</c:v>
                </c:pt>
                <c:pt idx="227">
                  <c:v>-38.635197872828037</c:v>
                </c:pt>
                <c:pt idx="228">
                  <c:v>-38.574005292569957</c:v>
                </c:pt>
                <c:pt idx="229">
                  <c:v>-38.512812712311884</c:v>
                </c:pt>
                <c:pt idx="230">
                  <c:v>-38.451620132053804</c:v>
                </c:pt>
                <c:pt idx="231">
                  <c:v>-38.390427551795725</c:v>
                </c:pt>
                <c:pt idx="232">
                  <c:v>-38.329234971537645</c:v>
                </c:pt>
                <c:pt idx="233">
                  <c:v>-38.268042391279565</c:v>
                </c:pt>
                <c:pt idx="234">
                  <c:v>-38.206849811021485</c:v>
                </c:pt>
                <c:pt idx="235">
                  <c:v>-38.145657230763412</c:v>
                </c:pt>
                <c:pt idx="236">
                  <c:v>-38.084464650505332</c:v>
                </c:pt>
                <c:pt idx="237">
                  <c:v>-38.023272070247252</c:v>
                </c:pt>
                <c:pt idx="238">
                  <c:v>-37.962079489989179</c:v>
                </c:pt>
                <c:pt idx="239">
                  <c:v>-37.900886909731099</c:v>
                </c:pt>
                <c:pt idx="240">
                  <c:v>-37.839694329473019</c:v>
                </c:pt>
                <c:pt idx="241">
                  <c:v>-37.778501749214939</c:v>
                </c:pt>
                <c:pt idx="242">
                  <c:v>-37.717309168956859</c:v>
                </c:pt>
                <c:pt idx="243">
                  <c:v>-37.656116588698779</c:v>
                </c:pt>
                <c:pt idx="244">
                  <c:v>-37.594924008440699</c:v>
                </c:pt>
                <c:pt idx="245">
                  <c:v>-37.533731428182627</c:v>
                </c:pt>
                <c:pt idx="246">
                  <c:v>-37.472538847924547</c:v>
                </c:pt>
                <c:pt idx="247">
                  <c:v>-37.411346267666467</c:v>
                </c:pt>
                <c:pt idx="248">
                  <c:v>-37.350153687408387</c:v>
                </c:pt>
                <c:pt idx="249">
                  <c:v>-37.288961107150314</c:v>
                </c:pt>
                <c:pt idx="250">
                  <c:v>-37.227768526892234</c:v>
                </c:pt>
                <c:pt idx="251">
                  <c:v>-37.166575946634154</c:v>
                </c:pt>
                <c:pt idx="252">
                  <c:v>-37.105383366376074</c:v>
                </c:pt>
                <c:pt idx="253">
                  <c:v>-37.044190786117994</c:v>
                </c:pt>
                <c:pt idx="254">
                  <c:v>-36.982998205859914</c:v>
                </c:pt>
                <c:pt idx="255">
                  <c:v>-36.921805625601841</c:v>
                </c:pt>
                <c:pt idx="256">
                  <c:v>-36.860613045343761</c:v>
                </c:pt>
                <c:pt idx="257">
                  <c:v>-36.799420465085682</c:v>
                </c:pt>
                <c:pt idx="258">
                  <c:v>-36.738227884827602</c:v>
                </c:pt>
                <c:pt idx="259">
                  <c:v>-36.677035304569529</c:v>
                </c:pt>
                <c:pt idx="260">
                  <c:v>-36.615842724311449</c:v>
                </c:pt>
                <c:pt idx="261">
                  <c:v>-36.554650144053369</c:v>
                </c:pt>
                <c:pt idx="262">
                  <c:v>-36.493457563795289</c:v>
                </c:pt>
                <c:pt idx="263">
                  <c:v>-36.432264983537209</c:v>
                </c:pt>
                <c:pt idx="264">
                  <c:v>-36.371072403279129</c:v>
                </c:pt>
                <c:pt idx="265">
                  <c:v>-36.309879823021049</c:v>
                </c:pt>
                <c:pt idx="266">
                  <c:v>-36.248687242762976</c:v>
                </c:pt>
                <c:pt idx="267">
                  <c:v>-36.187494662504896</c:v>
                </c:pt>
                <c:pt idx="268">
                  <c:v>-36.126302082246816</c:v>
                </c:pt>
                <c:pt idx="269">
                  <c:v>-36.065109501988744</c:v>
                </c:pt>
                <c:pt idx="270">
                  <c:v>-36.003916921730664</c:v>
                </c:pt>
                <c:pt idx="271">
                  <c:v>-35.942724341472584</c:v>
                </c:pt>
                <c:pt idx="272">
                  <c:v>-35.881531761214504</c:v>
                </c:pt>
                <c:pt idx="273">
                  <c:v>-35.820339180956424</c:v>
                </c:pt>
                <c:pt idx="274">
                  <c:v>-35.759146600698344</c:v>
                </c:pt>
                <c:pt idx="275">
                  <c:v>-35.697954020440264</c:v>
                </c:pt>
                <c:pt idx="276">
                  <c:v>-35.636761440182184</c:v>
                </c:pt>
                <c:pt idx="277">
                  <c:v>-35.575568859924111</c:v>
                </c:pt>
                <c:pt idx="278">
                  <c:v>-35.514376279666031</c:v>
                </c:pt>
                <c:pt idx="279">
                  <c:v>-35.453183699407958</c:v>
                </c:pt>
                <c:pt idx="280">
                  <c:v>-35.391991119149878</c:v>
                </c:pt>
                <c:pt idx="281">
                  <c:v>-35.330798538891798</c:v>
                </c:pt>
                <c:pt idx="282">
                  <c:v>-35.269605958633719</c:v>
                </c:pt>
                <c:pt idx="283">
                  <c:v>-35.208413378375639</c:v>
                </c:pt>
                <c:pt idx="284">
                  <c:v>-35.147220798117559</c:v>
                </c:pt>
                <c:pt idx="285">
                  <c:v>-35.086028217859486</c:v>
                </c:pt>
                <c:pt idx="286">
                  <c:v>-35.024835637601406</c:v>
                </c:pt>
                <c:pt idx="287">
                  <c:v>-34.963643057343333</c:v>
                </c:pt>
                <c:pt idx="288">
                  <c:v>-34.902450477085253</c:v>
                </c:pt>
                <c:pt idx="289">
                  <c:v>-34.841257896827173</c:v>
                </c:pt>
                <c:pt idx="290">
                  <c:v>-34.780065316569093</c:v>
                </c:pt>
                <c:pt idx="291">
                  <c:v>-34.718872736311013</c:v>
                </c:pt>
                <c:pt idx="292">
                  <c:v>-34.657680156052933</c:v>
                </c:pt>
                <c:pt idx="293">
                  <c:v>-34.596487575794853</c:v>
                </c:pt>
                <c:pt idx="294">
                  <c:v>-34.535294995536773</c:v>
                </c:pt>
                <c:pt idx="295">
                  <c:v>-34.474102415278701</c:v>
                </c:pt>
                <c:pt idx="296">
                  <c:v>-34.412909835020621</c:v>
                </c:pt>
                <c:pt idx="297">
                  <c:v>-34.351717254762541</c:v>
                </c:pt>
                <c:pt idx="298">
                  <c:v>-34.290524674504468</c:v>
                </c:pt>
                <c:pt idx="299">
                  <c:v>-34.229332094246388</c:v>
                </c:pt>
                <c:pt idx="300">
                  <c:v>-34.168139513988308</c:v>
                </c:pt>
                <c:pt idx="301">
                  <c:v>-34.106946933730228</c:v>
                </c:pt>
                <c:pt idx="302">
                  <c:v>-34.045754353472148</c:v>
                </c:pt>
                <c:pt idx="303">
                  <c:v>-33.984561773214068</c:v>
                </c:pt>
                <c:pt idx="304">
                  <c:v>-33.923369192955988</c:v>
                </c:pt>
                <c:pt idx="305">
                  <c:v>-33.862176612697915</c:v>
                </c:pt>
                <c:pt idx="306">
                  <c:v>-33.800984032439835</c:v>
                </c:pt>
                <c:pt idx="307">
                  <c:v>-33.739791452181755</c:v>
                </c:pt>
                <c:pt idx="308">
                  <c:v>-33.678598871923683</c:v>
                </c:pt>
                <c:pt idx="309">
                  <c:v>-33.617406291665603</c:v>
                </c:pt>
                <c:pt idx="310">
                  <c:v>-33.556213711407523</c:v>
                </c:pt>
                <c:pt idx="311">
                  <c:v>-33.495021131149443</c:v>
                </c:pt>
                <c:pt idx="312">
                  <c:v>-33.433828550891363</c:v>
                </c:pt>
                <c:pt idx="313">
                  <c:v>-33.372635970633283</c:v>
                </c:pt>
                <c:pt idx="314">
                  <c:v>-33.311443390375203</c:v>
                </c:pt>
                <c:pt idx="315">
                  <c:v>-33.250250810117123</c:v>
                </c:pt>
                <c:pt idx="316">
                  <c:v>-33.18905822985905</c:v>
                </c:pt>
                <c:pt idx="317">
                  <c:v>-33.12786564960097</c:v>
                </c:pt>
                <c:pt idx="318">
                  <c:v>-33.06667306934289</c:v>
                </c:pt>
                <c:pt idx="319">
                  <c:v>-33.005480489084817</c:v>
                </c:pt>
                <c:pt idx="320">
                  <c:v>-32.944287908826738</c:v>
                </c:pt>
                <c:pt idx="321">
                  <c:v>-32.883095328568658</c:v>
                </c:pt>
                <c:pt idx="322">
                  <c:v>-32.821902748310578</c:v>
                </c:pt>
                <c:pt idx="323">
                  <c:v>-32.760710168052498</c:v>
                </c:pt>
                <c:pt idx="324">
                  <c:v>-32.699517587794418</c:v>
                </c:pt>
                <c:pt idx="325">
                  <c:v>-32.638325007536338</c:v>
                </c:pt>
                <c:pt idx="326">
                  <c:v>-32.577132427278265</c:v>
                </c:pt>
                <c:pt idx="327">
                  <c:v>-32.515939847020185</c:v>
                </c:pt>
                <c:pt idx="328">
                  <c:v>-32.454747266762105</c:v>
                </c:pt>
                <c:pt idx="329">
                  <c:v>-32.393554686504032</c:v>
                </c:pt>
                <c:pt idx="330">
                  <c:v>-32.332362106245952</c:v>
                </c:pt>
                <c:pt idx="331">
                  <c:v>-32.271169525987872</c:v>
                </c:pt>
                <c:pt idx="332">
                  <c:v>-32.209976945729792</c:v>
                </c:pt>
                <c:pt idx="333">
                  <c:v>-32.148784365471712</c:v>
                </c:pt>
                <c:pt idx="334">
                  <c:v>-32.087591785213633</c:v>
                </c:pt>
                <c:pt idx="335">
                  <c:v>-32.026399204955553</c:v>
                </c:pt>
                <c:pt idx="336">
                  <c:v>-31.965206624697476</c:v>
                </c:pt>
                <c:pt idx="337">
                  <c:v>-31.9040140444394</c:v>
                </c:pt>
                <c:pt idx="338">
                  <c:v>-31.84282146418132</c:v>
                </c:pt>
                <c:pt idx="339">
                  <c:v>-31.781628883923243</c:v>
                </c:pt>
                <c:pt idx="340">
                  <c:v>-31.720436303665164</c:v>
                </c:pt>
                <c:pt idx="341">
                  <c:v>-31.659243723407084</c:v>
                </c:pt>
                <c:pt idx="342">
                  <c:v>-31.598051143149007</c:v>
                </c:pt>
                <c:pt idx="343">
                  <c:v>-31.536858562890927</c:v>
                </c:pt>
                <c:pt idx="344">
                  <c:v>-31.475665982632851</c:v>
                </c:pt>
                <c:pt idx="345">
                  <c:v>-31.414473402374774</c:v>
                </c:pt>
                <c:pt idx="346">
                  <c:v>-31.353280822116695</c:v>
                </c:pt>
                <c:pt idx="347">
                  <c:v>-31.292088241858618</c:v>
                </c:pt>
                <c:pt idx="348">
                  <c:v>-31.230895661600538</c:v>
                </c:pt>
                <c:pt idx="349">
                  <c:v>-31.169703081342458</c:v>
                </c:pt>
                <c:pt idx="350">
                  <c:v>-31.108510501084382</c:v>
                </c:pt>
                <c:pt idx="351">
                  <c:v>-31.047317920826302</c:v>
                </c:pt>
                <c:pt idx="352">
                  <c:v>-30.986125340568222</c:v>
                </c:pt>
                <c:pt idx="353">
                  <c:v>-30.924932760310146</c:v>
                </c:pt>
                <c:pt idx="354">
                  <c:v>-30.863740180052066</c:v>
                </c:pt>
                <c:pt idx="355">
                  <c:v>-30.802547599793989</c:v>
                </c:pt>
                <c:pt idx="356">
                  <c:v>-30.741355019535909</c:v>
                </c:pt>
                <c:pt idx="357">
                  <c:v>-30.680162439277829</c:v>
                </c:pt>
                <c:pt idx="358">
                  <c:v>-30.618969859019753</c:v>
                </c:pt>
                <c:pt idx="359">
                  <c:v>-30.557777278761673</c:v>
                </c:pt>
                <c:pt idx="360">
                  <c:v>-30.496584698503597</c:v>
                </c:pt>
                <c:pt idx="361">
                  <c:v>-30.435392118245517</c:v>
                </c:pt>
                <c:pt idx="362">
                  <c:v>-30.374199537987437</c:v>
                </c:pt>
                <c:pt idx="363">
                  <c:v>-30.31300695772936</c:v>
                </c:pt>
                <c:pt idx="364">
                  <c:v>-30.25181437747128</c:v>
                </c:pt>
                <c:pt idx="365">
                  <c:v>-30.1906217972132</c:v>
                </c:pt>
                <c:pt idx="366">
                  <c:v>-30.129429216955124</c:v>
                </c:pt>
                <c:pt idx="367">
                  <c:v>-30.068236636697044</c:v>
                </c:pt>
                <c:pt idx="368">
                  <c:v>-30.007044056438968</c:v>
                </c:pt>
                <c:pt idx="369">
                  <c:v>-29.945851476180888</c:v>
                </c:pt>
                <c:pt idx="370">
                  <c:v>-29.884658895922808</c:v>
                </c:pt>
                <c:pt idx="371">
                  <c:v>-29.823466315664731</c:v>
                </c:pt>
                <c:pt idx="372">
                  <c:v>-29.762273735406652</c:v>
                </c:pt>
                <c:pt idx="373">
                  <c:v>-29.701081155148572</c:v>
                </c:pt>
                <c:pt idx="374">
                  <c:v>-29.639888574890495</c:v>
                </c:pt>
                <c:pt idx="375">
                  <c:v>-29.578695994632415</c:v>
                </c:pt>
                <c:pt idx="376">
                  <c:v>-29.517503414374339</c:v>
                </c:pt>
                <c:pt idx="377">
                  <c:v>-29.456310834116259</c:v>
                </c:pt>
                <c:pt idx="378">
                  <c:v>-29.395118253858179</c:v>
                </c:pt>
                <c:pt idx="379">
                  <c:v>-29.333925673600103</c:v>
                </c:pt>
                <c:pt idx="380">
                  <c:v>-29.272733093342023</c:v>
                </c:pt>
                <c:pt idx="381">
                  <c:v>-29.211540513083946</c:v>
                </c:pt>
                <c:pt idx="382">
                  <c:v>-29.150347932825866</c:v>
                </c:pt>
                <c:pt idx="383">
                  <c:v>-29.089155352567786</c:v>
                </c:pt>
                <c:pt idx="384">
                  <c:v>-29.02796277230971</c:v>
                </c:pt>
                <c:pt idx="385">
                  <c:v>-28.96677019205163</c:v>
                </c:pt>
                <c:pt idx="386">
                  <c:v>-28.90557761179355</c:v>
                </c:pt>
                <c:pt idx="387">
                  <c:v>-28.844385031535474</c:v>
                </c:pt>
                <c:pt idx="388">
                  <c:v>-28.783192451277394</c:v>
                </c:pt>
                <c:pt idx="389">
                  <c:v>-28.721999871019317</c:v>
                </c:pt>
                <c:pt idx="390">
                  <c:v>-28.660807290761237</c:v>
                </c:pt>
                <c:pt idx="391">
                  <c:v>-28.599614710503158</c:v>
                </c:pt>
                <c:pt idx="392">
                  <c:v>-28.538422130245081</c:v>
                </c:pt>
                <c:pt idx="393">
                  <c:v>-28.477229549987001</c:v>
                </c:pt>
                <c:pt idx="394">
                  <c:v>-28.416036969728925</c:v>
                </c:pt>
                <c:pt idx="395">
                  <c:v>-28.354844389470845</c:v>
                </c:pt>
                <c:pt idx="396">
                  <c:v>-28.293651809212765</c:v>
                </c:pt>
                <c:pt idx="397">
                  <c:v>-28.232459228954689</c:v>
                </c:pt>
                <c:pt idx="398">
                  <c:v>-28.171266648696609</c:v>
                </c:pt>
                <c:pt idx="399">
                  <c:v>-28.110074068438529</c:v>
                </c:pt>
                <c:pt idx="400">
                  <c:v>-28.048881488180452</c:v>
                </c:pt>
                <c:pt idx="401">
                  <c:v>-27.987688907922372</c:v>
                </c:pt>
                <c:pt idx="402">
                  <c:v>-27.926496327664296</c:v>
                </c:pt>
                <c:pt idx="403">
                  <c:v>-27.865303747406216</c:v>
                </c:pt>
                <c:pt idx="404">
                  <c:v>-27.804111167148136</c:v>
                </c:pt>
                <c:pt idx="405">
                  <c:v>-27.74291858689006</c:v>
                </c:pt>
                <c:pt idx="406">
                  <c:v>-27.68172600663198</c:v>
                </c:pt>
                <c:pt idx="407">
                  <c:v>-27.620533426373903</c:v>
                </c:pt>
                <c:pt idx="408">
                  <c:v>-27.559340846115827</c:v>
                </c:pt>
                <c:pt idx="409">
                  <c:v>-27.498148265857747</c:v>
                </c:pt>
                <c:pt idx="410">
                  <c:v>-27.436955685599671</c:v>
                </c:pt>
                <c:pt idx="411">
                  <c:v>-27.375763105341591</c:v>
                </c:pt>
                <c:pt idx="412">
                  <c:v>-27.314570525083511</c:v>
                </c:pt>
                <c:pt idx="413">
                  <c:v>-27.253377944825434</c:v>
                </c:pt>
                <c:pt idx="414">
                  <c:v>-27.192185364567354</c:v>
                </c:pt>
                <c:pt idx="415">
                  <c:v>-27.130992784309278</c:v>
                </c:pt>
                <c:pt idx="416">
                  <c:v>-27.069800204051198</c:v>
                </c:pt>
                <c:pt idx="417">
                  <c:v>-27.008607623793118</c:v>
                </c:pt>
                <c:pt idx="418">
                  <c:v>-26.947415043535042</c:v>
                </c:pt>
                <c:pt idx="419">
                  <c:v>-26.886222463276962</c:v>
                </c:pt>
                <c:pt idx="420">
                  <c:v>-26.825029883018882</c:v>
                </c:pt>
                <c:pt idx="421">
                  <c:v>-26.763837302760805</c:v>
                </c:pt>
                <c:pt idx="422">
                  <c:v>-26.702644722502725</c:v>
                </c:pt>
                <c:pt idx="423">
                  <c:v>-26.641452142244649</c:v>
                </c:pt>
                <c:pt idx="424">
                  <c:v>-26.580259561986569</c:v>
                </c:pt>
                <c:pt idx="425">
                  <c:v>-26.519066981728489</c:v>
                </c:pt>
                <c:pt idx="426">
                  <c:v>-26.457874401470413</c:v>
                </c:pt>
                <c:pt idx="427">
                  <c:v>-26.396681821212333</c:v>
                </c:pt>
                <c:pt idx="428">
                  <c:v>-26.335489240954253</c:v>
                </c:pt>
                <c:pt idx="429">
                  <c:v>-26.274296660696177</c:v>
                </c:pt>
                <c:pt idx="430">
                  <c:v>-26.213104080438097</c:v>
                </c:pt>
                <c:pt idx="431">
                  <c:v>-26.15191150018002</c:v>
                </c:pt>
                <c:pt idx="432">
                  <c:v>-26.09071891992194</c:v>
                </c:pt>
                <c:pt idx="433">
                  <c:v>-26.02952633966386</c:v>
                </c:pt>
                <c:pt idx="434">
                  <c:v>-25.968333759405784</c:v>
                </c:pt>
                <c:pt idx="435">
                  <c:v>-25.907141179147704</c:v>
                </c:pt>
                <c:pt idx="436">
                  <c:v>-25.845948598889628</c:v>
                </c:pt>
                <c:pt idx="437">
                  <c:v>-25.784756018631548</c:v>
                </c:pt>
                <c:pt idx="438">
                  <c:v>-25.723563438373468</c:v>
                </c:pt>
                <c:pt idx="439">
                  <c:v>-25.662370858115391</c:v>
                </c:pt>
                <c:pt idx="440">
                  <c:v>-25.601178277857311</c:v>
                </c:pt>
                <c:pt idx="441">
                  <c:v>-25.539985697599231</c:v>
                </c:pt>
                <c:pt idx="442">
                  <c:v>-25.478793117341155</c:v>
                </c:pt>
                <c:pt idx="443">
                  <c:v>-25.417600537083075</c:v>
                </c:pt>
                <c:pt idx="444">
                  <c:v>-25.356407956824999</c:v>
                </c:pt>
                <c:pt idx="445">
                  <c:v>-25.295215376566919</c:v>
                </c:pt>
                <c:pt idx="446">
                  <c:v>-25.234022796308839</c:v>
                </c:pt>
                <c:pt idx="447">
                  <c:v>-25.172830216050762</c:v>
                </c:pt>
                <c:pt idx="448">
                  <c:v>-25.111637635792682</c:v>
                </c:pt>
                <c:pt idx="449">
                  <c:v>-25.050445055534606</c:v>
                </c:pt>
                <c:pt idx="450">
                  <c:v>-24.989252475276526</c:v>
                </c:pt>
                <c:pt idx="451">
                  <c:v>-24.928059895018446</c:v>
                </c:pt>
                <c:pt idx="452">
                  <c:v>-24.86686731476037</c:v>
                </c:pt>
                <c:pt idx="453">
                  <c:v>-24.80567473450229</c:v>
                </c:pt>
                <c:pt idx="454">
                  <c:v>-24.74448215424421</c:v>
                </c:pt>
                <c:pt idx="455">
                  <c:v>-24.683289573986134</c:v>
                </c:pt>
                <c:pt idx="456">
                  <c:v>-24.622096993728054</c:v>
                </c:pt>
                <c:pt idx="457">
                  <c:v>-24.560904413469977</c:v>
                </c:pt>
                <c:pt idx="458">
                  <c:v>-24.499711833211897</c:v>
                </c:pt>
                <c:pt idx="459">
                  <c:v>-24.438519252953817</c:v>
                </c:pt>
                <c:pt idx="460">
                  <c:v>-24.377326672695741</c:v>
                </c:pt>
                <c:pt idx="461">
                  <c:v>-24.316134092437661</c:v>
                </c:pt>
                <c:pt idx="462">
                  <c:v>-24.254941512179585</c:v>
                </c:pt>
                <c:pt idx="463">
                  <c:v>-24.193748931921505</c:v>
                </c:pt>
                <c:pt idx="464">
                  <c:v>-24.132556351663425</c:v>
                </c:pt>
                <c:pt idx="465">
                  <c:v>-24.071363771405348</c:v>
                </c:pt>
                <c:pt idx="466">
                  <c:v>-24.010171191147268</c:v>
                </c:pt>
                <c:pt idx="467">
                  <c:v>-23.948978610889188</c:v>
                </c:pt>
                <c:pt idx="468">
                  <c:v>-23.887786030631112</c:v>
                </c:pt>
                <c:pt idx="469">
                  <c:v>-23.826593450373036</c:v>
                </c:pt>
                <c:pt idx="470">
                  <c:v>-23.765400870114959</c:v>
                </c:pt>
                <c:pt idx="471">
                  <c:v>-23.704208289856879</c:v>
                </c:pt>
                <c:pt idx="472">
                  <c:v>-23.643015709598799</c:v>
                </c:pt>
                <c:pt idx="473">
                  <c:v>-23.581823129340723</c:v>
                </c:pt>
                <c:pt idx="474">
                  <c:v>-23.520630549082643</c:v>
                </c:pt>
                <c:pt idx="475">
                  <c:v>-23.459437968824563</c:v>
                </c:pt>
                <c:pt idx="476">
                  <c:v>-23.398245388566487</c:v>
                </c:pt>
                <c:pt idx="477">
                  <c:v>-23.337052808308407</c:v>
                </c:pt>
                <c:pt idx="478">
                  <c:v>-23.27586022805033</c:v>
                </c:pt>
                <c:pt idx="479">
                  <c:v>-23.21466764779225</c:v>
                </c:pt>
                <c:pt idx="480">
                  <c:v>-23.153475067534171</c:v>
                </c:pt>
                <c:pt idx="481">
                  <c:v>-23.092282487276094</c:v>
                </c:pt>
                <c:pt idx="482">
                  <c:v>-23.031089907018014</c:v>
                </c:pt>
                <c:pt idx="483">
                  <c:v>-22.969897326759934</c:v>
                </c:pt>
                <c:pt idx="484">
                  <c:v>-22.908704746501858</c:v>
                </c:pt>
                <c:pt idx="485">
                  <c:v>-22.847512166243778</c:v>
                </c:pt>
                <c:pt idx="486">
                  <c:v>-22.786319585985702</c:v>
                </c:pt>
                <c:pt idx="487">
                  <c:v>-22.725127005727622</c:v>
                </c:pt>
                <c:pt idx="488">
                  <c:v>-22.663934425469542</c:v>
                </c:pt>
                <c:pt idx="489">
                  <c:v>-22.602741845211465</c:v>
                </c:pt>
                <c:pt idx="490">
                  <c:v>-22.541549264953385</c:v>
                </c:pt>
                <c:pt idx="491">
                  <c:v>-22.480356684695309</c:v>
                </c:pt>
                <c:pt idx="492">
                  <c:v>-22.419164104437229</c:v>
                </c:pt>
                <c:pt idx="493">
                  <c:v>-22.357971524179149</c:v>
                </c:pt>
                <c:pt idx="494">
                  <c:v>-22.296778943921073</c:v>
                </c:pt>
                <c:pt idx="495">
                  <c:v>-22.235586363662993</c:v>
                </c:pt>
                <c:pt idx="496">
                  <c:v>-22.174393783404913</c:v>
                </c:pt>
                <c:pt idx="497">
                  <c:v>-22.113201203146836</c:v>
                </c:pt>
                <c:pt idx="498">
                  <c:v>-22.052008622888756</c:v>
                </c:pt>
                <c:pt idx="499">
                  <c:v>-21.99081604263068</c:v>
                </c:pt>
                <c:pt idx="500">
                  <c:v>-21.9296234623726</c:v>
                </c:pt>
                <c:pt idx="501">
                  <c:v>-21.86843088211452</c:v>
                </c:pt>
                <c:pt idx="502">
                  <c:v>-21.807238301856444</c:v>
                </c:pt>
                <c:pt idx="503">
                  <c:v>-21.746045721598364</c:v>
                </c:pt>
                <c:pt idx="504">
                  <c:v>-21.684853141340287</c:v>
                </c:pt>
                <c:pt idx="505">
                  <c:v>-21.623660561082207</c:v>
                </c:pt>
                <c:pt idx="506">
                  <c:v>-21.562467980824128</c:v>
                </c:pt>
                <c:pt idx="507">
                  <c:v>-21.501275400566051</c:v>
                </c:pt>
                <c:pt idx="508">
                  <c:v>-21.440082820307971</c:v>
                </c:pt>
                <c:pt idx="509">
                  <c:v>-21.378890240049891</c:v>
                </c:pt>
                <c:pt idx="510">
                  <c:v>-21.317697659791815</c:v>
                </c:pt>
                <c:pt idx="511">
                  <c:v>-21.256505079533735</c:v>
                </c:pt>
                <c:pt idx="512">
                  <c:v>-21.195312499275659</c:v>
                </c:pt>
                <c:pt idx="513">
                  <c:v>-21.134119919017579</c:v>
                </c:pt>
                <c:pt idx="514">
                  <c:v>-21.072927338759499</c:v>
                </c:pt>
                <c:pt idx="515">
                  <c:v>-21.011734758501422</c:v>
                </c:pt>
                <c:pt idx="516">
                  <c:v>-20.950542178243342</c:v>
                </c:pt>
                <c:pt idx="517">
                  <c:v>-20.889349597985266</c:v>
                </c:pt>
                <c:pt idx="518">
                  <c:v>-20.828157017727186</c:v>
                </c:pt>
                <c:pt idx="519">
                  <c:v>-20.766964437469106</c:v>
                </c:pt>
                <c:pt idx="520">
                  <c:v>-20.70577185721103</c:v>
                </c:pt>
                <c:pt idx="521">
                  <c:v>-20.64457927695295</c:v>
                </c:pt>
                <c:pt idx="522">
                  <c:v>-20.58338669669487</c:v>
                </c:pt>
                <c:pt idx="523">
                  <c:v>-20.522194116436793</c:v>
                </c:pt>
                <c:pt idx="524">
                  <c:v>-20.461001536178713</c:v>
                </c:pt>
                <c:pt idx="525">
                  <c:v>-20.399808955920633</c:v>
                </c:pt>
                <c:pt idx="526">
                  <c:v>-20.338616375662554</c:v>
                </c:pt>
                <c:pt idx="527">
                  <c:v>-20.277423795404481</c:v>
                </c:pt>
                <c:pt idx="528">
                  <c:v>-20.216231215146401</c:v>
                </c:pt>
                <c:pt idx="529">
                  <c:v>-20.155038634888321</c:v>
                </c:pt>
                <c:pt idx="530">
                  <c:v>-20.093846054630241</c:v>
                </c:pt>
                <c:pt idx="531">
                  <c:v>-20.032653474372161</c:v>
                </c:pt>
                <c:pt idx="532">
                  <c:v>-19.971460894114088</c:v>
                </c:pt>
                <c:pt idx="533">
                  <c:v>-19.910268313856008</c:v>
                </c:pt>
                <c:pt idx="534">
                  <c:v>-19.849075733597928</c:v>
                </c:pt>
                <c:pt idx="535">
                  <c:v>-19.787883153339848</c:v>
                </c:pt>
                <c:pt idx="536">
                  <c:v>-19.726690573081768</c:v>
                </c:pt>
                <c:pt idx="537">
                  <c:v>-19.665497992823695</c:v>
                </c:pt>
                <c:pt idx="538">
                  <c:v>-19.604305412565616</c:v>
                </c:pt>
                <c:pt idx="539">
                  <c:v>-19.543112832307536</c:v>
                </c:pt>
                <c:pt idx="540">
                  <c:v>-19.481920252049456</c:v>
                </c:pt>
                <c:pt idx="541">
                  <c:v>-19.420727671791376</c:v>
                </c:pt>
                <c:pt idx="542">
                  <c:v>-19.359535091533303</c:v>
                </c:pt>
                <c:pt idx="543">
                  <c:v>-19.298342511275223</c:v>
                </c:pt>
                <c:pt idx="544">
                  <c:v>-19.237149931017143</c:v>
                </c:pt>
                <c:pt idx="545">
                  <c:v>-19.175957350759063</c:v>
                </c:pt>
                <c:pt idx="546">
                  <c:v>-19.114764770500983</c:v>
                </c:pt>
                <c:pt idx="547">
                  <c:v>-19.053572190242903</c:v>
                </c:pt>
                <c:pt idx="548">
                  <c:v>-18.99237960998483</c:v>
                </c:pt>
                <c:pt idx="549">
                  <c:v>-18.93118702972675</c:v>
                </c:pt>
                <c:pt idx="550">
                  <c:v>-18.86999444946867</c:v>
                </c:pt>
                <c:pt idx="551">
                  <c:v>-18.80880186921059</c:v>
                </c:pt>
                <c:pt idx="552">
                  <c:v>-18.747609288952511</c:v>
                </c:pt>
                <c:pt idx="553">
                  <c:v>-18.686416708694438</c:v>
                </c:pt>
                <c:pt idx="554">
                  <c:v>-18.625224128436358</c:v>
                </c:pt>
                <c:pt idx="555">
                  <c:v>-18.564031548178278</c:v>
                </c:pt>
                <c:pt idx="556">
                  <c:v>-18.502838967920198</c:v>
                </c:pt>
                <c:pt idx="557">
                  <c:v>-18.441646387662118</c:v>
                </c:pt>
                <c:pt idx="558">
                  <c:v>-18.380453807404045</c:v>
                </c:pt>
                <c:pt idx="559">
                  <c:v>-18.319261227145965</c:v>
                </c:pt>
                <c:pt idx="560">
                  <c:v>-18.258068646887885</c:v>
                </c:pt>
                <c:pt idx="561">
                  <c:v>-18.196876066629805</c:v>
                </c:pt>
                <c:pt idx="562">
                  <c:v>-18.135683486371725</c:v>
                </c:pt>
                <c:pt idx="563">
                  <c:v>-18.07449090611366</c:v>
                </c:pt>
                <c:pt idx="564">
                  <c:v>-18.01329832585558</c:v>
                </c:pt>
                <c:pt idx="565">
                  <c:v>-17.9521057455975</c:v>
                </c:pt>
                <c:pt idx="566">
                  <c:v>-17.89091316533942</c:v>
                </c:pt>
                <c:pt idx="567">
                  <c:v>-17.82972058508134</c:v>
                </c:pt>
                <c:pt idx="568">
                  <c:v>-17.76852800482326</c:v>
                </c:pt>
                <c:pt idx="569">
                  <c:v>-17.707335424565187</c:v>
                </c:pt>
                <c:pt idx="570">
                  <c:v>-17.646142844307107</c:v>
                </c:pt>
                <c:pt idx="571">
                  <c:v>-17.584950264049027</c:v>
                </c:pt>
                <c:pt idx="572">
                  <c:v>-17.523757683790947</c:v>
                </c:pt>
                <c:pt idx="573">
                  <c:v>-17.462565103532867</c:v>
                </c:pt>
                <c:pt idx="574">
                  <c:v>-17.401372523274794</c:v>
                </c:pt>
                <c:pt idx="575">
                  <c:v>-17.340179943016715</c:v>
                </c:pt>
                <c:pt idx="576">
                  <c:v>-17.278987362758635</c:v>
                </c:pt>
                <c:pt idx="577">
                  <c:v>-17.217794782500555</c:v>
                </c:pt>
                <c:pt idx="578">
                  <c:v>-17.156602202242475</c:v>
                </c:pt>
                <c:pt idx="579">
                  <c:v>-17.095409621984402</c:v>
                </c:pt>
                <c:pt idx="580">
                  <c:v>-17.034217041726322</c:v>
                </c:pt>
                <c:pt idx="581">
                  <c:v>-16.973024461468242</c:v>
                </c:pt>
                <c:pt idx="582">
                  <c:v>-16.911831881210162</c:v>
                </c:pt>
                <c:pt idx="583">
                  <c:v>-16.850639300952082</c:v>
                </c:pt>
                <c:pt idx="584">
                  <c:v>-16.789446720694009</c:v>
                </c:pt>
                <c:pt idx="585">
                  <c:v>-16.728254140435929</c:v>
                </c:pt>
                <c:pt idx="586">
                  <c:v>-16.667061560177849</c:v>
                </c:pt>
                <c:pt idx="587">
                  <c:v>-16.605868979919769</c:v>
                </c:pt>
                <c:pt idx="588">
                  <c:v>-16.544676399661689</c:v>
                </c:pt>
                <c:pt idx="589">
                  <c:v>-16.48348381940361</c:v>
                </c:pt>
                <c:pt idx="590">
                  <c:v>-16.422291239145537</c:v>
                </c:pt>
                <c:pt idx="591">
                  <c:v>-16.361098658887457</c:v>
                </c:pt>
                <c:pt idx="592">
                  <c:v>-16.299906078629377</c:v>
                </c:pt>
                <c:pt idx="593">
                  <c:v>-16.238713498371297</c:v>
                </c:pt>
                <c:pt idx="594">
                  <c:v>-16.177520918113217</c:v>
                </c:pt>
                <c:pt idx="595">
                  <c:v>-16.116328337855144</c:v>
                </c:pt>
                <c:pt idx="596">
                  <c:v>-16.055135757597064</c:v>
                </c:pt>
                <c:pt idx="597">
                  <c:v>-15.993943177338984</c:v>
                </c:pt>
                <c:pt idx="598">
                  <c:v>-15.932750597080904</c:v>
                </c:pt>
                <c:pt idx="599">
                  <c:v>-15.871558016822824</c:v>
                </c:pt>
                <c:pt idx="600">
                  <c:v>-15.810365436564751</c:v>
                </c:pt>
                <c:pt idx="601">
                  <c:v>-15.749172856306672</c:v>
                </c:pt>
                <c:pt idx="602">
                  <c:v>-15.687980276048592</c:v>
                </c:pt>
                <c:pt idx="603">
                  <c:v>-15.626787695790512</c:v>
                </c:pt>
                <c:pt idx="604">
                  <c:v>-15.565595115532432</c:v>
                </c:pt>
                <c:pt idx="605">
                  <c:v>-15.504402535274359</c:v>
                </c:pt>
                <c:pt idx="606">
                  <c:v>-15.443209955016279</c:v>
                </c:pt>
                <c:pt idx="607">
                  <c:v>-15.382017374758199</c:v>
                </c:pt>
                <c:pt idx="608">
                  <c:v>-15.320824794500119</c:v>
                </c:pt>
                <c:pt idx="609">
                  <c:v>-15.259632214242039</c:v>
                </c:pt>
                <c:pt idx="610">
                  <c:v>-15.198439633983966</c:v>
                </c:pt>
                <c:pt idx="611">
                  <c:v>-15.137247053725886</c:v>
                </c:pt>
                <c:pt idx="612">
                  <c:v>-15.076054473467806</c:v>
                </c:pt>
                <c:pt idx="613">
                  <c:v>-15.014861893209726</c:v>
                </c:pt>
                <c:pt idx="614">
                  <c:v>-14.953669312951646</c:v>
                </c:pt>
                <c:pt idx="615">
                  <c:v>-14.892476732693567</c:v>
                </c:pt>
                <c:pt idx="616">
                  <c:v>-14.831284152435494</c:v>
                </c:pt>
                <c:pt idx="617">
                  <c:v>-14.770091572177414</c:v>
                </c:pt>
                <c:pt idx="618">
                  <c:v>-14.708898991919334</c:v>
                </c:pt>
                <c:pt idx="619">
                  <c:v>-14.647706411661254</c:v>
                </c:pt>
                <c:pt idx="620">
                  <c:v>-14.586513831403174</c:v>
                </c:pt>
                <c:pt idx="621">
                  <c:v>-14.525321251145101</c:v>
                </c:pt>
                <c:pt idx="622">
                  <c:v>-14.464128670887021</c:v>
                </c:pt>
                <c:pt idx="623">
                  <c:v>-14.402936090628941</c:v>
                </c:pt>
                <c:pt idx="624">
                  <c:v>-14.341743510370861</c:v>
                </c:pt>
                <c:pt idx="625">
                  <c:v>-14.280550930112781</c:v>
                </c:pt>
                <c:pt idx="626">
                  <c:v>-14.219358349854708</c:v>
                </c:pt>
                <c:pt idx="627">
                  <c:v>-14.158165769596629</c:v>
                </c:pt>
                <c:pt idx="628">
                  <c:v>-14.096973189338549</c:v>
                </c:pt>
                <c:pt idx="629">
                  <c:v>-14.035780609080469</c:v>
                </c:pt>
                <c:pt idx="630">
                  <c:v>-13.974588028822389</c:v>
                </c:pt>
                <c:pt idx="631">
                  <c:v>-13.913395448564316</c:v>
                </c:pt>
                <c:pt idx="632">
                  <c:v>-13.852202868306236</c:v>
                </c:pt>
                <c:pt idx="633">
                  <c:v>-13.791010288048156</c:v>
                </c:pt>
                <c:pt idx="634">
                  <c:v>-13.729817707790076</c:v>
                </c:pt>
                <c:pt idx="635">
                  <c:v>-13.668625127531996</c:v>
                </c:pt>
                <c:pt idx="636">
                  <c:v>-13.607432547273916</c:v>
                </c:pt>
                <c:pt idx="637">
                  <c:v>-13.546239967015843</c:v>
                </c:pt>
                <c:pt idx="638">
                  <c:v>-13.485047386757763</c:v>
                </c:pt>
                <c:pt idx="639">
                  <c:v>-13.423854806499683</c:v>
                </c:pt>
                <c:pt idx="640">
                  <c:v>-13.362662226241603</c:v>
                </c:pt>
                <c:pt idx="641">
                  <c:v>-13.301469645983524</c:v>
                </c:pt>
                <c:pt idx="642">
                  <c:v>-13.240277065725451</c:v>
                </c:pt>
                <c:pt idx="643">
                  <c:v>-13.179084485467371</c:v>
                </c:pt>
                <c:pt idx="644">
                  <c:v>-13.117891905209291</c:v>
                </c:pt>
                <c:pt idx="645">
                  <c:v>-13.056699324951211</c:v>
                </c:pt>
                <c:pt idx="646">
                  <c:v>-12.995506744693131</c:v>
                </c:pt>
                <c:pt idx="647">
                  <c:v>-12.934314164435058</c:v>
                </c:pt>
                <c:pt idx="648">
                  <c:v>-12.873121584176978</c:v>
                </c:pt>
                <c:pt idx="649">
                  <c:v>-12.811929003918898</c:v>
                </c:pt>
                <c:pt idx="650">
                  <c:v>-12.750736423660818</c:v>
                </c:pt>
                <c:pt idx="651">
                  <c:v>-12.689543843402738</c:v>
                </c:pt>
                <c:pt idx="652">
                  <c:v>-12.628351263144665</c:v>
                </c:pt>
                <c:pt idx="653">
                  <c:v>-12.567158682886586</c:v>
                </c:pt>
                <c:pt idx="654">
                  <c:v>-12.505966102628506</c:v>
                </c:pt>
                <c:pt idx="655">
                  <c:v>-12.444773522370426</c:v>
                </c:pt>
                <c:pt idx="656">
                  <c:v>-12.383580942112346</c:v>
                </c:pt>
                <c:pt idx="657">
                  <c:v>-12.322388361854266</c:v>
                </c:pt>
                <c:pt idx="658">
                  <c:v>-12.261195781596193</c:v>
                </c:pt>
                <c:pt idx="659">
                  <c:v>-12.200003201338113</c:v>
                </c:pt>
                <c:pt idx="660">
                  <c:v>-12.138810621080033</c:v>
                </c:pt>
                <c:pt idx="661">
                  <c:v>-12.077618040821953</c:v>
                </c:pt>
                <c:pt idx="662">
                  <c:v>-12.016425460563873</c:v>
                </c:pt>
                <c:pt idx="663">
                  <c:v>-11.9552328803058</c:v>
                </c:pt>
                <c:pt idx="664">
                  <c:v>-11.89404030004772</c:v>
                </c:pt>
                <c:pt idx="665">
                  <c:v>-11.83284771978964</c:v>
                </c:pt>
                <c:pt idx="666">
                  <c:v>-11.771655139531561</c:v>
                </c:pt>
                <c:pt idx="667">
                  <c:v>-11.710462559273481</c:v>
                </c:pt>
                <c:pt idx="668">
                  <c:v>-11.649269979015408</c:v>
                </c:pt>
                <c:pt idx="669">
                  <c:v>-11.588077398757328</c:v>
                </c:pt>
                <c:pt idx="670">
                  <c:v>-11.526884818499248</c:v>
                </c:pt>
                <c:pt idx="671">
                  <c:v>-11.465692238241168</c:v>
                </c:pt>
                <c:pt idx="672">
                  <c:v>-11.404499657983088</c:v>
                </c:pt>
                <c:pt idx="673">
                  <c:v>-11.343307077725015</c:v>
                </c:pt>
                <c:pt idx="674">
                  <c:v>-11.282114497466935</c:v>
                </c:pt>
                <c:pt idx="675">
                  <c:v>-11.220921917208855</c:v>
                </c:pt>
                <c:pt idx="676">
                  <c:v>-11.159729336950775</c:v>
                </c:pt>
                <c:pt idx="677">
                  <c:v>-11.098536756692695</c:v>
                </c:pt>
                <c:pt idx="678">
                  <c:v>-11.037344176434623</c:v>
                </c:pt>
                <c:pt idx="679">
                  <c:v>-10.976151596176543</c:v>
                </c:pt>
                <c:pt idx="680">
                  <c:v>-10.914959015918463</c:v>
                </c:pt>
                <c:pt idx="681">
                  <c:v>-10.853766435660383</c:v>
                </c:pt>
                <c:pt idx="682">
                  <c:v>-10.792573855402303</c:v>
                </c:pt>
                <c:pt idx="683">
                  <c:v>-10.731381275144223</c:v>
                </c:pt>
                <c:pt idx="684">
                  <c:v>-10.67018869488615</c:v>
                </c:pt>
                <c:pt idx="685">
                  <c:v>-10.60899611462807</c:v>
                </c:pt>
                <c:pt idx="686">
                  <c:v>-10.54780353436999</c:v>
                </c:pt>
                <c:pt idx="687">
                  <c:v>-10.48661095411191</c:v>
                </c:pt>
                <c:pt idx="688">
                  <c:v>-10.425418373853837</c:v>
                </c:pt>
                <c:pt idx="689">
                  <c:v>-10.364225793595764</c:v>
                </c:pt>
                <c:pt idx="690">
                  <c:v>-10.303033213337685</c:v>
                </c:pt>
                <c:pt idx="691">
                  <c:v>-10.241840633079605</c:v>
                </c:pt>
                <c:pt idx="692">
                  <c:v>-10.180648052821525</c:v>
                </c:pt>
                <c:pt idx="693">
                  <c:v>-10.119455472563445</c:v>
                </c:pt>
                <c:pt idx="694">
                  <c:v>-10.058262892305372</c:v>
                </c:pt>
                <c:pt idx="695">
                  <c:v>-9.9970703120472919</c:v>
                </c:pt>
                <c:pt idx="696">
                  <c:v>-9.935877731789212</c:v>
                </c:pt>
                <c:pt idx="697">
                  <c:v>-9.874685151531132</c:v>
                </c:pt>
                <c:pt idx="698">
                  <c:v>-9.8134925712730521</c:v>
                </c:pt>
                <c:pt idx="699">
                  <c:v>-9.7522999910149721</c:v>
                </c:pt>
                <c:pt idx="700">
                  <c:v>-9.6911074107568993</c:v>
                </c:pt>
                <c:pt idx="701">
                  <c:v>-9.6299148304988194</c:v>
                </c:pt>
                <c:pt idx="702">
                  <c:v>-9.5687222502407394</c:v>
                </c:pt>
                <c:pt idx="703">
                  <c:v>-9.5075296699826595</c:v>
                </c:pt>
                <c:pt idx="704">
                  <c:v>-9.4463370897245795</c:v>
                </c:pt>
                <c:pt idx="705">
                  <c:v>-9.3851445094665067</c:v>
                </c:pt>
                <c:pt idx="706">
                  <c:v>-9.3239519292084267</c:v>
                </c:pt>
                <c:pt idx="707">
                  <c:v>-9.2627593489503468</c:v>
                </c:pt>
                <c:pt idx="708">
                  <c:v>-9.2015667686922669</c:v>
                </c:pt>
                <c:pt idx="709">
                  <c:v>-9.1403741884341869</c:v>
                </c:pt>
                <c:pt idx="710">
                  <c:v>-9.0791816081761141</c:v>
                </c:pt>
                <c:pt idx="711">
                  <c:v>-9.0179890279180341</c:v>
                </c:pt>
                <c:pt idx="712">
                  <c:v>-8.9567964476599542</c:v>
                </c:pt>
                <c:pt idx="713">
                  <c:v>-8.8956038674018743</c:v>
                </c:pt>
                <c:pt idx="714">
                  <c:v>-8.8344112871437943</c:v>
                </c:pt>
                <c:pt idx="715">
                  <c:v>-8.7732187068857215</c:v>
                </c:pt>
                <c:pt idx="716">
                  <c:v>-8.7120261266276415</c:v>
                </c:pt>
                <c:pt idx="717">
                  <c:v>-8.6508335463695616</c:v>
                </c:pt>
                <c:pt idx="718">
                  <c:v>-8.5896409661114816</c:v>
                </c:pt>
                <c:pt idx="719">
                  <c:v>-8.5284483858534017</c:v>
                </c:pt>
                <c:pt idx="720">
                  <c:v>-8.4672558055953289</c:v>
                </c:pt>
                <c:pt idx="721">
                  <c:v>-8.4060632253372489</c:v>
                </c:pt>
                <c:pt idx="722">
                  <c:v>-8.344870645079169</c:v>
                </c:pt>
                <c:pt idx="723">
                  <c:v>-8.283678064821089</c:v>
                </c:pt>
                <c:pt idx="724">
                  <c:v>-8.2224854845630091</c:v>
                </c:pt>
                <c:pt idx="725">
                  <c:v>-8.1612929043049292</c:v>
                </c:pt>
                <c:pt idx="726">
                  <c:v>-8.1001003240468563</c:v>
                </c:pt>
                <c:pt idx="727">
                  <c:v>-8.0389077437887764</c:v>
                </c:pt>
                <c:pt idx="728">
                  <c:v>-7.9777151635306964</c:v>
                </c:pt>
                <c:pt idx="729">
                  <c:v>-7.9165225832726165</c:v>
                </c:pt>
                <c:pt idx="730">
                  <c:v>-7.8553300030145365</c:v>
                </c:pt>
                <c:pt idx="731">
                  <c:v>-7.7941374227564637</c:v>
                </c:pt>
                <c:pt idx="732">
                  <c:v>-7.7329448424983838</c:v>
                </c:pt>
                <c:pt idx="733">
                  <c:v>-7.6717522622403038</c:v>
                </c:pt>
                <c:pt idx="734">
                  <c:v>-7.6105596819822239</c:v>
                </c:pt>
                <c:pt idx="735">
                  <c:v>-7.5493671017241439</c:v>
                </c:pt>
                <c:pt idx="736">
                  <c:v>-7.4881745214660711</c:v>
                </c:pt>
                <c:pt idx="737">
                  <c:v>-7.4269819412079912</c:v>
                </c:pt>
                <c:pt idx="738">
                  <c:v>-7.3657893609499112</c:v>
                </c:pt>
                <c:pt idx="739">
                  <c:v>-7.3045967806918313</c:v>
                </c:pt>
                <c:pt idx="740">
                  <c:v>-7.2434042004337513</c:v>
                </c:pt>
                <c:pt idx="741">
                  <c:v>-7.1822116201756785</c:v>
                </c:pt>
                <c:pt idx="742">
                  <c:v>-7.1210190399175985</c:v>
                </c:pt>
                <c:pt idx="743">
                  <c:v>-7.0598264596595186</c:v>
                </c:pt>
                <c:pt idx="744">
                  <c:v>-6.9986338794014387</c:v>
                </c:pt>
                <c:pt idx="745">
                  <c:v>-6.9374412991433587</c:v>
                </c:pt>
                <c:pt idx="746">
                  <c:v>-6.8762487188852788</c:v>
                </c:pt>
                <c:pt idx="747">
                  <c:v>-6.8150561386272059</c:v>
                </c:pt>
                <c:pt idx="748">
                  <c:v>-6.753863558369126</c:v>
                </c:pt>
                <c:pt idx="749">
                  <c:v>-6.6926709781110461</c:v>
                </c:pt>
                <c:pt idx="750">
                  <c:v>-6.6314783978529661</c:v>
                </c:pt>
                <c:pt idx="751">
                  <c:v>-6.5702858175948862</c:v>
                </c:pt>
                <c:pt idx="752">
                  <c:v>-6.5090932373368133</c:v>
                </c:pt>
                <c:pt idx="753">
                  <c:v>-6.4479006570787334</c:v>
                </c:pt>
                <c:pt idx="754">
                  <c:v>-6.3867080768206534</c:v>
                </c:pt>
                <c:pt idx="755">
                  <c:v>-6.3255154965625735</c:v>
                </c:pt>
                <c:pt idx="756">
                  <c:v>-6.2643229163044936</c:v>
                </c:pt>
                <c:pt idx="757">
                  <c:v>-6.2031303360464207</c:v>
                </c:pt>
                <c:pt idx="758">
                  <c:v>-6.1419377557883408</c:v>
                </c:pt>
                <c:pt idx="759">
                  <c:v>-6.0807451755302608</c:v>
                </c:pt>
                <c:pt idx="760">
                  <c:v>-6.0195525952721809</c:v>
                </c:pt>
                <c:pt idx="761">
                  <c:v>-5.958360015014101</c:v>
                </c:pt>
                <c:pt idx="762">
                  <c:v>-5.8971674347560281</c:v>
                </c:pt>
                <c:pt idx="763">
                  <c:v>-5.8359748544979482</c:v>
                </c:pt>
                <c:pt idx="764">
                  <c:v>-5.7747822742398682</c:v>
                </c:pt>
                <c:pt idx="765">
                  <c:v>-5.7135896939817883</c:v>
                </c:pt>
                <c:pt idx="766">
                  <c:v>-5.6523971137237083</c:v>
                </c:pt>
                <c:pt idx="767">
                  <c:v>-5.5912045334656355</c:v>
                </c:pt>
                <c:pt idx="768">
                  <c:v>-5.5300119532075556</c:v>
                </c:pt>
                <c:pt idx="769">
                  <c:v>-5.4688193729494756</c:v>
                </c:pt>
                <c:pt idx="770">
                  <c:v>-5.4076267926913957</c:v>
                </c:pt>
                <c:pt idx="771">
                  <c:v>-5.3464342124333157</c:v>
                </c:pt>
                <c:pt idx="772">
                  <c:v>-5.2852416321752358</c:v>
                </c:pt>
                <c:pt idx="773">
                  <c:v>-5.224049051917163</c:v>
                </c:pt>
                <c:pt idx="774">
                  <c:v>-5.162856471659083</c:v>
                </c:pt>
                <c:pt idx="775">
                  <c:v>-5.1016638914010031</c:v>
                </c:pt>
                <c:pt idx="776">
                  <c:v>-5.0404713111429231</c:v>
                </c:pt>
                <c:pt idx="777">
                  <c:v>-4.9792787308848432</c:v>
                </c:pt>
                <c:pt idx="778">
                  <c:v>-4.9180861506267703</c:v>
                </c:pt>
                <c:pt idx="779">
                  <c:v>-4.8568935703686904</c:v>
                </c:pt>
                <c:pt idx="780">
                  <c:v>-4.7957009901106105</c:v>
                </c:pt>
                <c:pt idx="781">
                  <c:v>-4.7345084098525305</c:v>
                </c:pt>
                <c:pt idx="782">
                  <c:v>-4.6733158295944506</c:v>
                </c:pt>
                <c:pt idx="783">
                  <c:v>-4.6121232493363777</c:v>
                </c:pt>
                <c:pt idx="784">
                  <c:v>-4.5509306690782978</c:v>
                </c:pt>
                <c:pt idx="785">
                  <c:v>-4.4897380888202179</c:v>
                </c:pt>
                <c:pt idx="786">
                  <c:v>-4.4285455085621379</c:v>
                </c:pt>
                <c:pt idx="787">
                  <c:v>-4.367352928304058</c:v>
                </c:pt>
                <c:pt idx="788">
                  <c:v>-4.3061603480459851</c:v>
                </c:pt>
                <c:pt idx="789">
                  <c:v>-4.2449677677879052</c:v>
                </c:pt>
                <c:pt idx="790">
                  <c:v>-4.1837751875298252</c:v>
                </c:pt>
                <c:pt idx="791">
                  <c:v>-4.1225826072717453</c:v>
                </c:pt>
                <c:pt idx="792">
                  <c:v>-4.0613900270136654</c:v>
                </c:pt>
                <c:pt idx="793">
                  <c:v>-4.0001974467555854</c:v>
                </c:pt>
                <c:pt idx="794">
                  <c:v>-3.9390048664975126</c:v>
                </c:pt>
                <c:pt idx="795">
                  <c:v>-3.8778122862394326</c:v>
                </c:pt>
                <c:pt idx="796">
                  <c:v>-3.8166197059813527</c:v>
                </c:pt>
                <c:pt idx="797">
                  <c:v>-3.7554271257232728</c:v>
                </c:pt>
                <c:pt idx="798">
                  <c:v>-3.6942345454651928</c:v>
                </c:pt>
                <c:pt idx="799">
                  <c:v>-3.63304196520712</c:v>
                </c:pt>
                <c:pt idx="800">
                  <c:v>-3.57184938494904</c:v>
                </c:pt>
                <c:pt idx="801">
                  <c:v>-3.5106568046909601</c:v>
                </c:pt>
                <c:pt idx="802">
                  <c:v>-3.4494642244328801</c:v>
                </c:pt>
                <c:pt idx="803">
                  <c:v>-3.3882716441748002</c:v>
                </c:pt>
                <c:pt idx="804">
                  <c:v>-3.3270790639167274</c:v>
                </c:pt>
                <c:pt idx="805">
                  <c:v>-3.2658864836586474</c:v>
                </c:pt>
                <c:pt idx="806">
                  <c:v>-3.2046939034005675</c:v>
                </c:pt>
                <c:pt idx="807">
                  <c:v>-3.1435013231424875</c:v>
                </c:pt>
                <c:pt idx="808">
                  <c:v>-3.0823087428844076</c:v>
                </c:pt>
                <c:pt idx="809">
                  <c:v>-3.0211161626263348</c:v>
                </c:pt>
                <c:pt idx="810">
                  <c:v>-2.9599235823682548</c:v>
                </c:pt>
                <c:pt idx="811">
                  <c:v>-2.8987310021101749</c:v>
                </c:pt>
                <c:pt idx="812">
                  <c:v>-2.8375384218520949</c:v>
                </c:pt>
                <c:pt idx="813">
                  <c:v>-2.7763458415940221</c:v>
                </c:pt>
                <c:pt idx="814">
                  <c:v>-2.7151532613359421</c:v>
                </c:pt>
                <c:pt idx="815">
                  <c:v>-2.6539606810778693</c:v>
                </c:pt>
                <c:pt idx="816">
                  <c:v>-2.5927681008197894</c:v>
                </c:pt>
                <c:pt idx="817">
                  <c:v>-2.5315755205617094</c:v>
                </c:pt>
                <c:pt idx="818">
                  <c:v>-2.4703829403036295</c:v>
                </c:pt>
                <c:pt idx="819">
                  <c:v>-2.4091903600455495</c:v>
                </c:pt>
                <c:pt idx="820">
                  <c:v>-2.3479977797874767</c:v>
                </c:pt>
                <c:pt idx="821">
                  <c:v>-2.2868051995293968</c:v>
                </c:pt>
                <c:pt idx="822">
                  <c:v>-2.2256126192713168</c:v>
                </c:pt>
                <c:pt idx="823">
                  <c:v>-2.1644200390132369</c:v>
                </c:pt>
                <c:pt idx="824">
                  <c:v>-2.1032274587551569</c:v>
                </c:pt>
                <c:pt idx="825">
                  <c:v>-2.0420348784970841</c:v>
                </c:pt>
                <c:pt idx="826">
                  <c:v>-1.9808422982390042</c:v>
                </c:pt>
                <c:pt idx="827">
                  <c:v>-1.9196497179809242</c:v>
                </c:pt>
                <c:pt idx="828">
                  <c:v>-1.8584571377228443</c:v>
                </c:pt>
                <c:pt idx="829">
                  <c:v>-1.7972645574647643</c:v>
                </c:pt>
                <c:pt idx="830">
                  <c:v>-1.7360719772066915</c:v>
                </c:pt>
                <c:pt idx="831">
                  <c:v>-1.6748793969486115</c:v>
                </c:pt>
                <c:pt idx="832">
                  <c:v>-1.6136868166905316</c:v>
                </c:pt>
                <c:pt idx="833">
                  <c:v>-1.5524942364324517</c:v>
                </c:pt>
                <c:pt idx="834">
                  <c:v>-1.4913016561743717</c:v>
                </c:pt>
                <c:pt idx="835">
                  <c:v>-1.4301090759162918</c:v>
                </c:pt>
                <c:pt idx="836">
                  <c:v>-1.3689164956582189</c:v>
                </c:pt>
                <c:pt idx="837">
                  <c:v>-1.307723915400139</c:v>
                </c:pt>
                <c:pt idx="838">
                  <c:v>-1.246531335142059</c:v>
                </c:pt>
                <c:pt idx="839">
                  <c:v>-1.1853387548839791</c:v>
                </c:pt>
                <c:pt idx="840">
                  <c:v>-1.1241461746258992</c:v>
                </c:pt>
                <c:pt idx="841">
                  <c:v>-1.0629535943678263</c:v>
                </c:pt>
                <c:pt idx="842">
                  <c:v>-1.0017610141097464</c:v>
                </c:pt>
                <c:pt idx="843">
                  <c:v>-0.94056843385166644</c:v>
                </c:pt>
                <c:pt idx="844">
                  <c:v>-0.8793758535935865</c:v>
                </c:pt>
                <c:pt idx="845">
                  <c:v>-0.81818327333550656</c:v>
                </c:pt>
                <c:pt idx="846">
                  <c:v>-0.75699069307743372</c:v>
                </c:pt>
                <c:pt idx="847">
                  <c:v>-0.69579811281935378</c:v>
                </c:pt>
                <c:pt idx="848">
                  <c:v>-0.63460553256127383</c:v>
                </c:pt>
                <c:pt idx="849">
                  <c:v>-0.57341295230319389</c:v>
                </c:pt>
                <c:pt idx="850">
                  <c:v>-0.51222037204511395</c:v>
                </c:pt>
                <c:pt idx="851">
                  <c:v>-0.45102779178704111</c:v>
                </c:pt>
                <c:pt idx="852">
                  <c:v>-0.38983521152896117</c:v>
                </c:pt>
                <c:pt idx="853">
                  <c:v>-0.32864263127088122</c:v>
                </c:pt>
                <c:pt idx="854">
                  <c:v>-0.26745005101280128</c:v>
                </c:pt>
                <c:pt idx="855">
                  <c:v>-0.20625747075472134</c:v>
                </c:pt>
                <c:pt idx="856">
                  <c:v>-0.1450648904966414</c:v>
                </c:pt>
                <c:pt idx="857">
                  <c:v>-8.3872310238568559E-2</c:v>
                </c:pt>
                <c:pt idx="858">
                  <c:v>-2.2679729980488617E-2</c:v>
                </c:pt>
                <c:pt idx="859">
                  <c:v>3.8512850277591326E-2</c:v>
                </c:pt>
                <c:pt idx="860">
                  <c:v>9.9705430535671269E-2</c:v>
                </c:pt>
                <c:pt idx="861">
                  <c:v>0.16089801079375121</c:v>
                </c:pt>
                <c:pt idx="862">
                  <c:v>0.22209059105182405</c:v>
                </c:pt>
                <c:pt idx="863">
                  <c:v>0.28328317130990399</c:v>
                </c:pt>
                <c:pt idx="864">
                  <c:v>0.34447575156798393</c:v>
                </c:pt>
                <c:pt idx="865">
                  <c:v>0.40566833182606388</c:v>
                </c:pt>
                <c:pt idx="866">
                  <c:v>0.46686091208414382</c:v>
                </c:pt>
                <c:pt idx="867">
                  <c:v>0.52805349234221666</c:v>
                </c:pt>
                <c:pt idx="868">
                  <c:v>0.5892460726002966</c:v>
                </c:pt>
                <c:pt idx="869">
                  <c:v>0.65043865285837654</c:v>
                </c:pt>
                <c:pt idx="870">
                  <c:v>0.71163123311645649</c:v>
                </c:pt>
                <c:pt idx="871">
                  <c:v>0.77282381337453643</c:v>
                </c:pt>
                <c:pt idx="872">
                  <c:v>0.83401639363260927</c:v>
                </c:pt>
                <c:pt idx="873">
                  <c:v>0.89520897389068921</c:v>
                </c:pt>
                <c:pt idx="874">
                  <c:v>0.95640155414876915</c:v>
                </c:pt>
                <c:pt idx="875">
                  <c:v>1.0175941344068491</c:v>
                </c:pt>
                <c:pt idx="876">
                  <c:v>1.078786714664929</c:v>
                </c:pt>
                <c:pt idx="877">
                  <c:v>1.1399792949230019</c:v>
                </c:pt>
                <c:pt idx="878">
                  <c:v>1.2011718751810818</c:v>
                </c:pt>
                <c:pt idx="879">
                  <c:v>1.2623644554391618</c:v>
                </c:pt>
                <c:pt idx="880">
                  <c:v>1.3235570356972417</c:v>
                </c:pt>
                <c:pt idx="881">
                  <c:v>1.3847496159553216</c:v>
                </c:pt>
                <c:pt idx="882">
                  <c:v>1.4459421962134016</c:v>
                </c:pt>
                <c:pt idx="883">
                  <c:v>1.5071347764714744</c:v>
                </c:pt>
                <c:pt idx="884">
                  <c:v>1.5683273567295544</c:v>
                </c:pt>
                <c:pt idx="885">
                  <c:v>1.6295199369876343</c:v>
                </c:pt>
                <c:pt idx="886">
                  <c:v>1.6907125172457143</c:v>
                </c:pt>
                <c:pt idx="887">
                  <c:v>1.7519050975037942</c:v>
                </c:pt>
                <c:pt idx="888">
                  <c:v>1.813097677761867</c:v>
                </c:pt>
                <c:pt idx="889">
                  <c:v>1.874290258019947</c:v>
                </c:pt>
                <c:pt idx="890">
                  <c:v>1.9354828382780269</c:v>
                </c:pt>
                <c:pt idx="891">
                  <c:v>1.9966754185361069</c:v>
                </c:pt>
                <c:pt idx="892">
                  <c:v>2.0578679987941868</c:v>
                </c:pt>
                <c:pt idx="893">
                  <c:v>2.1190605790522596</c:v>
                </c:pt>
                <c:pt idx="894">
                  <c:v>2.1802531593103396</c:v>
                </c:pt>
                <c:pt idx="895">
                  <c:v>2.2414457395684195</c:v>
                </c:pt>
                <c:pt idx="896">
                  <c:v>2.3026383198264995</c:v>
                </c:pt>
                <c:pt idx="897">
                  <c:v>2.3638309000845794</c:v>
                </c:pt>
                <c:pt idx="898">
                  <c:v>2.4250234803426522</c:v>
                </c:pt>
                <c:pt idx="899">
                  <c:v>2.4862160606007322</c:v>
                </c:pt>
                <c:pt idx="900">
                  <c:v>2.5474086408588121</c:v>
                </c:pt>
                <c:pt idx="901">
                  <c:v>2.6086012211168921</c:v>
                </c:pt>
                <c:pt idx="902">
                  <c:v>2.669793801374972</c:v>
                </c:pt>
                <c:pt idx="903">
                  <c:v>2.730986381633052</c:v>
                </c:pt>
                <c:pt idx="904">
                  <c:v>2.7921789618911248</c:v>
                </c:pt>
                <c:pt idx="905">
                  <c:v>2.8533715421492047</c:v>
                </c:pt>
                <c:pt idx="906">
                  <c:v>2.9145641224072847</c:v>
                </c:pt>
                <c:pt idx="907">
                  <c:v>2.9757567026653646</c:v>
                </c:pt>
                <c:pt idx="908">
                  <c:v>3.0369492829234446</c:v>
                </c:pt>
                <c:pt idx="909">
                  <c:v>3.0981418631815174</c:v>
                </c:pt>
                <c:pt idx="910">
                  <c:v>3.1593344434395974</c:v>
                </c:pt>
                <c:pt idx="911">
                  <c:v>3.2205270236976773</c:v>
                </c:pt>
                <c:pt idx="912">
                  <c:v>3.2817196039557572</c:v>
                </c:pt>
                <c:pt idx="913">
                  <c:v>3.3429121842138372</c:v>
                </c:pt>
                <c:pt idx="914">
                  <c:v>3.40410476447191</c:v>
                </c:pt>
                <c:pt idx="915">
                  <c:v>3.46529734472999</c:v>
                </c:pt>
                <c:pt idx="916">
                  <c:v>3.5264899249880699</c:v>
                </c:pt>
                <c:pt idx="917">
                  <c:v>3.5876825052461498</c:v>
                </c:pt>
                <c:pt idx="918">
                  <c:v>3.6488750855042298</c:v>
                </c:pt>
                <c:pt idx="919">
                  <c:v>3.7100676657623026</c:v>
                </c:pt>
                <c:pt idx="920">
                  <c:v>3.7712602460203826</c:v>
                </c:pt>
                <c:pt idx="921">
                  <c:v>3.8324528262784625</c:v>
                </c:pt>
                <c:pt idx="922">
                  <c:v>3.8936454065365425</c:v>
                </c:pt>
                <c:pt idx="923">
                  <c:v>3.9548379867946224</c:v>
                </c:pt>
                <c:pt idx="924">
                  <c:v>4.0160305670526952</c:v>
                </c:pt>
                <c:pt idx="925">
                  <c:v>4.0772231473107752</c:v>
                </c:pt>
                <c:pt idx="926">
                  <c:v>4.1384157275688551</c:v>
                </c:pt>
                <c:pt idx="927">
                  <c:v>4.1996083078269351</c:v>
                </c:pt>
                <c:pt idx="928">
                  <c:v>4.260800888085015</c:v>
                </c:pt>
                <c:pt idx="929">
                  <c:v>4.3219934683430949</c:v>
                </c:pt>
                <c:pt idx="930">
                  <c:v>4.3831860486011678</c:v>
                </c:pt>
                <c:pt idx="931">
                  <c:v>4.4443786288592477</c:v>
                </c:pt>
                <c:pt idx="932">
                  <c:v>4.5055712091173277</c:v>
                </c:pt>
                <c:pt idx="933">
                  <c:v>4.5667637893754076</c:v>
                </c:pt>
                <c:pt idx="934">
                  <c:v>4.6279563696334876</c:v>
                </c:pt>
                <c:pt idx="935">
                  <c:v>4.6891489498915604</c:v>
                </c:pt>
                <c:pt idx="936">
                  <c:v>4.7503415301496403</c:v>
                </c:pt>
                <c:pt idx="937">
                  <c:v>4.8115341104077203</c:v>
                </c:pt>
                <c:pt idx="938">
                  <c:v>4.8727266906657931</c:v>
                </c:pt>
                <c:pt idx="939">
                  <c:v>4.9339192709238731</c:v>
                </c:pt>
                <c:pt idx="940">
                  <c:v>4.9951118511819459</c:v>
                </c:pt>
                <c:pt idx="941">
                  <c:v>5.0563044314400258</c:v>
                </c:pt>
                <c:pt idx="942">
                  <c:v>5.1174970116981058</c:v>
                </c:pt>
                <c:pt idx="943">
                  <c:v>5.1786895919561857</c:v>
                </c:pt>
                <c:pt idx="944">
                  <c:v>5.2398821722142657</c:v>
                </c:pt>
                <c:pt idx="945">
                  <c:v>5.3010747524723456</c:v>
                </c:pt>
                <c:pt idx="946">
                  <c:v>5.3622673327304184</c:v>
                </c:pt>
                <c:pt idx="947">
                  <c:v>5.4234599129884984</c:v>
                </c:pt>
                <c:pt idx="948">
                  <c:v>5.4846524932465783</c:v>
                </c:pt>
                <c:pt idx="949">
                  <c:v>5.5458450735046583</c:v>
                </c:pt>
                <c:pt idx="950">
                  <c:v>5.6070376537627382</c:v>
                </c:pt>
                <c:pt idx="951">
                  <c:v>5.6682302340208111</c:v>
                </c:pt>
                <c:pt idx="952">
                  <c:v>5.729422814278891</c:v>
                </c:pt>
                <c:pt idx="953">
                  <c:v>5.7906153945369709</c:v>
                </c:pt>
                <c:pt idx="954">
                  <c:v>5.8518079747950509</c:v>
                </c:pt>
                <c:pt idx="955">
                  <c:v>5.9130005550531308</c:v>
                </c:pt>
                <c:pt idx="956">
                  <c:v>5.9741931353112037</c:v>
                </c:pt>
                <c:pt idx="957">
                  <c:v>6.0353857155692836</c:v>
                </c:pt>
                <c:pt idx="958">
                  <c:v>6.0965782958273635</c:v>
                </c:pt>
                <c:pt idx="959">
                  <c:v>6.1577708760854435</c:v>
                </c:pt>
                <c:pt idx="960">
                  <c:v>6.2189634563435234</c:v>
                </c:pt>
                <c:pt idx="961">
                  <c:v>6.2801560366015963</c:v>
                </c:pt>
                <c:pt idx="962">
                  <c:v>6.3413486168596762</c:v>
                </c:pt>
                <c:pt idx="963">
                  <c:v>6.4025411971177562</c:v>
                </c:pt>
                <c:pt idx="964">
                  <c:v>6.4637337773758361</c:v>
                </c:pt>
                <c:pt idx="965">
                  <c:v>6.524926357633916</c:v>
                </c:pt>
                <c:pt idx="966">
                  <c:v>6.586118937891996</c:v>
                </c:pt>
                <c:pt idx="967">
                  <c:v>6.6473115181500688</c:v>
                </c:pt>
                <c:pt idx="968">
                  <c:v>6.7085040984081488</c:v>
                </c:pt>
                <c:pt idx="969">
                  <c:v>6.7696966786662287</c:v>
                </c:pt>
                <c:pt idx="970">
                  <c:v>6.8308892589243086</c:v>
                </c:pt>
                <c:pt idx="971">
                  <c:v>6.8920818391823886</c:v>
                </c:pt>
                <c:pt idx="972">
                  <c:v>6.9532744194404614</c:v>
                </c:pt>
                <c:pt idx="973">
                  <c:v>7.0144669996985414</c:v>
                </c:pt>
                <c:pt idx="974">
                  <c:v>7.0756595799566213</c:v>
                </c:pt>
                <c:pt idx="975">
                  <c:v>7.1368521602147013</c:v>
                </c:pt>
                <c:pt idx="976">
                  <c:v>7.1980447404727812</c:v>
                </c:pt>
                <c:pt idx="977">
                  <c:v>7.259237320730854</c:v>
                </c:pt>
                <c:pt idx="978">
                  <c:v>7.320429900988934</c:v>
                </c:pt>
                <c:pt idx="979">
                  <c:v>7.3816224812470139</c:v>
                </c:pt>
                <c:pt idx="980">
                  <c:v>7.4428150615050939</c:v>
                </c:pt>
                <c:pt idx="981">
                  <c:v>7.5040076417631738</c:v>
                </c:pt>
                <c:pt idx="982">
                  <c:v>7.5652002220212466</c:v>
                </c:pt>
                <c:pt idx="983">
                  <c:v>7.6263928022793266</c:v>
                </c:pt>
                <c:pt idx="984">
                  <c:v>7.6875853825374065</c:v>
                </c:pt>
                <c:pt idx="985">
                  <c:v>7.7487779627954865</c:v>
                </c:pt>
                <c:pt idx="986">
                  <c:v>7.8099705430535664</c:v>
                </c:pt>
                <c:pt idx="987">
                  <c:v>7.8711631233116393</c:v>
                </c:pt>
                <c:pt idx="988">
                  <c:v>7.9323557035697192</c:v>
                </c:pt>
                <c:pt idx="989">
                  <c:v>7.9935482838277991</c:v>
                </c:pt>
                <c:pt idx="990">
                  <c:v>8.0547408640858791</c:v>
                </c:pt>
                <c:pt idx="991">
                  <c:v>8.115933444343959</c:v>
                </c:pt>
                <c:pt idx="992">
                  <c:v>8.177126024602039</c:v>
                </c:pt>
                <c:pt idx="993">
                  <c:v>8.2383186048601118</c:v>
                </c:pt>
                <c:pt idx="994">
                  <c:v>8.2995111851181917</c:v>
                </c:pt>
                <c:pt idx="995">
                  <c:v>8.3607037653762717</c:v>
                </c:pt>
                <c:pt idx="996">
                  <c:v>8.4218963456343516</c:v>
                </c:pt>
                <c:pt idx="997">
                  <c:v>8.4830889258924316</c:v>
                </c:pt>
                <c:pt idx="998">
                  <c:v>8.5442815061505044</c:v>
                </c:pt>
                <c:pt idx="999">
                  <c:v>8.6054740864085844</c:v>
                </c:pt>
                <c:pt idx="1000">
                  <c:v>8.6666666666666643</c:v>
                </c:pt>
              </c:numCache>
            </c:numRef>
          </c:xVal>
          <c:yVal>
            <c:numRef>
              <c:f>MPa!$P$28:$P$1028</c:f>
              <c:numCache>
                <c:formatCode>General</c:formatCode>
                <c:ptCount val="1001"/>
                <c:pt idx="0">
                  <c:v>0</c:v>
                </c:pt>
                <c:pt idx="1">
                  <c:v>1.5669412179643696</c:v>
                </c:pt>
                <c:pt idx="2">
                  <c:v>2.2142185147605362</c:v>
                </c:pt>
                <c:pt idx="3">
                  <c:v>2.7096842234477192</c:v>
                </c:pt>
                <c:pt idx="4">
                  <c:v>3.1263703700606933</c:v>
                </c:pt>
                <c:pt idx="5">
                  <c:v>3.4925900066078239</c:v>
                </c:pt>
                <c:pt idx="6">
                  <c:v>3.8228759326426243</c:v>
                </c:pt>
                <c:pt idx="7">
                  <c:v>4.1258683963935683</c:v>
                </c:pt>
                <c:pt idx="8">
                  <c:v>4.4072015880164805</c:v>
                </c:pt>
                <c:pt idx="9">
                  <c:v>4.6707922054803879</c:v>
                </c:pt>
                <c:pt idx="10">
                  <c:v>4.919494280481234</c:v>
                </c:pt>
                <c:pt idx="11">
                  <c:v>5.1554641167801423</c:v>
                </c:pt>
                <c:pt idx="12">
                  <c:v>5.3803782994516158</c:v>
                </c:pt>
                <c:pt idx="13">
                  <c:v>5.5955712034055827</c:v>
                </c:pt>
                <c:pt idx="14">
                  <c:v>5.8021256063813649</c:v>
                </c:pt>
                <c:pt idx="15">
                  <c:v>6.000934591216569</c:v>
                </c:pt>
                <c:pt idx="16">
                  <c:v>6.1927451324281604</c:v>
                </c:pt>
                <c:pt idx="17">
                  <c:v>6.378189586476001</c:v>
                </c:pt>
                <c:pt idx="18">
                  <c:v>6.5578089530630637</c:v>
                </c:pt>
                <c:pt idx="19">
                  <c:v>6.7320703931344221</c:v>
                </c:pt>
                <c:pt idx="20">
                  <c:v>6.9013806476782547</c:v>
                </c:pt>
                <c:pt idx="21">
                  <c:v>7.0660964724782804</c:v>
                </c:pt>
                <c:pt idx="22">
                  <c:v>7.226532862182304</c:v>
                </c:pt>
                <c:pt idx="23">
                  <c:v>7.3829696107374003</c:v>
                </c:pt>
                <c:pt idx="24">
                  <c:v>7.5356566020772338</c:v>
                </c:pt>
                <c:pt idx="25">
                  <c:v>7.6848181192358869</c:v>
                </c:pt>
                <c:pt idx="26">
                  <c:v>7.8306563857996512</c:v>
                </c:pt>
                <c:pt idx="27">
                  <c:v>7.9733545005917135</c:v>
                </c:pt>
                <c:pt idx="28">
                  <c:v>8.11307888807716</c:v>
                </c:pt>
                <c:pt idx="29">
                  <c:v>8.2499813587762549</c:v>
                </c:pt>
                <c:pt idx="30">
                  <c:v>8.3842008530101193</c:v>
                </c:pt>
                <c:pt idx="31">
                  <c:v>8.5158649255428127</c:v>
                </c:pt>
                <c:pt idx="32">
                  <c:v>8.6450910167066173</c:v>
                </c:pt>
                <c:pt idx="33">
                  <c:v>8.7719875464084449</c:v>
                </c:pt>
                <c:pt idx="34">
                  <c:v>8.8966548602995363</c:v>
                </c:pt>
                <c:pt idx="35">
                  <c:v>9.019186051833378</c:v>
                </c:pt>
                <c:pt idx="36">
                  <c:v>9.1396676795629297</c:v>
                </c:pt>
                <c:pt idx="37">
                  <c:v>9.2581803955588136</c:v>
                </c:pt>
                <c:pt idx="38">
                  <c:v>9.3747994980597014</c:v>
                </c:pt>
                <c:pt idx="39">
                  <c:v>9.4895954192390644</c:v>
                </c:pt>
                <c:pt idx="40">
                  <c:v>9.6026341571703142</c:v>
                </c:pt>
                <c:pt idx="41">
                  <c:v>9.7139776596070426</c:v>
                </c:pt>
                <c:pt idx="42">
                  <c:v>9.8236841659950027</c:v>
                </c:pt>
                <c:pt idx="43">
                  <c:v>9.931808513146164</c:v>
                </c:pt>
                <c:pt idx="44">
                  <c:v>10.038402409189652</c:v>
                </c:pt>
                <c:pt idx="45">
                  <c:v>10.143514679736802</c:v>
                </c:pt>
                <c:pt idx="46">
                  <c:v>10.247191489632659</c:v>
                </c:pt>
                <c:pt idx="47">
                  <c:v>10.34947654319263</c:v>
                </c:pt>
                <c:pt idx="48">
                  <c:v>10.450411265424512</c:v>
                </c:pt>
                <c:pt idx="49">
                  <c:v>10.550034966399791</c:v>
                </c:pt>
                <c:pt idx="50">
                  <c:v>10.648384990652584</c:v>
                </c:pt>
                <c:pt idx="51">
                  <c:v>10.745496853242209</c:v>
                </c:pt>
                <c:pt idx="52">
                  <c:v>10.841404363907706</c:v>
                </c:pt>
                <c:pt idx="53">
                  <c:v>10.936139740565487</c:v>
                </c:pt>
                <c:pt idx="54">
                  <c:v>11.029733713248639</c:v>
                </c:pt>
                <c:pt idx="55">
                  <c:v>11.122215619454757</c:v>
                </c:pt>
                <c:pt idx="56">
                  <c:v>11.21361349175602</c:v>
                </c:pt>
                <c:pt idx="57">
                  <c:v>11.30395413842623</c:v>
                </c:pt>
                <c:pt idx="58">
                  <c:v>11.393263217754244</c:v>
                </c:pt>
                <c:pt idx="59">
                  <c:v>11.481565306638682</c:v>
                </c:pt>
                <c:pt idx="60">
                  <c:v>11.568883963993244</c:v>
                </c:pt>
                <c:pt idx="61">
                  <c:v>11.655241789435538</c:v>
                </c:pt>
                <c:pt idx="62">
                  <c:v>11.740660477681672</c:v>
                </c:pt>
                <c:pt idx="63">
                  <c:v>11.825160869025163</c:v>
                </c:pt>
                <c:pt idx="64">
                  <c:v>11.908762996239808</c:v>
                </c:pt>
                <c:pt idx="65">
                  <c:v>11.991486128211676</c:v>
                </c:pt>
                <c:pt idx="66">
                  <c:v>12.073348810575434</c:v>
                </c:pt>
                <c:pt idx="67">
                  <c:v>12.154368903602817</c:v>
                </c:pt>
                <c:pt idx="68">
                  <c:v>12.23456361756744</c:v>
                </c:pt>
                <c:pt idx="69">
                  <c:v>12.313949545788804</c:v>
                </c:pt>
                <c:pt idx="70">
                  <c:v>12.392542695539042</c:v>
                </c:pt>
                <c:pt idx="71">
                  <c:v>12.470358516979612</c:v>
                </c:pt>
                <c:pt idx="72">
                  <c:v>12.547411930279262</c:v>
                </c:pt>
                <c:pt idx="73">
                  <c:v>12.623717351051363</c:v>
                </c:pt>
                <c:pt idx="74">
                  <c:v>12.699288714236571</c:v>
                </c:pt>
                <c:pt idx="75">
                  <c:v>12.774139496545308</c:v>
                </c:pt>
                <c:pt idx="76">
                  <c:v>12.848282737565295</c:v>
                </c:pt>
                <c:pt idx="77">
                  <c:v>12.921731059629943</c:v>
                </c:pt>
                <c:pt idx="78">
                  <c:v>12.994496686535559</c:v>
                </c:pt>
                <c:pt idx="79">
                  <c:v>13.066591461188084</c:v>
                </c:pt>
                <c:pt idx="80">
                  <c:v>13.138026862253227</c:v>
                </c:pt>
                <c:pt idx="81">
                  <c:v>13.208814019878307</c:v>
                </c:pt>
                <c:pt idx="82">
                  <c:v>13.278963730548206</c:v>
                </c:pt>
                <c:pt idx="83">
                  <c:v>13.34848647113323</c:v>
                </c:pt>
                <c:pt idx="84">
                  <c:v>13.417392412182076</c:v>
                </c:pt>
                <c:pt idx="85">
                  <c:v>13.485691430508986</c:v>
                </c:pt>
                <c:pt idx="86">
                  <c:v>13.553393121120397</c:v>
                </c:pt>
                <c:pt idx="87">
                  <c:v>13.620506808523167</c:v>
                </c:pt>
                <c:pt idx="88">
                  <c:v>13.68704155745313</c:v>
                </c:pt>
                <c:pt idx="89">
                  <c:v>13.753006183059982</c:v>
                </c:pt>
                <c:pt idx="90">
                  <c:v>13.81840926058188</c:v>
                </c:pt>
                <c:pt idx="91">
                  <c:v>13.883259134540692</c:v>
                </c:pt>
                <c:pt idx="92">
                  <c:v>13.947563927486771</c:v>
                </c:pt>
                <c:pt idx="93">
                  <c:v>14.011331548319868</c:v>
                </c:pt>
                <c:pt idx="94">
                  <c:v>14.074569700211191</c:v>
                </c:pt>
                <c:pt idx="95">
                  <c:v>14.137285888149753</c:v>
                </c:pt>
                <c:pt idx="96">
                  <c:v>14.199487426134553</c:v>
                </c:pt>
                <c:pt idx="97">
                  <c:v>14.261181444032838</c:v>
                </c:pt>
                <c:pt idx="98">
                  <c:v>14.322374894123207</c:v>
                </c:pt>
                <c:pt idx="99">
                  <c:v>14.383074557341132</c:v>
                </c:pt>
                <c:pt idx="100">
                  <c:v>14.443287049243219</c:v>
                </c:pt>
                <c:pt idx="101">
                  <c:v>14.50301882570578</c:v>
                </c:pt>
                <c:pt idx="102">
                  <c:v>14.56227618837187</c:v>
                </c:pt>
                <c:pt idx="103">
                  <c:v>14.621065289860391</c:v>
                </c:pt>
                <c:pt idx="104">
                  <c:v>14.67939213874979</c:v>
                </c:pt>
                <c:pt idx="105">
                  <c:v>14.737262604348309</c:v>
                </c:pt>
                <c:pt idx="106">
                  <c:v>14.794682421261706</c:v>
                </c:pt>
                <c:pt idx="107">
                  <c:v>14.85165719376908</c:v>
                </c:pt>
                <c:pt idx="108">
                  <c:v>14.908192400016443</c:v>
                </c:pt>
                <c:pt idx="109">
                  <c:v>14.964293396037371</c:v>
                </c:pt>
                <c:pt idx="110">
                  <c:v>15.01996541960923</c:v>
                </c:pt>
                <c:pt idx="111">
                  <c:v>15.075213593953377</c:v>
                </c:pt>
                <c:pt idx="112">
                  <c:v>15.130042931286789</c:v>
                </c:pt>
                <c:pt idx="113">
                  <c:v>15.184458336232474</c:v>
                </c:pt>
                <c:pt idx="114">
                  <c:v>15.238464609095482</c:v>
                </c:pt>
                <c:pt idx="115">
                  <c:v>15.292066449010967</c:v>
                </c:pt>
                <c:pt idx="116">
                  <c:v>15.345268456970242</c:v>
                </c:pt>
                <c:pt idx="117">
                  <c:v>15.398075138730789</c:v>
                </c:pt>
                <c:pt idx="118">
                  <c:v>15.450490907615453</c:v>
                </c:pt>
                <c:pt idx="119">
                  <c:v>15.502520087206072</c:v>
                </c:pt>
                <c:pt idx="120">
                  <c:v>15.554166913936239</c:v>
                </c:pt>
                <c:pt idx="121">
                  <c:v>15.605435539587969</c:v>
                </c:pt>
                <c:pt idx="122">
                  <c:v>15.656330033696463</c:v>
                </c:pt>
                <c:pt idx="123">
                  <c:v>15.706854385867146</c:v>
                </c:pt>
                <c:pt idx="124">
                  <c:v>15.757012508008835</c:v>
                </c:pt>
                <c:pt idx="125">
                  <c:v>15.806808236486809</c:v>
                </c:pt>
                <c:pt idx="126">
                  <c:v>15.856245334199107</c:v>
                </c:pt>
                <c:pt idx="127">
                  <c:v>15.905327492579616</c:v>
                </c:pt>
                <c:pt idx="128">
                  <c:v>15.954058333530893</c:v>
                </c:pt>
                <c:pt idx="129">
                  <c:v>16.00244141128983</c:v>
                </c:pt>
                <c:pt idx="130">
                  <c:v>16.050480214228923</c:v>
                </c:pt>
                <c:pt idx="131">
                  <c:v>16.09817816659595</c:v>
                </c:pt>
                <c:pt idx="132">
                  <c:v>16.145538630194526</c:v>
                </c:pt>
                <c:pt idx="133">
                  <c:v>16.192564906008045</c:v>
                </c:pt>
                <c:pt idx="134">
                  <c:v>16.239260235769258</c:v>
                </c:pt>
                <c:pt idx="135">
                  <c:v>16.285627803477826</c:v>
                </c:pt>
                <c:pt idx="136">
                  <c:v>16.331670736867803</c:v>
                </c:pt>
                <c:pt idx="137">
                  <c:v>16.377392108827156</c:v>
                </c:pt>
                <c:pt idx="138">
                  <c:v>16.422794938771201</c:v>
                </c:pt>
                <c:pt idx="139">
                  <c:v>16.467882193971775</c:v>
                </c:pt>
                <c:pt idx="140">
                  <c:v>16.512656790843906</c:v>
                </c:pt>
                <c:pt idx="141">
                  <c:v>16.557121596191585</c:v>
                </c:pt>
                <c:pt idx="142">
                  <c:v>16.601279428414284</c:v>
                </c:pt>
                <c:pt idx="143">
                  <c:v>16.645133058675643</c:v>
                </c:pt>
                <c:pt idx="144">
                  <c:v>16.688685212035917</c:v>
                </c:pt>
                <c:pt idx="145">
                  <c:v>16.731938568549385</c:v>
                </c:pt>
                <c:pt idx="146">
                  <c:v>16.774895764328125</c:v>
                </c:pt>
                <c:pt idx="147">
                  <c:v>16.81755939257344</c:v>
                </c:pt>
                <c:pt idx="148">
                  <c:v>16.859932004576059</c:v>
                </c:pt>
                <c:pt idx="149">
                  <c:v>16.902016110686354</c:v>
                </c:pt>
                <c:pt idx="150">
                  <c:v>16.943814181255529</c:v>
                </c:pt>
                <c:pt idx="151">
                  <c:v>16.985328647549029</c:v>
                </c:pt>
                <c:pt idx="152">
                  <c:v>17.026561902632995</c:v>
                </c:pt>
                <c:pt idx="153">
                  <c:v>17.067516302234857</c:v>
                </c:pt>
                <c:pt idx="154">
                  <c:v>17.108194165578883</c:v>
                </c:pt>
                <c:pt idx="155">
                  <c:v>17.148597776197686</c:v>
                </c:pt>
                <c:pt idx="156">
                  <c:v>17.188729382720407</c:v>
                </c:pt>
                <c:pt idx="157">
                  <c:v>17.228591199638515</c:v>
                </c:pt>
                <c:pt idx="158">
                  <c:v>17.268185408049884</c:v>
                </c:pt>
                <c:pt idx="159">
                  <c:v>17.307514156382027</c:v>
                </c:pt>
                <c:pt idx="160">
                  <c:v>17.34657956109503</c:v>
                </c:pt>
                <c:pt idx="161">
                  <c:v>17.385383707365062</c:v>
                </c:pt>
                <c:pt idx="162">
                  <c:v>17.423928649748991</c:v>
                </c:pt>
                <c:pt idx="163">
                  <c:v>17.462216412830795</c:v>
                </c:pt>
                <c:pt idx="164">
                  <c:v>17.500248991850341</c:v>
                </c:pt>
                <c:pt idx="165">
                  <c:v>17.538028353315188</c:v>
                </c:pt>
                <c:pt idx="166">
                  <c:v>17.575556435595885</c:v>
                </c:pt>
                <c:pt idx="167">
                  <c:v>17.612835149505361</c:v>
                </c:pt>
                <c:pt idx="168">
                  <c:v>17.649866378862939</c:v>
                </c:pt>
                <c:pt idx="169">
                  <c:v>17.68665198104339</c:v>
                </c:pt>
                <c:pt idx="170">
                  <c:v>17.723193787511658</c:v>
                </c:pt>
                <c:pt idx="171">
                  <c:v>17.759493604343518</c:v>
                </c:pt>
                <c:pt idx="172">
                  <c:v>17.795553212732813</c:v>
                </c:pt>
                <c:pt idx="173">
                  <c:v>17.831374369485545</c:v>
                </c:pt>
                <c:pt idx="174">
                  <c:v>17.866958807501323</c:v>
                </c:pt>
                <c:pt idx="175">
                  <c:v>17.90230823624254</c:v>
                </c:pt>
                <c:pt idx="176">
                  <c:v>17.937424342191608</c:v>
                </c:pt>
                <c:pt idx="177">
                  <c:v>17.972308789296719</c:v>
                </c:pt>
                <c:pt idx="178">
                  <c:v>18.006963219406419</c:v>
                </c:pt>
                <c:pt idx="179">
                  <c:v>18.041389252693349</c:v>
                </c:pt>
                <c:pt idx="180">
                  <c:v>18.075588488067471</c:v>
                </c:pt>
                <c:pt idx="181">
                  <c:v>18.109562503579131</c:v>
                </c:pt>
                <c:pt idx="182">
                  <c:v>18.143312856812244</c:v>
                </c:pt>
                <c:pt idx="183">
                  <c:v>18.176841085267895</c:v>
                </c:pt>
                <c:pt idx="184">
                  <c:v>18.210148706738646</c:v>
                </c:pt>
                <c:pt idx="185">
                  <c:v>18.243237219673816</c:v>
                </c:pt>
                <c:pt idx="186">
                  <c:v>18.276108103536007</c:v>
                </c:pt>
                <c:pt idx="187">
                  <c:v>18.308762819149152</c:v>
                </c:pt>
                <c:pt idx="188">
                  <c:v>18.341202809038275</c:v>
                </c:pt>
                <c:pt idx="189">
                  <c:v>18.373429497761286</c:v>
                </c:pt>
                <c:pt idx="190">
                  <c:v>18.40544429223295</c:v>
                </c:pt>
                <c:pt idx="191">
                  <c:v>18.437248582041313</c:v>
                </c:pt>
                <c:pt idx="192">
                  <c:v>18.468843739756796</c:v>
                </c:pt>
                <c:pt idx="193">
                  <c:v>18.500231121234165</c:v>
                </c:pt>
                <c:pt idx="194">
                  <c:v>18.531412065907521</c:v>
                </c:pt>
                <c:pt idx="195">
                  <c:v>18.562387897078587</c:v>
                </c:pt>
                <c:pt idx="196">
                  <c:v>18.593159922198463</c:v>
                </c:pt>
                <c:pt idx="197">
                  <c:v>18.623729433142952</c:v>
                </c:pt>
                <c:pt idx="198">
                  <c:v>18.654097706481739</c:v>
                </c:pt>
                <c:pt idx="199">
                  <c:v>18.684266003741563</c:v>
                </c:pt>
                <c:pt idx="200">
                  <c:v>18.714235571663469</c:v>
                </c:pt>
                <c:pt idx="201">
                  <c:v>18.744007642454413</c:v>
                </c:pt>
                <c:pt idx="202">
                  <c:v>18.773583434033309</c:v>
                </c:pt>
                <c:pt idx="203">
                  <c:v>18.802964150271677</c:v>
                </c:pt>
                <c:pt idx="204">
                  <c:v>18.832150981229042</c:v>
                </c:pt>
                <c:pt idx="205">
                  <c:v>18.86114510338324</c:v>
                </c:pt>
                <c:pt idx="206">
                  <c:v>18.889947679855702</c:v>
                </c:pt>
                <c:pt idx="207">
                  <c:v>18.918559860631959</c:v>
                </c:pt>
                <c:pt idx="208">
                  <c:v>18.946982782777379</c:v>
                </c:pt>
                <c:pt idx="209">
                  <c:v>18.975217570648354</c:v>
                </c:pt>
                <c:pt idx="210">
                  <c:v>19.003265336098959</c:v>
                </c:pt>
                <c:pt idx="211">
                  <c:v>19.03112717868332</c:v>
                </c:pt>
                <c:pt idx="212">
                  <c:v>19.058804185853681</c:v>
                </c:pt>
                <c:pt idx="213">
                  <c:v>19.086297433154378</c:v>
                </c:pt>
                <c:pt idx="214">
                  <c:v>19.113607984411743</c:v>
                </c:pt>
                <c:pt idx="215">
                  <c:v>19.140736891920117</c:v>
                </c:pt>
                <c:pt idx="216">
                  <c:v>19.167685196624021</c:v>
                </c:pt>
                <c:pt idx="217">
                  <c:v>19.194453928296568</c:v>
                </c:pt>
                <c:pt idx="218">
                  <c:v>19.221044105714288</c:v>
                </c:pt>
                <c:pt idx="219">
                  <c:v>19.247456736828379</c:v>
                </c:pt>
                <c:pt idx="220">
                  <c:v>19.273692818932471</c:v>
                </c:pt>
                <c:pt idx="221">
                  <c:v>19.29975333882706</c:v>
                </c:pt>
                <c:pt idx="222">
                  <c:v>19.325639272980649</c:v>
                </c:pt>
                <c:pt idx="223">
                  <c:v>19.351351587687635</c:v>
                </c:pt>
                <c:pt idx="224">
                  <c:v>19.376891239223113</c:v>
                </c:pt>
                <c:pt idx="225">
                  <c:v>19.402259173994587</c:v>
                </c:pt>
                <c:pt idx="226">
                  <c:v>19.427456328690738</c:v>
                </c:pt>
                <c:pt idx="227">
                  <c:v>19.452483630427238</c:v>
                </c:pt>
                <c:pt idx="228">
                  <c:v>19.477341996889749</c:v>
                </c:pt>
                <c:pt idx="229">
                  <c:v>19.502032336474148</c:v>
                </c:pt>
                <c:pt idx="230">
                  <c:v>19.526555548424032</c:v>
                </c:pt>
                <c:pt idx="231">
                  <c:v>19.5509125229656</c:v>
                </c:pt>
                <c:pt idx="232">
                  <c:v>19.57510414143994</c:v>
                </c:pt>
                <c:pt idx="233">
                  <c:v>19.599131276432779</c:v>
                </c:pt>
                <c:pt idx="234">
                  <c:v>19.622994791901814</c:v>
                </c:pt>
                <c:pt idx="235">
                  <c:v>19.646695543301593</c:v>
                </c:pt>
                <c:pt idx="236">
                  <c:v>19.670234377706102</c:v>
                </c:pt>
                <c:pt idx="237">
                  <c:v>19.693612133928973</c:v>
                </c:pt>
                <c:pt idx="238">
                  <c:v>19.716829642641528</c:v>
                </c:pt>
                <c:pt idx="239">
                  <c:v>19.739887726488622</c:v>
                </c:pt>
                <c:pt idx="240">
                  <c:v>19.762787200202279</c:v>
                </c:pt>
                <c:pt idx="241">
                  <c:v>19.785528870713325</c:v>
                </c:pt>
                <c:pt idx="242">
                  <c:v>19.808113537260898</c:v>
                </c:pt>
                <c:pt idx="243">
                  <c:v>19.830541991500034</c:v>
                </c:pt>
                <c:pt idx="244">
                  <c:v>19.852815017607217</c:v>
                </c:pt>
                <c:pt idx="245">
                  <c:v>19.874933392384065</c:v>
                </c:pt>
                <c:pt idx="246">
                  <c:v>19.896897885359166</c:v>
                </c:pt>
                <c:pt idx="247">
                  <c:v>19.918709258888033</c:v>
                </c:pt>
                <c:pt idx="248">
                  <c:v>19.940368268251287</c:v>
                </c:pt>
                <c:pt idx="249">
                  <c:v>19.96187566175114</c:v>
                </c:pt>
                <c:pt idx="250">
                  <c:v>19.983232180806102</c:v>
                </c:pt>
                <c:pt idx="251">
                  <c:v>20.004438560044051</c:v>
                </c:pt>
                <c:pt idx="252">
                  <c:v>20.025495527393637</c:v>
                </c:pt>
                <c:pt idx="253">
                  <c:v>20.046403804174147</c:v>
                </c:pt>
                <c:pt idx="254">
                  <c:v>20.067164105183725</c:v>
                </c:pt>
                <c:pt idx="255">
                  <c:v>20.087777138786088</c:v>
                </c:pt>
                <c:pt idx="256">
                  <c:v>20.108243606995782</c:v>
                </c:pt>
                <c:pt idx="257">
                  <c:v>20.128564205561908</c:v>
                </c:pt>
                <c:pt idx="258">
                  <c:v>20.148739624050425</c:v>
                </c:pt>
                <c:pt idx="259">
                  <c:v>20.168770545925074</c:v>
                </c:pt>
                <c:pt idx="260">
                  <c:v>20.188657648626901</c:v>
                </c:pt>
                <c:pt idx="261">
                  <c:v>20.208401603652426</c:v>
                </c:pt>
                <c:pt idx="262">
                  <c:v>20.22800307663049</c:v>
                </c:pt>
                <c:pt idx="263">
                  <c:v>20.247462727397831</c:v>
                </c:pt>
                <c:pt idx="264">
                  <c:v>20.266781210073365</c:v>
                </c:pt>
                <c:pt idx="265">
                  <c:v>20.28595917313125</c:v>
                </c:pt>
                <c:pt idx="266">
                  <c:v>20.304997259472692</c:v>
                </c:pt>
                <c:pt idx="267">
                  <c:v>20.323896106496626</c:v>
                </c:pt>
                <c:pt idx="268">
                  <c:v>20.342656346169161</c:v>
                </c:pt>
                <c:pt idx="269">
                  <c:v>20.361278605091918</c:v>
                </c:pt>
                <c:pt idx="270">
                  <c:v>20.379763504569269</c:v>
                </c:pt>
                <c:pt idx="271">
                  <c:v>20.398111660674402</c:v>
                </c:pt>
                <c:pt idx="272">
                  <c:v>20.416323684314413</c:v>
                </c:pt>
                <c:pt idx="273">
                  <c:v>20.434400181294244</c:v>
                </c:pt>
                <c:pt idx="274">
                  <c:v>20.452341752379663</c:v>
                </c:pt>
                <c:pt idx="275">
                  <c:v>20.470148993359185</c:v>
                </c:pt>
                <c:pt idx="276">
                  <c:v>20.487822495105032</c:v>
                </c:pt>
                <c:pt idx="277">
                  <c:v>20.505362843633076</c:v>
                </c:pt>
                <c:pt idx="278">
                  <c:v>20.522770620161893</c:v>
                </c:pt>
                <c:pt idx="279">
                  <c:v>20.540046401170809</c:v>
                </c:pt>
                <c:pt idx="280">
                  <c:v>20.557190758457079</c:v>
                </c:pt>
                <c:pt idx="281">
                  <c:v>20.574204259192154</c:v>
                </c:pt>
                <c:pt idx="282">
                  <c:v>20.591087465977036</c:v>
                </c:pt>
                <c:pt idx="283">
                  <c:v>20.607840936896832</c:v>
                </c:pt>
                <c:pt idx="284">
                  <c:v>20.624465225574383</c:v>
                </c:pt>
                <c:pt idx="285">
                  <c:v>20.640960881223108</c:v>
                </c:pt>
                <c:pt idx="286">
                  <c:v>20.657328448699047</c:v>
                </c:pt>
                <c:pt idx="287">
                  <c:v>20.673568468552023</c:v>
                </c:pt>
                <c:pt idx="288">
                  <c:v>20.689681477076117</c:v>
                </c:pt>
                <c:pt idx="289">
                  <c:v>20.705668006359303</c:v>
                </c:pt>
                <c:pt idx="290">
                  <c:v>20.72152858433234</c:v>
                </c:pt>
                <c:pt idx="291">
                  <c:v>20.737263734816953</c:v>
                </c:pt>
                <c:pt idx="292">
                  <c:v>20.752873977573238</c:v>
                </c:pt>
                <c:pt idx="293">
                  <c:v>20.768359828346394</c:v>
                </c:pt>
                <c:pt idx="294">
                  <c:v>20.783721798912705</c:v>
                </c:pt>
                <c:pt idx="295">
                  <c:v>20.798960397124887</c:v>
                </c:pt>
                <c:pt idx="296">
                  <c:v>20.814076126956731</c:v>
                </c:pt>
                <c:pt idx="297">
                  <c:v>20.829069488547049</c:v>
                </c:pt>
                <c:pt idx="298">
                  <c:v>20.843940978243054</c:v>
                </c:pt>
                <c:pt idx="299">
                  <c:v>20.858691088642995</c:v>
                </c:pt>
                <c:pt idx="300">
                  <c:v>20.873320308638259</c:v>
                </c:pt>
                <c:pt idx="301">
                  <c:v>20.887829123454779</c:v>
                </c:pt>
                <c:pt idx="302">
                  <c:v>20.902218014693879</c:v>
                </c:pt>
                <c:pt idx="303">
                  <c:v>20.916487460372526</c:v>
                </c:pt>
                <c:pt idx="304">
                  <c:v>20.930637934962967</c:v>
                </c:pt>
                <c:pt idx="305">
                  <c:v>20.944669909431827</c:v>
                </c:pt>
                <c:pt idx="306">
                  <c:v>20.958583851278604</c:v>
                </c:pt>
                <c:pt idx="307">
                  <c:v>20.972380224573651</c:v>
                </c:pt>
                <c:pt idx="308">
                  <c:v>20.986059489995583</c:v>
                </c:pt>
                <c:pt idx="309">
                  <c:v>20.999622104868152</c:v>
                </c:pt>
                <c:pt idx="310">
                  <c:v>21.013068523196626</c:v>
                </c:pt>
                <c:pt idx="311">
                  <c:v>21.026399195703618</c:v>
                </c:pt>
                <c:pt idx="312">
                  <c:v>21.039614569864419</c:v>
                </c:pt>
                <c:pt idx="313">
                  <c:v>21.052715089941838</c:v>
                </c:pt>
                <c:pt idx="314">
                  <c:v>21.06570119702053</c:v>
                </c:pt>
                <c:pt idx="315">
                  <c:v>21.078573329040896</c:v>
                </c:pt>
                <c:pt idx="316">
                  <c:v>21.091331920832449</c:v>
                </c:pt>
                <c:pt idx="317">
                  <c:v>21.10397740414674</c:v>
                </c:pt>
                <c:pt idx="318">
                  <c:v>21.116510207689831</c:v>
                </c:pt>
                <c:pt idx="319">
                  <c:v>21.128930757154333</c:v>
                </c:pt>
                <c:pt idx="320">
                  <c:v>21.141239475250948</c:v>
                </c:pt>
                <c:pt idx="321">
                  <c:v>21.153436781739643</c:v>
                </c:pt>
                <c:pt idx="322">
                  <c:v>21.165523093460362</c:v>
                </c:pt>
                <c:pt idx="323">
                  <c:v>21.177498824363308</c:v>
                </c:pt>
                <c:pt idx="324">
                  <c:v>21.189364385538852</c:v>
                </c:pt>
                <c:pt idx="325">
                  <c:v>21.201120185246989</c:v>
                </c:pt>
                <c:pt idx="326">
                  <c:v>21.212766628946429</c:v>
                </c:pt>
                <c:pt idx="327">
                  <c:v>21.224304119323296</c:v>
                </c:pt>
                <c:pt idx="328">
                  <c:v>21.235733056319408</c:v>
                </c:pt>
                <c:pt idx="329">
                  <c:v>21.247053837160209</c:v>
                </c:pt>
                <c:pt idx="330">
                  <c:v>21.25826685638232</c:v>
                </c:pt>
                <c:pt idx="331">
                  <c:v>21.26937250586073</c:v>
                </c:pt>
                <c:pt idx="332">
                  <c:v>21.280371174835587</c:v>
                </c:pt>
                <c:pt idx="333">
                  <c:v>21.291263249938694</c:v>
                </c:pt>
                <c:pt idx="334">
                  <c:v>21.302049115219621</c:v>
                </c:pt>
                <c:pt idx="335">
                  <c:v>21.31272915217145</c:v>
                </c:pt>
                <c:pt idx="336">
                  <c:v>21.323303739756238</c:v>
                </c:pt>
                <c:pt idx="337">
                  <c:v>21.333773254430113</c:v>
                </c:pt>
                <c:pt idx="338">
                  <c:v>21.344138070168032</c:v>
                </c:pt>
                <c:pt idx="339">
                  <c:v>21.354398558488246</c:v>
                </c:pt>
                <c:pt idx="340">
                  <c:v>21.364555088476433</c:v>
                </c:pt>
                <c:pt idx="341">
                  <c:v>21.374608026809504</c:v>
                </c:pt>
                <c:pt idx="342">
                  <c:v>21.384557737779147</c:v>
                </c:pt>
                <c:pt idx="343">
                  <c:v>21.394404583315008</c:v>
                </c:pt>
                <c:pt idx="344">
                  <c:v>21.404148923007629</c:v>
                </c:pt>
                <c:pt idx="345">
                  <c:v>21.413791114131048</c:v>
                </c:pt>
                <c:pt idx="346">
                  <c:v>21.423331511665154</c:v>
                </c:pt>
                <c:pt idx="347">
                  <c:v>21.432770468317724</c:v>
                </c:pt>
                <c:pt idx="348">
                  <c:v>21.442108334546194</c:v>
                </c:pt>
                <c:pt idx="349">
                  <c:v>21.451345458579166</c:v>
                </c:pt>
                <c:pt idx="350">
                  <c:v>21.460482186437609</c:v>
                </c:pt>
                <c:pt idx="351">
                  <c:v>21.469518861955841</c:v>
                </c:pt>
                <c:pt idx="352">
                  <c:v>21.478455826802211</c:v>
                </c:pt>
                <c:pt idx="353">
                  <c:v>21.487293420499537</c:v>
                </c:pt>
                <c:pt idx="354">
                  <c:v>21.496031980445292</c:v>
                </c:pt>
                <c:pt idx="355">
                  <c:v>21.504671841931533</c:v>
                </c:pt>
                <c:pt idx="356">
                  <c:v>21.51321333816459</c:v>
                </c:pt>
                <c:pt idx="357">
                  <c:v>21.5216568002845</c:v>
                </c:pt>
                <c:pt idx="358">
                  <c:v>21.530002557384215</c:v>
                </c:pt>
                <c:pt idx="359">
                  <c:v>21.538250936528577</c:v>
                </c:pt>
                <c:pt idx="360">
                  <c:v>21.546402262773032</c:v>
                </c:pt>
                <c:pt idx="361">
                  <c:v>21.554456859182149</c:v>
                </c:pt>
                <c:pt idx="362">
                  <c:v>21.562415046847896</c:v>
                </c:pt>
                <c:pt idx="363">
                  <c:v>21.570277144907706</c:v>
                </c:pt>
                <c:pt idx="364">
                  <c:v>21.57804347056231</c:v>
                </c:pt>
                <c:pt idx="365">
                  <c:v>21.585714339093354</c:v>
                </c:pt>
                <c:pt idx="366">
                  <c:v>21.593290063880829</c:v>
                </c:pt>
                <c:pt idx="367">
                  <c:v>21.600770956420259</c:v>
                </c:pt>
                <c:pt idx="368">
                  <c:v>21.608157326339704</c:v>
                </c:pt>
                <c:pt idx="369">
                  <c:v>21.615449481416544</c:v>
                </c:pt>
                <c:pt idx="370">
                  <c:v>21.622647727594096</c:v>
                </c:pt>
                <c:pt idx="371">
                  <c:v>21.629752368997973</c:v>
                </c:pt>
                <c:pt idx="372">
                  <c:v>21.636763707952337</c:v>
                </c:pt>
                <c:pt idx="373">
                  <c:v>21.643682044995849</c:v>
                </c:pt>
                <c:pt idx="374">
                  <c:v>21.650507678897547</c:v>
                </c:pt>
                <c:pt idx="375">
                  <c:v>21.657240906672445</c:v>
                </c:pt>
                <c:pt idx="376">
                  <c:v>21.663882023597004</c:v>
                </c:pt>
                <c:pt idx="377">
                  <c:v>21.670431323224395</c:v>
                </c:pt>
                <c:pt idx="378">
                  <c:v>21.676889097399595</c:v>
                </c:pt>
                <c:pt idx="379">
                  <c:v>21.683255636274314</c:v>
                </c:pt>
                <c:pt idx="380">
                  <c:v>21.689531228321727</c:v>
                </c:pt>
                <c:pt idx="381">
                  <c:v>21.695716160351058</c:v>
                </c:pt>
                <c:pt idx="382">
                  <c:v>21.701810717521976</c:v>
                </c:pt>
                <c:pt idx="383">
                  <c:v>21.70781518335885</c:v>
                </c:pt>
                <c:pt idx="384">
                  <c:v>21.71372983976481</c:v>
                </c:pt>
                <c:pt idx="385">
                  <c:v>21.719554967035684</c:v>
                </c:pt>
                <c:pt idx="386">
                  <c:v>21.725290843873733</c:v>
                </c:pt>
                <c:pt idx="387">
                  <c:v>21.730937747401271</c:v>
                </c:pt>
                <c:pt idx="388">
                  <c:v>21.736495953174085</c:v>
                </c:pt>
                <c:pt idx="389">
                  <c:v>21.741965735194761</c:v>
                </c:pt>
                <c:pt idx="390">
                  <c:v>21.747347365925798</c:v>
                </c:pt>
                <c:pt idx="391">
                  <c:v>21.75264111630262</c:v>
                </c:pt>
                <c:pt idx="392">
                  <c:v>21.75784725574642</c:v>
                </c:pt>
                <c:pt idx="393">
                  <c:v>21.762966052176864</c:v>
                </c:pt>
                <c:pt idx="394">
                  <c:v>21.767997772024646</c:v>
                </c:pt>
                <c:pt idx="395">
                  <c:v>21.77294268024394</c:v>
                </c:pt>
                <c:pt idx="396">
                  <c:v>21.777801040324626</c:v>
                </c:pt>
                <c:pt idx="397">
                  <c:v>21.782573114304505</c:v>
                </c:pt>
                <c:pt idx="398">
                  <c:v>21.787259162781258</c:v>
                </c:pt>
                <c:pt idx="399">
                  <c:v>21.791859444924356</c:v>
                </c:pt>
                <c:pt idx="400">
                  <c:v>21.7963742184868</c:v>
                </c:pt>
                <c:pt idx="401">
                  <c:v>21.800803739816736</c:v>
                </c:pt>
                <c:pt idx="402">
                  <c:v>21.805148263868958</c:v>
                </c:pt>
                <c:pt idx="403">
                  <c:v>21.809408044216255</c:v>
                </c:pt>
                <c:pt idx="404">
                  <c:v>21.813583333060677</c:v>
                </c:pt>
                <c:pt idx="405">
                  <c:v>21.81767438124464</c:v>
                </c:pt>
                <c:pt idx="406">
                  <c:v>21.821681438261926</c:v>
                </c:pt>
                <c:pt idx="407">
                  <c:v>21.825604752268564</c:v>
                </c:pt>
                <c:pt idx="408">
                  <c:v>21.8294445700936</c:v>
                </c:pt>
                <c:pt idx="409">
                  <c:v>21.83320113724972</c:v>
                </c:pt>
                <c:pt idx="410">
                  <c:v>21.836874697943813</c:v>
                </c:pt>
                <c:pt idx="411">
                  <c:v>21.840465495087358</c:v>
                </c:pt>
                <c:pt idx="412">
                  <c:v>21.843973770306757</c:v>
                </c:pt>
                <c:pt idx="413">
                  <c:v>21.847399763953508</c:v>
                </c:pt>
                <c:pt idx="414">
                  <c:v>21.850743715114312</c:v>
                </c:pt>
                <c:pt idx="415">
                  <c:v>21.85400586162104</c:v>
                </c:pt>
                <c:pt idx="416">
                  <c:v>21.857186440060609</c:v>
                </c:pt>
                <c:pt idx="417">
                  <c:v>21.860285685784756</c:v>
                </c:pt>
                <c:pt idx="418">
                  <c:v>21.863303832919705</c:v>
                </c:pt>
                <c:pt idx="419">
                  <c:v>21.866241114375732</c:v>
                </c:pt>
                <c:pt idx="420">
                  <c:v>21.869097761856619</c:v>
                </c:pt>
                <c:pt idx="421">
                  <c:v>21.871874005869021</c:v>
                </c:pt>
                <c:pt idx="422">
                  <c:v>21.874570075731757</c:v>
                </c:pt>
                <c:pt idx="423">
                  <c:v>21.877186199584937</c:v>
                </c:pt>
                <c:pt idx="424">
                  <c:v>21.87972260439907</c:v>
                </c:pt>
                <c:pt idx="425">
                  <c:v>21.882179515984038</c:v>
                </c:pt>
                <c:pt idx="426">
                  <c:v>21.884557158997968</c:v>
                </c:pt>
                <c:pt idx="427">
                  <c:v>21.886855756956034</c:v>
                </c:pt>
                <c:pt idx="428">
                  <c:v>21.889075532239175</c:v>
                </c:pt>
                <c:pt idx="429">
                  <c:v>21.891216706102686</c:v>
                </c:pt>
                <c:pt idx="430">
                  <c:v>21.893279498684748</c:v>
                </c:pt>
                <c:pt idx="431">
                  <c:v>21.895264129014897</c:v>
                </c:pt>
                <c:pt idx="432">
                  <c:v>21.897170815022321</c:v>
                </c:pt>
                <c:pt idx="433">
                  <c:v>21.898999773544173</c:v>
                </c:pt>
                <c:pt idx="434">
                  <c:v>21.900751220333735</c:v>
                </c:pt>
                <c:pt idx="435">
                  <c:v>21.902425370068507</c:v>
                </c:pt>
                <c:pt idx="436">
                  <c:v>21.904022436358243</c:v>
                </c:pt>
                <c:pt idx="437">
                  <c:v>21.905542631752873</c:v>
                </c:pt>
                <c:pt idx="438">
                  <c:v>21.906986167750365</c:v>
                </c:pt>
                <c:pt idx="439">
                  <c:v>21.908353254804485</c:v>
                </c:pt>
                <c:pt idx="440">
                  <c:v>21.909644102332528</c:v>
                </c:pt>
                <c:pt idx="441">
                  <c:v>21.910858918722898</c:v>
                </c:pt>
                <c:pt idx="442">
                  <c:v>21.911997911342681</c:v>
                </c:pt>
                <c:pt idx="443">
                  <c:v>21.913061286545098</c:v>
                </c:pt>
                <c:pt idx="444">
                  <c:v>21.914049249676911</c:v>
                </c:pt>
                <c:pt idx="445">
                  <c:v>21.914962005085723</c:v>
                </c:pt>
                <c:pt idx="446">
                  <c:v>21.915799756127253</c:v>
                </c:pt>
                <c:pt idx="447">
                  <c:v>21.916562705172488</c:v>
                </c:pt>
                <c:pt idx="448">
                  <c:v>21.917251053614798</c:v>
                </c:pt>
                <c:pt idx="449">
                  <c:v>21.917865001876965</c:v>
                </c:pt>
                <c:pt idx="450">
                  <c:v>21.918404749418166</c:v>
                </c:pt>
                <c:pt idx="451">
                  <c:v>21.918870494740826</c:v>
                </c:pt>
                <c:pt idx="452">
                  <c:v>21.919262435397499</c:v>
                </c:pt>
                <c:pt idx="453">
                  <c:v>21.919580767997598</c:v>
                </c:pt>
                <c:pt idx="454">
                  <c:v>21.919825688214093</c:v>
                </c:pt>
                <c:pt idx="455">
                  <c:v>21.919997390790154</c:v>
                </c:pt>
                <c:pt idx="456">
                  <c:v>21.920096069545707</c:v>
                </c:pt>
                <c:pt idx="457">
                  <c:v>21.920121917383931</c:v>
                </c:pt>
                <c:pt idx="458">
                  <c:v>21.9200751262977</c:v>
                </c:pt>
                <c:pt idx="459">
                  <c:v>21.91995588737597</c:v>
                </c:pt>
                <c:pt idx="460">
                  <c:v>21.919764390810091</c:v>
                </c:pt>
                <c:pt idx="461">
                  <c:v>21.919500825900034</c:v>
                </c:pt>
                <c:pt idx="462">
                  <c:v>21.919165381060619</c:v>
                </c:pt>
                <c:pt idx="463">
                  <c:v>21.918758243827639</c:v>
                </c:pt>
                <c:pt idx="464">
                  <c:v>21.918279600863915</c:v>
                </c:pt>
                <c:pt idx="465">
                  <c:v>21.917729637965341</c:v>
                </c:pt>
                <c:pt idx="466">
                  <c:v>21.91710854006682</c:v>
                </c:pt>
                <c:pt idx="467">
                  <c:v>21.916416491248189</c:v>
                </c:pt>
                <c:pt idx="468">
                  <c:v>21.915653674740046</c:v>
                </c:pt>
                <c:pt idx="469">
                  <c:v>21.914820272929546</c:v>
                </c:pt>
                <c:pt idx="470">
                  <c:v>21.913916467366143</c:v>
                </c:pt>
                <c:pt idx="471">
                  <c:v>21.912942438767256</c:v>
                </c:pt>
                <c:pt idx="472">
                  <c:v>21.91189836702392</c:v>
                </c:pt>
                <c:pt idx="473">
                  <c:v>21.910784431206341</c:v>
                </c:pt>
                <c:pt idx="474">
                  <c:v>21.909600809569415</c:v>
                </c:pt>
                <c:pt idx="475">
                  <c:v>21.908347679558222</c:v>
                </c:pt>
                <c:pt idx="476">
                  <c:v>21.90702521781342</c:v>
                </c:pt>
                <c:pt idx="477">
                  <c:v>21.905633600176621</c:v>
                </c:pt>
                <c:pt idx="478">
                  <c:v>21.904173001695721</c:v>
                </c:pt>
                <c:pt idx="479">
                  <c:v>21.902643596630142</c:v>
                </c:pt>
                <c:pt idx="480">
                  <c:v>21.901045558456076</c:v>
                </c:pt>
                <c:pt idx="481">
                  <c:v>21.899379059871642</c:v>
                </c:pt>
                <c:pt idx="482">
                  <c:v>21.897644272802005</c:v>
                </c:pt>
                <c:pt idx="483">
                  <c:v>21.895841368404461</c:v>
                </c:pt>
                <c:pt idx="484">
                  <c:v>21.893970517073463</c:v>
                </c:pt>
                <c:pt idx="485">
                  <c:v>21.89203188844559</c:v>
                </c:pt>
                <c:pt idx="486">
                  <c:v>21.8900256514045</c:v>
                </c:pt>
                <c:pt idx="487">
                  <c:v>21.887951974085805</c:v>
                </c:pt>
                <c:pt idx="488">
                  <c:v>21.885811023881928</c:v>
                </c:pt>
                <c:pt idx="489">
                  <c:v>21.883602967446887</c:v>
                </c:pt>
                <c:pt idx="490">
                  <c:v>21.881327970701069</c:v>
                </c:pt>
                <c:pt idx="491">
                  <c:v>21.878986198835936</c:v>
                </c:pt>
                <c:pt idx="492">
                  <c:v>21.876577816318672</c:v>
                </c:pt>
                <c:pt idx="493">
                  <c:v>21.874102986896869</c:v>
                </c:pt>
                <c:pt idx="494">
                  <c:v>21.871561873603039</c:v>
                </c:pt>
                <c:pt idx="495">
                  <c:v>21.868954638759202</c:v>
                </c:pt>
                <c:pt idx="496">
                  <c:v>21.866281443981386</c:v>
                </c:pt>
                <c:pt idx="497">
                  <c:v>21.863542450184063</c:v>
                </c:pt>
                <c:pt idx="498">
                  <c:v>21.860737817584599</c:v>
                </c:pt>
                <c:pt idx="499">
                  <c:v>21.857867705707612</c:v>
                </c:pt>
                <c:pt idx="500">
                  <c:v>21.854932273389323</c:v>
                </c:pt>
                <c:pt idx="501">
                  <c:v>21.851931678781863</c:v>
                </c:pt>
                <c:pt idx="502">
                  <c:v>21.848866079357521</c:v>
                </c:pt>
                <c:pt idx="503">
                  <c:v>21.845735631912984</c:v>
                </c:pt>
                <c:pt idx="504">
                  <c:v>21.842540492573502</c:v>
                </c:pt>
                <c:pt idx="505">
                  <c:v>21.839280816797068</c:v>
                </c:pt>
                <c:pt idx="506">
                  <c:v>21.835956759378508</c:v>
                </c:pt>
                <c:pt idx="507">
                  <c:v>21.832568474453556</c:v>
                </c:pt>
                <c:pt idx="508">
                  <c:v>21.829116115502906</c:v>
                </c:pt>
                <c:pt idx="509">
                  <c:v>21.825599835356197</c:v>
                </c:pt>
                <c:pt idx="510">
                  <c:v>21.822019786196005</c:v>
                </c:pt>
                <c:pt idx="511">
                  <c:v>21.818376119561751</c:v>
                </c:pt>
                <c:pt idx="512">
                  <c:v>21.814668986353603</c:v>
                </c:pt>
                <c:pt idx="513">
                  <c:v>21.810898536836348</c:v>
                </c:pt>
                <c:pt idx="514">
                  <c:v>21.807064920643214</c:v>
                </c:pt>
                <c:pt idx="515">
                  <c:v>21.803168286779663</c:v>
                </c:pt>
                <c:pt idx="516">
                  <c:v>21.799208783627154</c:v>
                </c:pt>
                <c:pt idx="517">
                  <c:v>21.795186558946867</c:v>
                </c:pt>
                <c:pt idx="518">
                  <c:v>21.7911017598834</c:v>
                </c:pt>
                <c:pt idx="519">
                  <c:v>21.78695453296843</c:v>
                </c:pt>
                <c:pt idx="520">
                  <c:v>21.782745024124345</c:v>
                </c:pt>
                <c:pt idx="521">
                  <c:v>21.77847337866784</c:v>
                </c:pt>
                <c:pt idx="522">
                  <c:v>21.774139741313494</c:v>
                </c:pt>
                <c:pt idx="523">
                  <c:v>21.769744256177272</c:v>
                </c:pt>
                <c:pt idx="524">
                  <c:v>21.765287066780068</c:v>
                </c:pt>
                <c:pt idx="525">
                  <c:v>21.760768316051159</c:v>
                </c:pt>
                <c:pt idx="526">
                  <c:v>21.756188146331652</c:v>
                </c:pt>
                <c:pt idx="527">
                  <c:v>21.75154669937789</c:v>
                </c:pt>
                <c:pt idx="528">
                  <c:v>21.746844116364855</c:v>
                </c:pt>
                <c:pt idx="529">
                  <c:v>21.742080537889485</c:v>
                </c:pt>
                <c:pt idx="530">
                  <c:v>21.737256103974048</c:v>
                </c:pt>
                <c:pt idx="531">
                  <c:v>21.732370954069388</c:v>
                </c:pt>
                <c:pt idx="532">
                  <c:v>21.727425227058227</c:v>
                </c:pt>
                <c:pt idx="533">
                  <c:v>21.722419061258396</c:v>
                </c:pt>
                <c:pt idx="534">
                  <c:v>21.717352594426032</c:v>
                </c:pt>
                <c:pt idx="535">
                  <c:v>21.712225963758765</c:v>
                </c:pt>
                <c:pt idx="536">
                  <c:v>21.707039305898903</c:v>
                </c:pt>
                <c:pt idx="537">
                  <c:v>21.701792756936499</c:v>
                </c:pt>
                <c:pt idx="538">
                  <c:v>21.696486452412525</c:v>
                </c:pt>
                <c:pt idx="539">
                  <c:v>21.691120527321882</c:v>
                </c:pt>
                <c:pt idx="540">
                  <c:v>21.685695116116484</c:v>
                </c:pt>
                <c:pt idx="541">
                  <c:v>21.680210352708269</c:v>
                </c:pt>
                <c:pt idx="542">
                  <c:v>21.674666370472202</c:v>
                </c:pt>
                <c:pt idx="543">
                  <c:v>21.669063302249224</c:v>
                </c:pt>
                <c:pt idx="544">
                  <c:v>21.663401280349223</c:v>
                </c:pt>
                <c:pt idx="545">
                  <c:v>21.657680436553932</c:v>
                </c:pt>
                <c:pt idx="546">
                  <c:v>21.651900902119831</c:v>
                </c:pt>
                <c:pt idx="547">
                  <c:v>21.646062807781014</c:v>
                </c:pt>
                <c:pt idx="548">
                  <c:v>21.640166283752038</c:v>
                </c:pt>
                <c:pt idx="549">
                  <c:v>21.634211459730732</c:v>
                </c:pt>
                <c:pt idx="550">
                  <c:v>21.628198464901008</c:v>
                </c:pt>
                <c:pt idx="551">
                  <c:v>21.622127427935613</c:v>
                </c:pt>
                <c:pt idx="552">
                  <c:v>21.6159984769989</c:v>
                </c:pt>
                <c:pt idx="553">
                  <c:v>21.609811739749524</c:v>
                </c:pt>
                <c:pt idx="554">
                  <c:v>21.60356734334318</c:v>
                </c:pt>
                <c:pt idx="555">
                  <c:v>21.597265414435242</c:v>
                </c:pt>
                <c:pt idx="556">
                  <c:v>21.590906079183444</c:v>
                </c:pt>
                <c:pt idx="557">
                  <c:v>21.58448946325051</c:v>
                </c:pt>
                <c:pt idx="558">
                  <c:v>21.578015691806758</c:v>
                </c:pt>
                <c:pt idx="559">
                  <c:v>21.571484889532673</c:v>
                </c:pt>
                <c:pt idx="560">
                  <c:v>21.564897180621514</c:v>
                </c:pt>
                <c:pt idx="561">
                  <c:v>21.558252688781817</c:v>
                </c:pt>
                <c:pt idx="562">
                  <c:v>21.551551537239934</c:v>
                </c:pt>
                <c:pt idx="563">
                  <c:v>21.544793848742536</c:v>
                </c:pt>
                <c:pt idx="564">
                  <c:v>21.537979745559088</c:v>
                </c:pt>
                <c:pt idx="565">
                  <c:v>21.531109349484304</c:v>
                </c:pt>
                <c:pt idx="566">
                  <c:v>21.524182781840594</c:v>
                </c:pt>
                <c:pt idx="567">
                  <c:v>21.517200163480471</c:v>
                </c:pt>
                <c:pt idx="568">
                  <c:v>21.510161614788956</c:v>
                </c:pt>
                <c:pt idx="569">
                  <c:v>21.503067255685945</c:v>
                </c:pt>
                <c:pt idx="570">
                  <c:v>21.495917205628569</c:v>
                </c:pt>
                <c:pt idx="571">
                  <c:v>21.488711583613522</c:v>
                </c:pt>
                <c:pt idx="572">
                  <c:v>21.4814505081794</c:v>
                </c:pt>
                <c:pt idx="573">
                  <c:v>21.474134097408957</c:v>
                </c:pt>
                <c:pt idx="574">
                  <c:v>21.466762468931414</c:v>
                </c:pt>
                <c:pt idx="575">
                  <c:v>21.459335739924718</c:v>
                </c:pt>
                <c:pt idx="576">
                  <c:v>21.451854027117744</c:v>
                </c:pt>
                <c:pt idx="577">
                  <c:v>21.444317446792549</c:v>
                </c:pt>
                <c:pt idx="578">
                  <c:v>21.436726114786566</c:v>
                </c:pt>
                <c:pt idx="579">
                  <c:v>21.429080146494762</c:v>
                </c:pt>
                <c:pt idx="580">
                  <c:v>21.421379656871832</c:v>
                </c:pt>
                <c:pt idx="581">
                  <c:v>21.413624760434317</c:v>
                </c:pt>
                <c:pt idx="582">
                  <c:v>21.405815571262742</c:v>
                </c:pt>
                <c:pt idx="583">
                  <c:v>21.397952203003733</c:v>
                </c:pt>
                <c:pt idx="584">
                  <c:v>21.390034768872084</c:v>
                </c:pt>
                <c:pt idx="585">
                  <c:v>21.382063381652831</c:v>
                </c:pt>
                <c:pt idx="586">
                  <c:v>21.374038153703339</c:v>
                </c:pt>
                <c:pt idx="587">
                  <c:v>21.365959196955295</c:v>
                </c:pt>
                <c:pt idx="588">
                  <c:v>21.35782662291675</c:v>
                </c:pt>
                <c:pt idx="589">
                  <c:v>21.34964054267413</c:v>
                </c:pt>
                <c:pt idx="590">
                  <c:v>21.341401066894193</c:v>
                </c:pt>
                <c:pt idx="591">
                  <c:v>21.333108305826013</c:v>
                </c:pt>
                <c:pt idx="592">
                  <c:v>21.324762369302935</c:v>
                </c:pt>
                <c:pt idx="593">
                  <c:v>21.316363366744508</c:v>
                </c:pt>
                <c:pt idx="594">
                  <c:v>21.307911407158379</c:v>
                </c:pt>
                <c:pt idx="595">
                  <c:v>21.299406599142234</c:v>
                </c:pt>
                <c:pt idx="596">
                  <c:v>21.290849050885647</c:v>
                </c:pt>
                <c:pt idx="597">
                  <c:v>21.282238870171973</c:v>
                </c:pt>
                <c:pt idx="598">
                  <c:v>21.273576164380181</c:v>
                </c:pt>
                <c:pt idx="599">
                  <c:v>21.264861040486704</c:v>
                </c:pt>
                <c:pt idx="600">
                  <c:v>21.256093605067253</c:v>
                </c:pt>
                <c:pt idx="601">
                  <c:v>21.247273964298632</c:v>
                </c:pt>
                <c:pt idx="602">
                  <c:v>21.238402223960509</c:v>
                </c:pt>
                <c:pt idx="603">
                  <c:v>21.229478489437202</c:v>
                </c:pt>
                <c:pt idx="604">
                  <c:v>21.220502865719435</c:v>
                </c:pt>
                <c:pt idx="605">
                  <c:v>21.211475457406092</c:v>
                </c:pt>
                <c:pt idx="606">
                  <c:v>21.202396368705909</c:v>
                </c:pt>
                <c:pt idx="607">
                  <c:v>21.193265703439238</c:v>
                </c:pt>
                <c:pt idx="608">
                  <c:v>21.18408356503971</c:v>
                </c:pt>
                <c:pt idx="609">
                  <c:v>21.174850056555918</c:v>
                </c:pt>
                <c:pt idx="610">
                  <c:v>21.165565280653102</c:v>
                </c:pt>
                <c:pt idx="611">
                  <c:v>21.156229339614796</c:v>
                </c:pt>
                <c:pt idx="612">
                  <c:v>21.146842335344459</c:v>
                </c:pt>
                <c:pt idx="613">
                  <c:v>21.137404369367118</c:v>
                </c:pt>
                <c:pt idx="614">
                  <c:v>21.127915542830962</c:v>
                </c:pt>
                <c:pt idx="615">
                  <c:v>21.118375956508945</c:v>
                </c:pt>
                <c:pt idx="616">
                  <c:v>21.108785710800362</c:v>
                </c:pt>
                <c:pt idx="617">
                  <c:v>21.09914490573243</c:v>
                </c:pt>
                <c:pt idx="618">
                  <c:v>21.089453640961835</c:v>
                </c:pt>
                <c:pt idx="619">
                  <c:v>21.079712015776266</c:v>
                </c:pt>
                <c:pt idx="620">
                  <c:v>21.069920129095955</c:v>
                </c:pt>
                <c:pt idx="621">
                  <c:v>21.060078079475183</c:v>
                </c:pt>
                <c:pt idx="622">
                  <c:v>21.050185965103775</c:v>
                </c:pt>
                <c:pt idx="623">
                  <c:v>21.040243883808607</c:v>
                </c:pt>
                <c:pt idx="624">
                  <c:v>21.030251933055041</c:v>
                </c:pt>
                <c:pt idx="625">
                  <c:v>21.020210209948424</c:v>
                </c:pt>
                <c:pt idx="626">
                  <c:v>21.010118811235522</c:v>
                </c:pt>
                <c:pt idx="627">
                  <c:v>20.999977833305927</c:v>
                </c:pt>
                <c:pt idx="628">
                  <c:v>20.989787372193529</c:v>
                </c:pt>
                <c:pt idx="629">
                  <c:v>20.979547523577875</c:v>
                </c:pt>
                <c:pt idx="630">
                  <c:v>20.969258382785583</c:v>
                </c:pt>
                <c:pt idx="631">
                  <c:v>20.958920044791736</c:v>
                </c:pt>
                <c:pt idx="632">
                  <c:v>20.948532604221231</c:v>
                </c:pt>
                <c:pt idx="633">
                  <c:v>20.938096155350149</c:v>
                </c:pt>
                <c:pt idx="634">
                  <c:v>20.927610792107089</c:v>
                </c:pt>
                <c:pt idx="635">
                  <c:v>20.91707660807451</c:v>
                </c:pt>
                <c:pt idx="636">
                  <c:v>20.906493696490045</c:v>
                </c:pt>
                <c:pt idx="637">
                  <c:v>20.895862150247805</c:v>
                </c:pt>
                <c:pt idx="638">
                  <c:v>20.885182061899684</c:v>
                </c:pt>
                <c:pt idx="639">
                  <c:v>20.874453523656626</c:v>
                </c:pt>
                <c:pt idx="640">
                  <c:v>20.863676627389918</c:v>
                </c:pt>
                <c:pt idx="641">
                  <c:v>20.852851464632426</c:v>
                </c:pt>
                <c:pt idx="642">
                  <c:v>20.841978126579857</c:v>
                </c:pt>
                <c:pt idx="643">
                  <c:v>20.831056704091985</c:v>
                </c:pt>
                <c:pt idx="644">
                  <c:v>20.820087287693877</c:v>
                </c:pt>
                <c:pt idx="645">
                  <c:v>20.809069967577116</c:v>
                </c:pt>
                <c:pt idx="646">
                  <c:v>20.798004833600974</c:v>
                </c:pt>
                <c:pt idx="647">
                  <c:v>20.786891975293639</c:v>
                </c:pt>
                <c:pt idx="648">
                  <c:v>20.775731481853345</c:v>
                </c:pt>
                <c:pt idx="649">
                  <c:v>20.764523442149571</c:v>
                </c:pt>
                <c:pt idx="650">
                  <c:v>20.7532679447242</c:v>
                </c:pt>
                <c:pt idx="651">
                  <c:v>20.741965077792628</c:v>
                </c:pt>
                <c:pt idx="652">
                  <c:v>20.730614929244926</c:v>
                </c:pt>
                <c:pt idx="653">
                  <c:v>20.719217586646938</c:v>
                </c:pt>
                <c:pt idx="654">
                  <c:v>20.707773137241414</c:v>
                </c:pt>
                <c:pt idx="655">
                  <c:v>20.69628166794908</c:v>
                </c:pt>
                <c:pt idx="656">
                  <c:v>20.684743265369761</c:v>
                </c:pt>
                <c:pt idx="657">
                  <c:v>20.673158015783414</c:v>
                </c:pt>
                <c:pt idx="658">
                  <c:v>20.661526005151227</c:v>
                </c:pt>
                <c:pt idx="659">
                  <c:v>20.649847319116652</c:v>
                </c:pt>
                <c:pt idx="660">
                  <c:v>20.638122043006469</c:v>
                </c:pt>
                <c:pt idx="661">
                  <c:v>20.626350261831792</c:v>
                </c:pt>
                <c:pt idx="662">
                  <c:v>20.614532060289118</c:v>
                </c:pt>
                <c:pt idx="663">
                  <c:v>20.602667522761323</c:v>
                </c:pt>
                <c:pt idx="664">
                  <c:v>20.590756733318653</c:v>
                </c:pt>
                <c:pt idx="665">
                  <c:v>20.578799775719745</c:v>
                </c:pt>
                <c:pt idx="666">
                  <c:v>20.566796733412573</c:v>
                </c:pt>
                <c:pt idx="667">
                  <c:v>20.554747689535443</c:v>
                </c:pt>
                <c:pt idx="668">
                  <c:v>20.542652726917929</c:v>
                </c:pt>
                <c:pt idx="669">
                  <c:v>20.530511928081847</c:v>
                </c:pt>
                <c:pt idx="670">
                  <c:v>20.518325375242163</c:v>
                </c:pt>
                <c:pt idx="671">
                  <c:v>20.50610032034513</c:v>
                </c:pt>
                <c:pt idx="672">
                  <c:v>20.493870859800527</c:v>
                </c:pt>
                <c:pt idx="673">
                  <c:v>20.481641399255924</c:v>
                </c:pt>
                <c:pt idx="674">
                  <c:v>20.469411938711321</c:v>
                </c:pt>
                <c:pt idx="675">
                  <c:v>20.457182478166718</c:v>
                </c:pt>
                <c:pt idx="676">
                  <c:v>20.444953017622112</c:v>
                </c:pt>
                <c:pt idx="677">
                  <c:v>20.432723557077509</c:v>
                </c:pt>
                <c:pt idx="678">
                  <c:v>20.420494096532906</c:v>
                </c:pt>
                <c:pt idx="679">
                  <c:v>20.408264635988303</c:v>
                </c:pt>
                <c:pt idx="680">
                  <c:v>20.3960351754437</c:v>
                </c:pt>
                <c:pt idx="681">
                  <c:v>20.383805714899097</c:v>
                </c:pt>
                <c:pt idx="682">
                  <c:v>20.371576254354494</c:v>
                </c:pt>
                <c:pt idx="683">
                  <c:v>20.359346793809891</c:v>
                </c:pt>
                <c:pt idx="684">
                  <c:v>20.347117333265288</c:v>
                </c:pt>
                <c:pt idx="685">
                  <c:v>20.334887872720685</c:v>
                </c:pt>
                <c:pt idx="686">
                  <c:v>20.322658412176082</c:v>
                </c:pt>
                <c:pt idx="687">
                  <c:v>20.310428951631479</c:v>
                </c:pt>
                <c:pt idx="688">
                  <c:v>20.298199491086876</c:v>
                </c:pt>
                <c:pt idx="689">
                  <c:v>20.285970030542273</c:v>
                </c:pt>
                <c:pt idx="690">
                  <c:v>20.27374056999767</c:v>
                </c:pt>
                <c:pt idx="691">
                  <c:v>20.261511109453068</c:v>
                </c:pt>
                <c:pt idx="692">
                  <c:v>20.249281648908465</c:v>
                </c:pt>
                <c:pt idx="693">
                  <c:v>20.237052188363862</c:v>
                </c:pt>
                <c:pt idx="694">
                  <c:v>20.224822727819259</c:v>
                </c:pt>
                <c:pt idx="695">
                  <c:v>20.212593267274656</c:v>
                </c:pt>
                <c:pt idx="696">
                  <c:v>20.200363806730049</c:v>
                </c:pt>
                <c:pt idx="697">
                  <c:v>20.188134346185446</c:v>
                </c:pt>
                <c:pt idx="698">
                  <c:v>20.175904885640843</c:v>
                </c:pt>
                <c:pt idx="699">
                  <c:v>20.16367542509624</c:v>
                </c:pt>
                <c:pt idx="700">
                  <c:v>20.151445964551638</c:v>
                </c:pt>
                <c:pt idx="701">
                  <c:v>20.139216504007035</c:v>
                </c:pt>
                <c:pt idx="702">
                  <c:v>20.126987043462428</c:v>
                </c:pt>
                <c:pt idx="703">
                  <c:v>20.114757582917825</c:v>
                </c:pt>
                <c:pt idx="704">
                  <c:v>20.102528122373222</c:v>
                </c:pt>
                <c:pt idx="705">
                  <c:v>20.090298661828619</c:v>
                </c:pt>
                <c:pt idx="706">
                  <c:v>20.078069201284016</c:v>
                </c:pt>
                <c:pt idx="707">
                  <c:v>20.065839740739413</c:v>
                </c:pt>
                <c:pt idx="708">
                  <c:v>20.05361028019481</c:v>
                </c:pt>
                <c:pt idx="709">
                  <c:v>20.041380819650207</c:v>
                </c:pt>
                <c:pt idx="710">
                  <c:v>20.029151359105605</c:v>
                </c:pt>
                <c:pt idx="711">
                  <c:v>20.016921898561002</c:v>
                </c:pt>
                <c:pt idx="712">
                  <c:v>20.004692438016399</c:v>
                </c:pt>
                <c:pt idx="713">
                  <c:v>19.992462977471796</c:v>
                </c:pt>
                <c:pt idx="714">
                  <c:v>19.980233516927193</c:v>
                </c:pt>
                <c:pt idx="715">
                  <c:v>19.96800405638259</c:v>
                </c:pt>
                <c:pt idx="716">
                  <c:v>19.955774595837987</c:v>
                </c:pt>
                <c:pt idx="717">
                  <c:v>19.943545135293384</c:v>
                </c:pt>
                <c:pt idx="718">
                  <c:v>19.931315674748777</c:v>
                </c:pt>
                <c:pt idx="719">
                  <c:v>19.919086214204174</c:v>
                </c:pt>
                <c:pt idx="720">
                  <c:v>19.906856753659572</c:v>
                </c:pt>
                <c:pt idx="721">
                  <c:v>19.894627293114969</c:v>
                </c:pt>
                <c:pt idx="722">
                  <c:v>19.882397832570366</c:v>
                </c:pt>
                <c:pt idx="723">
                  <c:v>19.870168372025759</c:v>
                </c:pt>
                <c:pt idx="724">
                  <c:v>19.857938911481156</c:v>
                </c:pt>
                <c:pt idx="725">
                  <c:v>19.845709450936553</c:v>
                </c:pt>
                <c:pt idx="726">
                  <c:v>19.83347999039195</c:v>
                </c:pt>
                <c:pt idx="727">
                  <c:v>19.821250529847347</c:v>
                </c:pt>
                <c:pt idx="728">
                  <c:v>19.809021069302744</c:v>
                </c:pt>
                <c:pt idx="729">
                  <c:v>19.796791608758141</c:v>
                </c:pt>
                <c:pt idx="730">
                  <c:v>19.784562148213539</c:v>
                </c:pt>
                <c:pt idx="731">
                  <c:v>19.772332687668936</c:v>
                </c:pt>
                <c:pt idx="732">
                  <c:v>19.760103227124333</c:v>
                </c:pt>
                <c:pt idx="733">
                  <c:v>19.74787376657973</c:v>
                </c:pt>
                <c:pt idx="734">
                  <c:v>19.735644306035127</c:v>
                </c:pt>
                <c:pt idx="735">
                  <c:v>19.723414845490524</c:v>
                </c:pt>
                <c:pt idx="736">
                  <c:v>19.711185384945921</c:v>
                </c:pt>
                <c:pt idx="737">
                  <c:v>19.698955924401318</c:v>
                </c:pt>
                <c:pt idx="738">
                  <c:v>19.686726463856715</c:v>
                </c:pt>
                <c:pt idx="739">
                  <c:v>19.674497003312108</c:v>
                </c:pt>
                <c:pt idx="740">
                  <c:v>19.662267542767506</c:v>
                </c:pt>
                <c:pt idx="741">
                  <c:v>19.650038082222903</c:v>
                </c:pt>
                <c:pt idx="742">
                  <c:v>19.6378086216783</c:v>
                </c:pt>
                <c:pt idx="743">
                  <c:v>19.625579161133697</c:v>
                </c:pt>
                <c:pt idx="744">
                  <c:v>19.613349700589094</c:v>
                </c:pt>
                <c:pt idx="745">
                  <c:v>19.601120240044487</c:v>
                </c:pt>
                <c:pt idx="746">
                  <c:v>19.588890779499884</c:v>
                </c:pt>
                <c:pt idx="747">
                  <c:v>19.576661318955281</c:v>
                </c:pt>
                <c:pt idx="748">
                  <c:v>19.564431858410678</c:v>
                </c:pt>
                <c:pt idx="749">
                  <c:v>19.552202397866076</c:v>
                </c:pt>
                <c:pt idx="750">
                  <c:v>19.539921483553691</c:v>
                </c:pt>
                <c:pt idx="751">
                  <c:v>19.527357701228318</c:v>
                </c:pt>
                <c:pt idx="752">
                  <c:v>19.514483501309204</c:v>
                </c:pt>
                <c:pt idx="753">
                  <c:v>19.501299437353318</c:v>
                </c:pt>
                <c:pt idx="754">
                  <c:v>19.48780604815035</c:v>
                </c:pt>
                <c:pt idx="755">
                  <c:v>19.47400385775839</c:v>
                </c:pt>
                <c:pt idx="756">
                  <c:v>19.459893375536076</c:v>
                </c:pt>
                <c:pt idx="757">
                  <c:v>19.445475096171247</c:v>
                </c:pt>
                <c:pt idx="758">
                  <c:v>19.430749499706128</c:v>
                </c:pt>
                <c:pt idx="759">
                  <c:v>19.41571705155895</c:v>
                </c:pt>
                <c:pt idx="760">
                  <c:v>19.400378202542161</c:v>
                </c:pt>
                <c:pt idx="761">
                  <c:v>19.384733388877091</c:v>
                </c:pt>
                <c:pt idx="762">
                  <c:v>19.368783032205123</c:v>
                </c:pt>
                <c:pt idx="763">
                  <c:v>19.352527539595386</c:v>
                </c:pt>
                <c:pt idx="764">
                  <c:v>19.335967303548941</c:v>
                </c:pt>
                <c:pt idx="765">
                  <c:v>19.319102701999444</c:v>
                </c:pt>
                <c:pt idx="766">
                  <c:v>19.30193409831028</c:v>
                </c:pt>
                <c:pt idx="767">
                  <c:v>19.28446184126819</c:v>
                </c:pt>
                <c:pt idx="768">
                  <c:v>19.266686265073282</c:v>
                </c:pt>
                <c:pt idx="769">
                  <c:v>19.248607689325588</c:v>
                </c:pt>
                <c:pt idx="770">
                  <c:v>19.230226419007924</c:v>
                </c:pt>
                <c:pt idx="771">
                  <c:v>19.211542744465198</c:v>
                </c:pt>
                <c:pt idx="772">
                  <c:v>19.192556941380097</c:v>
                </c:pt>
                <c:pt idx="773">
                  <c:v>19.173269270745109</c:v>
                </c:pt>
                <c:pt idx="774">
                  <c:v>19.153679978830855</c:v>
                </c:pt>
                <c:pt idx="775">
                  <c:v>19.133789297150745</c:v>
                </c:pt>
                <c:pt idx="776">
                  <c:v>19.11359744242186</c:v>
                </c:pt>
                <c:pt idx="777">
                  <c:v>19.093104616522087</c:v>
                </c:pt>
                <c:pt idx="778">
                  <c:v>19.072311006443432</c:v>
                </c:pt>
                <c:pt idx="779">
                  <c:v>19.051216784241486</c:v>
                </c:pt>
                <c:pt idx="780">
                  <c:v>19.02982210698103</c:v>
                </c:pt>
                <c:pt idx="781">
                  <c:v>19.008127116677667</c:v>
                </c:pt>
                <c:pt idx="782">
                  <c:v>18.986131940235499</c:v>
                </c:pt>
                <c:pt idx="783">
                  <c:v>18.963836689380809</c:v>
                </c:pt>
                <c:pt idx="784">
                  <c:v>18.941241460591598</c:v>
                </c:pt>
                <c:pt idx="785">
                  <c:v>18.91834633502307</c:v>
                </c:pt>
                <c:pt idx="786">
                  <c:v>18.895151378428881</c:v>
                </c:pt>
                <c:pt idx="787">
                  <c:v>18.871656641078165</c:v>
                </c:pt>
                <c:pt idx="788">
                  <c:v>18.847862157668263</c:v>
                </c:pt>
                <c:pt idx="789">
                  <c:v>18.823767947233037</c:v>
                </c:pt>
                <c:pt idx="790">
                  <c:v>18.799374013046812</c:v>
                </c:pt>
                <c:pt idx="791">
                  <c:v>18.774680342523762</c:v>
                </c:pt>
                <c:pt idx="792">
                  <c:v>18.749686907112725</c:v>
                </c:pt>
                <c:pt idx="793">
                  <c:v>18.724393662187353</c:v>
                </c:pt>
                <c:pt idx="794">
                  <c:v>18.698800546931537</c:v>
                </c:pt>
                <c:pt idx="795">
                  <c:v>18.672907484219969</c:v>
                </c:pt>
                <c:pt idx="796">
                  <c:v>18.64671438049384</c:v>
                </c:pt>
                <c:pt idx="797">
                  <c:v>18.620221125631492</c:v>
                </c:pt>
                <c:pt idx="798">
                  <c:v>18.593427592813974</c:v>
                </c:pt>
                <c:pt idx="799">
                  <c:v>18.566333638385423</c:v>
                </c:pt>
                <c:pt idx="800">
                  <c:v>18.538939101708102</c:v>
                </c:pt>
                <c:pt idx="801">
                  <c:v>18.511243805012054</c:v>
                </c:pt>
                <c:pt idx="802">
                  <c:v>18.48324755323922</c:v>
                </c:pt>
                <c:pt idx="803">
                  <c:v>18.454950133881923</c:v>
                </c:pt>
                <c:pt idx="804">
                  <c:v>18.426351316815587</c:v>
                </c:pt>
                <c:pt idx="805">
                  <c:v>18.397450854125541</c:v>
                </c:pt>
                <c:pt idx="806">
                  <c:v>18.368248479927857</c:v>
                </c:pt>
                <c:pt idx="807">
                  <c:v>18.338743910184007</c:v>
                </c:pt>
                <c:pt idx="808">
                  <c:v>18.308936842509198</c:v>
                </c:pt>
                <c:pt idx="809">
                  <c:v>18.278826955974289</c:v>
                </c:pt>
                <c:pt idx="810">
                  <c:v>18.248413910901128</c:v>
                </c:pt>
                <c:pt idx="811">
                  <c:v>18.217697348651104</c:v>
                </c:pt>
                <c:pt idx="812">
                  <c:v>18.186676891406801</c:v>
                </c:pt>
                <c:pt idx="813">
                  <c:v>18.155352141946537</c:v>
                </c:pt>
                <c:pt idx="814">
                  <c:v>18.12372268341166</c:v>
                </c:pt>
                <c:pt idx="815">
                  <c:v>18.091788079066404</c:v>
                </c:pt>
                <c:pt idx="816">
                  <c:v>18.059547872050029</c:v>
                </c:pt>
                <c:pt idx="817">
                  <c:v>18.027001585121244</c:v>
                </c:pt>
                <c:pt idx="818">
                  <c:v>17.994148720394453</c:v>
                </c:pt>
                <c:pt idx="819">
                  <c:v>17.960988759067813</c:v>
                </c:pt>
                <c:pt idx="820">
                  <c:v>17.927521161142788</c:v>
                </c:pt>
                <c:pt idx="821">
                  <c:v>17.893745365134976</c:v>
                </c:pt>
                <c:pt idx="822">
                  <c:v>17.859660787776004</c:v>
                </c:pt>
                <c:pt idx="823">
                  <c:v>17.825266823706173</c:v>
                </c:pt>
                <c:pt idx="824">
                  <c:v>17.790562845157684</c:v>
                </c:pt>
                <c:pt idx="825">
                  <c:v>17.755548201628091</c:v>
                </c:pt>
                <c:pt idx="826">
                  <c:v>17.72022221954375</c:v>
                </c:pt>
                <c:pt idx="827">
                  <c:v>17.684584201912969</c:v>
                </c:pt>
                <c:pt idx="828">
                  <c:v>17.648633427968527</c:v>
                </c:pt>
                <c:pt idx="829">
                  <c:v>17.612369152799285</c:v>
                </c:pt>
                <c:pt idx="830">
                  <c:v>17.575790606970564</c:v>
                </c:pt>
                <c:pt idx="831">
                  <c:v>17.538896996132838</c:v>
                </c:pt>
                <c:pt idx="832">
                  <c:v>17.501687500618633</c:v>
                </c:pt>
                <c:pt idx="833">
                  <c:v>17.464161275026985</c:v>
                </c:pt>
                <c:pt idx="834">
                  <c:v>17.426317447795249</c:v>
                </c:pt>
                <c:pt idx="835">
                  <c:v>17.388155120757816</c:v>
                </c:pt>
                <c:pt idx="836">
                  <c:v>17.349673368691334</c:v>
                </c:pt>
                <c:pt idx="837">
                  <c:v>17.310871238845937</c:v>
                </c:pt>
                <c:pt idx="838">
                  <c:v>17.271747750462179</c:v>
                </c:pt>
                <c:pt idx="839">
                  <c:v>17.232301894273014</c:v>
                </c:pt>
                <c:pt idx="840">
                  <c:v>17.192532631990503</c:v>
                </c:pt>
                <c:pt idx="841">
                  <c:v>17.152438895776644</c:v>
                </c:pt>
                <c:pt idx="842">
                  <c:v>17.112019587697837</c:v>
                </c:pt>
                <c:pt idx="843">
                  <c:v>17.07127357916243</c:v>
                </c:pt>
                <c:pt idx="844">
                  <c:v>17.030199710340746</c:v>
                </c:pt>
                <c:pt idx="845">
                  <c:v>16.988796789567047</c:v>
                </c:pt>
                <c:pt idx="846">
                  <c:v>16.94706359272276</c:v>
                </c:pt>
                <c:pt idx="847">
                  <c:v>16.904998862600316</c:v>
                </c:pt>
                <c:pt idx="848">
                  <c:v>16.862601308247012</c:v>
                </c:pt>
                <c:pt idx="849">
                  <c:v>16.819869604288044</c:v>
                </c:pt>
                <c:pt idx="850">
                  <c:v>16.776802390228113</c:v>
                </c:pt>
                <c:pt idx="851">
                  <c:v>16.733398269730728</c:v>
                </c:pt>
                <c:pt idx="852">
                  <c:v>16.689655809874473</c:v>
                </c:pt>
                <c:pt idx="853">
                  <c:v>16.645573540385374</c:v>
                </c:pt>
                <c:pt idx="854">
                  <c:v>16.601149952844477</c:v>
                </c:pt>
                <c:pt idx="855">
                  <c:v>16.556383499869728</c:v>
                </c:pt>
                <c:pt idx="856">
                  <c:v>16.511272594271212</c:v>
                </c:pt>
                <c:pt idx="857">
                  <c:v>16.465815608178737</c:v>
                </c:pt>
                <c:pt idx="858">
                  <c:v>16.420010872140686</c:v>
                </c:pt>
                <c:pt idx="859">
                  <c:v>16.373856674193139</c:v>
                </c:pt>
                <c:pt idx="860">
                  <c:v>16.327351258897973</c:v>
                </c:pt>
                <c:pt idx="861">
                  <c:v>16.280492826348869</c:v>
                </c:pt>
                <c:pt idx="862">
                  <c:v>16.233279531143896</c:v>
                </c:pt>
                <c:pt idx="863">
                  <c:v>16.185709481323382</c:v>
                </c:pt>
                <c:pt idx="864">
                  <c:v>16.137780737271701</c:v>
                </c:pt>
                <c:pt idx="865">
                  <c:v>16.089491310581476</c:v>
                </c:pt>
                <c:pt idx="866">
                  <c:v>16.040839162878797</c:v>
                </c:pt>
                <c:pt idx="867">
                  <c:v>15.991822204607711</c:v>
                </c:pt>
                <c:pt idx="868">
                  <c:v>15.942438293772446</c:v>
                </c:pt>
                <c:pt idx="869">
                  <c:v>15.892685234635559</c:v>
                </c:pt>
                <c:pt idx="870">
                  <c:v>15.842560776370192</c:v>
                </c:pt>
                <c:pt idx="871">
                  <c:v>15.792062611664468</c:v>
                </c:pt>
                <c:pt idx="872">
                  <c:v>15.741188375276064</c:v>
                </c:pt>
                <c:pt idx="873">
                  <c:v>15.689935642534756</c:v>
                </c:pt>
                <c:pt idx="874">
                  <c:v>15.638301927790778</c:v>
                </c:pt>
                <c:pt idx="875">
                  <c:v>15.586284682806578</c:v>
                </c:pt>
                <c:pt idx="876">
                  <c:v>15.533881295089484</c:v>
                </c:pt>
                <c:pt idx="877">
                  <c:v>15.481089086162747</c:v>
                </c:pt>
                <c:pt idx="878">
                  <c:v>15.427905309772111</c:v>
                </c:pt>
                <c:pt idx="879">
                  <c:v>15.374327150025135</c:v>
                </c:pt>
                <c:pt idx="880">
                  <c:v>15.320351719460062</c:v>
                </c:pt>
                <c:pt idx="881">
                  <c:v>15.265976057041206</c:v>
                </c:pt>
                <c:pt idx="882">
                  <c:v>15.211197126077277</c:v>
                </c:pt>
                <c:pt idx="883">
                  <c:v>15.156011812059214</c:v>
                </c:pt>
                <c:pt idx="884">
                  <c:v>15.100416920413632</c:v>
                </c:pt>
                <c:pt idx="885">
                  <c:v>15.044409174168017</c:v>
                </c:pt>
                <c:pt idx="886">
                  <c:v>14.987985211523316</c:v>
                </c:pt>
                <c:pt idx="887">
                  <c:v>14.93114158332955</c:v>
                </c:pt>
                <c:pt idx="888">
                  <c:v>14.873874750459711</c:v>
                </c:pt>
                <c:pt idx="889">
                  <c:v>14.81618108107695</c:v>
                </c:pt>
                <c:pt idx="890">
                  <c:v>14.758056847789781</c:v>
                </c:pt>
                <c:pt idx="891">
                  <c:v>14.699498224689695</c:v>
                </c:pt>
                <c:pt idx="892">
                  <c:v>14.640501284265241</c:v>
                </c:pt>
                <c:pt idx="893">
                  <c:v>14.581061994186344</c:v>
                </c:pt>
                <c:pt idx="894">
                  <c:v>14.52117621395208</c:v>
                </c:pt>
                <c:pt idx="895">
                  <c:v>14.460839691394957</c:v>
                </c:pt>
                <c:pt idx="896">
                  <c:v>14.400048059034081</c:v>
                </c:pt>
                <c:pt idx="897">
                  <c:v>14.338796830269262</c:v>
                </c:pt>
                <c:pt idx="898">
                  <c:v>14.277081395407526</c:v>
                </c:pt>
                <c:pt idx="899">
                  <c:v>14.214897017513039</c:v>
                </c:pt>
                <c:pt idx="900">
                  <c:v>14.152238828070802</c:v>
                </c:pt>
                <c:pt idx="901">
                  <c:v>14.08910182245384</c:v>
                </c:pt>
                <c:pt idx="902">
                  <c:v>14.025480855182989</c:v>
                </c:pt>
                <c:pt idx="903">
                  <c:v>13.961370634967619</c:v>
                </c:pt>
                <c:pt idx="904">
                  <c:v>13.896765719514853</c:v>
                </c:pt>
                <c:pt idx="905">
                  <c:v>13.831660510094007</c:v>
                </c:pt>
                <c:pt idx="906">
                  <c:v>13.766049245842098</c:v>
                </c:pt>
                <c:pt idx="907">
                  <c:v>13.69992599779517</c:v>
                </c:pt>
                <c:pt idx="908">
                  <c:v>13.633284662629258</c:v>
                </c:pt>
                <c:pt idx="909">
                  <c:v>13.566118956093625</c:v>
                </c:pt>
                <c:pt idx="910">
                  <c:v>13.498422406117536</c:v>
                </c:pt>
                <c:pt idx="911">
                  <c:v>13.430188345570754</c:v>
                </c:pt>
                <c:pt idx="912">
                  <c:v>13.361409904656162</c:v>
                </c:pt>
                <c:pt idx="913">
                  <c:v>13.292080002911558</c:v>
                </c:pt>
                <c:pt idx="914">
                  <c:v>13.222191340795868</c:v>
                </c:pt>
                <c:pt idx="915">
                  <c:v>13.151736390833095</c:v>
                </c:pt>
                <c:pt idx="916">
                  <c:v>13.080707388285424</c:v>
                </c:pt>
                <c:pt idx="917">
                  <c:v>13.009096321324492</c:v>
                </c:pt>
                <c:pt idx="918">
                  <c:v>12.936894920667541</c:v>
                </c:pt>
                <c:pt idx="919">
                  <c:v>12.864094648642491</c:v>
                </c:pt>
                <c:pt idx="920">
                  <c:v>12.790686687643019</c:v>
                </c:pt>
                <c:pt idx="921">
                  <c:v>12.71666192793173</c:v>
                </c:pt>
                <c:pt idx="922">
                  <c:v>12.642010954745736</c:v>
                </c:pt>
                <c:pt idx="923">
                  <c:v>12.56672403465549</c:v>
                </c:pt>
                <c:pt idx="924">
                  <c:v>12.490791101123369</c:v>
                </c:pt>
                <c:pt idx="925">
                  <c:v>12.414201739203806</c:v>
                </c:pt>
                <c:pt idx="926">
                  <c:v>12.336945169322137</c:v>
                </c:pt>
                <c:pt idx="927">
                  <c:v>12.25901023006317</c:v>
                </c:pt>
                <c:pt idx="928">
                  <c:v>12.18038535989489</c:v>
                </c:pt>
                <c:pt idx="929">
                  <c:v>12.101058577745636</c:v>
                </c:pt>
                <c:pt idx="930">
                  <c:v>12.021017462345677</c:v>
                </c:pt>
                <c:pt idx="931">
                  <c:v>11.940249130235808</c:v>
                </c:pt>
                <c:pt idx="932">
                  <c:v>11.858740212336462</c:v>
                </c:pt>
                <c:pt idx="933">
                  <c:v>11.776476828960394</c:v>
                </c:pt>
                <c:pt idx="934">
                  <c:v>11.693444563140922</c:v>
                </c:pt>
                <c:pt idx="935">
                  <c:v>11.609628432134784</c:v>
                </c:pt>
                <c:pt idx="936">
                  <c:v>11.525012856944665</c:v>
                </c:pt>
                <c:pt idx="937">
                  <c:v>11.439581629690696</c:v>
                </c:pt>
                <c:pt idx="938">
                  <c:v>11.353317878642367</c:v>
                </c:pt>
                <c:pt idx="939">
                  <c:v>11.266204030702585</c:v>
                </c:pt>
                <c:pt idx="940">
                  <c:v>11.17822177111346</c:v>
                </c:pt>
                <c:pt idx="941">
                  <c:v>11.089352000127922</c:v>
                </c:pt>
                <c:pt idx="942">
                  <c:v>10.999574786363524</c:v>
                </c:pt>
                <c:pt idx="943">
                  <c:v>10.908869316522338</c:v>
                </c:pt>
                <c:pt idx="944">
                  <c:v>10.81721384112504</c:v>
                </c:pt>
                <c:pt idx="945">
                  <c:v>10.724585615866065</c:v>
                </c:pt>
                <c:pt idx="946">
                  <c:v>10.63096083815009</c:v>
                </c:pt>
                <c:pt idx="947">
                  <c:v>10.536314578316908</c:v>
                </c:pt>
                <c:pt idx="948">
                  <c:v>10.440620705001184</c:v>
                </c:pt>
                <c:pt idx="949">
                  <c:v>10.343851804003753</c:v>
                </c:pt>
                <c:pt idx="950">
                  <c:v>10.245979089971602</c:v>
                </c:pt>
                <c:pt idx="951">
                  <c:v>10.146972310091716</c:v>
                </c:pt>
                <c:pt idx="952">
                  <c:v>10.046799638897911</c:v>
                </c:pt>
                <c:pt idx="953">
                  <c:v>9.9454275631674687</c:v>
                </c:pt>
                <c:pt idx="954">
                  <c:v>9.8428207557416521</c:v>
                </c:pt>
                <c:pt idx="955">
                  <c:v>9.7389419369389625</c:v>
                </c:pt>
                <c:pt idx="956">
                  <c:v>9.6337517220364415</c:v>
                </c:pt>
                <c:pt idx="957">
                  <c:v>9.5272084530677112</c:v>
                </c:pt>
                <c:pt idx="958">
                  <c:v>9.4192680129204778</c:v>
                </c:pt>
                <c:pt idx="959">
                  <c:v>9.3098836194016226</c:v>
                </c:pt>
                <c:pt idx="960">
                  <c:v>9.1990055965664528</c:v>
                </c:pt>
                <c:pt idx="961">
                  <c:v>9.0865811201663185</c:v>
                </c:pt>
                <c:pt idx="962">
                  <c:v>8.9725539335409916</c:v>
                </c:pt>
                <c:pt idx="963">
                  <c:v>8.8568640296497581</c:v>
                </c:pt>
                <c:pt idx="964">
                  <c:v>8.7394472941729422</c:v>
                </c:pt>
                <c:pt idx="965">
                  <c:v>8.6202351036941849</c:v>
                </c:pt>
                <c:pt idx="966">
                  <c:v>8.4991538718528314</c:v>
                </c:pt>
                <c:pt idx="967">
                  <c:v>8.3761245349857756</c:v>
                </c:pt>
                <c:pt idx="968">
                  <c:v>8.2510619670941647</c:v>
                </c:pt>
                <c:pt idx="969">
                  <c:v>8.123874311888553</c:v>
                </c:pt>
                <c:pt idx="970">
                  <c:v>7.994462217075502</c:v>
                </c:pt>
                <c:pt idx="971">
                  <c:v>7.8627179528053635</c:v>
                </c:pt>
                <c:pt idx="972">
                  <c:v>7.728524392110053</c:v>
                </c:pt>
                <c:pt idx="973">
                  <c:v>7.5917538259623329</c:v>
                </c:pt>
                <c:pt idx="974">
                  <c:v>7.4522665789322673</c:v>
                </c:pt>
                <c:pt idx="975">
                  <c:v>7.3099093828190282</c:v>
                </c:pt>
                <c:pt idx="976">
                  <c:v>7.1645134544311384</c:v>
                </c:pt>
                <c:pt idx="977">
                  <c:v>7.0158922089387517</c:v>
                </c:pt>
                <c:pt idx="978">
                  <c:v>6.863838520602342</c:v>
                </c:pt>
                <c:pt idx="979">
                  <c:v>6.7081214162863771</c:v>
                </c:pt>
                <c:pt idx="980">
                  <c:v>6.5484820512107813</c:v>
                </c:pt>
                <c:pt idx="981">
                  <c:v>6.3846287667555428</c:v>
                </c:pt>
                <c:pt idx="982">
                  <c:v>6.2162309605933217</c:v>
                </c:pt>
                <c:pt idx="983">
                  <c:v>6.0429114004238098</c:v>
                </c:pt>
                <c:pt idx="984">
                  <c:v>5.8642364691226021</c:v>
                </c:pt>
                <c:pt idx="985">
                  <c:v>5.6797036171109516</c:v>
                </c:pt>
                <c:pt idx="986">
                  <c:v>5.4887249775379923</c:v>
                </c:pt>
                <c:pt idx="987">
                  <c:v>5.2906056042261396</c:v>
                </c:pt>
                <c:pt idx="988">
                  <c:v>5.0845140036700212</c:v>
                </c:pt>
                <c:pt idx="989">
                  <c:v>4.8694413373671068</c:v>
                </c:pt>
                <c:pt idx="990">
                  <c:v>4.6441434660007834</c:v>
                </c:pt>
                <c:pt idx="991">
                  <c:v>4.4070560922528941</c:v>
                </c:pt>
                <c:pt idx="992">
                  <c:v>4.1561659550384524</c:v>
                </c:pt>
                <c:pt idx="993">
                  <c:v>3.8888065672731633</c:v>
                </c:pt>
                <c:pt idx="994">
                  <c:v>3.6013162047827243</c:v>
                </c:pt>
                <c:pt idx="995">
                  <c:v>3.288424067417969</c:v>
                </c:pt>
                <c:pt idx="996">
                  <c:v>2.942042065537156</c:v>
                </c:pt>
                <c:pt idx="997">
                  <c:v>2.5485576373717933</c:v>
                </c:pt>
                <c:pt idx="998">
                  <c:v>2.0814341105066352</c:v>
                </c:pt>
                <c:pt idx="999">
                  <c:v>1.4721782489576329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15-4147-8235-0B06C1486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745328"/>
        <c:axId val="604750576"/>
      </c:scatterChart>
      <c:valAx>
        <c:axId val="60474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Equivalent Volumetric 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750576"/>
        <c:crosses val="autoZero"/>
        <c:crossBetween val="midCat"/>
      </c:valAx>
      <c:valAx>
        <c:axId val="60475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74532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42860</xdr:colOff>
      <xdr:row>27</xdr:row>
      <xdr:rowOff>85725</xdr:rowOff>
    </xdr:from>
    <xdr:to>
      <xdr:col>13</xdr:col>
      <xdr:colOff>652460</xdr:colOff>
      <xdr:row>44</xdr:row>
      <xdr:rowOff>139065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3</xdr:row>
      <xdr:rowOff>104775</xdr:rowOff>
    </xdr:from>
    <xdr:to>
      <xdr:col>8</xdr:col>
      <xdr:colOff>685800</xdr:colOff>
      <xdr:row>7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42900" y="819150"/>
          <a:ext cx="6162675" cy="71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</a:t>
          </a:r>
          <a:r>
            <a:rPr lang="en-US" sz="1100" baseline="0"/>
            <a:t> produces the microplane capped yield function, based on the Drucker-Prager yield condition, from the above reference. Inputs are highlighted in </a:t>
          </a:r>
          <a:r>
            <a:rPr lang="en-US" sz="1100" b="1" baseline="0"/>
            <a:t>yellow</a:t>
          </a:r>
          <a:r>
            <a:rPr lang="en-US" sz="1100" baseline="0"/>
            <a:t>. Typical values have been assumed for other input parameters (highlighted in </a:t>
          </a:r>
          <a:r>
            <a:rPr lang="en-US" sz="1100" b="1" baseline="0"/>
            <a:t>green</a:t>
          </a:r>
          <a:r>
            <a:rPr lang="en-US" sz="1100" baseline="0"/>
            <a:t>), but of course may be changed at the user's discretion.</a:t>
          </a:r>
        </a:p>
      </xdr:txBody>
    </xdr:sp>
    <xdr:clientData/>
  </xdr:twoCellAnchor>
  <xdr:twoCellAnchor>
    <xdr:from>
      <xdr:col>11</xdr:col>
      <xdr:colOff>695325</xdr:colOff>
      <xdr:row>0</xdr:row>
      <xdr:rowOff>114300</xdr:rowOff>
    </xdr:from>
    <xdr:to>
      <xdr:col>20</xdr:col>
      <xdr:colOff>323850</xdr:colOff>
      <xdr:row>12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363075" y="114300"/>
          <a:ext cx="5638800" cy="2457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Written by:	Brock D. Hedegaard, PhD, PE</a:t>
          </a:r>
        </a:p>
        <a:p>
          <a:r>
            <a:rPr lang="en-US" sz="1100"/>
            <a:t>	Associate Professor</a:t>
          </a:r>
        </a:p>
        <a:p>
          <a:r>
            <a:rPr lang="en-US" sz="1100"/>
            <a:t>	Department of Civil Engineering</a:t>
          </a:r>
        </a:p>
        <a:p>
          <a:r>
            <a:rPr lang="en-US" sz="1100"/>
            <a:t>	University of Minnesota Duluth</a:t>
          </a:r>
        </a:p>
        <a:p>
          <a:r>
            <a:rPr lang="en-US" sz="1100"/>
            <a:t>	</a:t>
          </a:r>
        </a:p>
        <a:p>
          <a:r>
            <a:rPr lang="en-US" sz="1100"/>
            <a:t>Revision Date: 	September 16, 2021</a:t>
          </a:r>
        </a:p>
        <a:p>
          <a:endParaRPr lang="en-US" sz="1100"/>
        </a:p>
        <a:p>
          <a:r>
            <a:rPr lang="en-US" sz="1100"/>
            <a:t>Licensing: 	This work by Brock D. Hedegaard, PhD, PE, is licensed under the Creative Commons Attribution 4.0 International License (CC BY 4.0). To view a copy of this license, visit https://creativecommons.org/licenses/by/4.0/</a:t>
          </a:r>
        </a:p>
        <a:p>
          <a:endParaRPr lang="en-US" sz="1100"/>
        </a:p>
        <a:p>
          <a:r>
            <a:rPr lang="en-US" sz="1100"/>
            <a:t>Download:	To</a:t>
          </a:r>
          <a:r>
            <a:rPr lang="en-US" sz="1100" baseline="0"/>
            <a:t> download, go to File &gt; Download &gt; Microsoft Excel. You may edit the file on your local, downloaded copy (editing is not enabled in Google Sheets). 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0.72396</cdr:x>
      <cdr:y>0</cdr:y>
    </cdr:from>
    <cdr:to>
      <cdr:x>0.99942</cdr:x>
      <cdr:y>0.08681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957891" y="0"/>
          <a:ext cx="22669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/>
            <a:t>Microplane Deviatoric</a:t>
          </a:r>
          <a:r>
            <a:rPr lang="en-US" sz="1200" baseline="0"/>
            <a:t> Stress (psi)</a:t>
          </a:r>
          <a:endParaRPr lang="en-US" sz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319085</xdr:colOff>
      <xdr:row>29</xdr:row>
      <xdr:rowOff>9525</xdr:rowOff>
    </xdr:from>
    <xdr:to>
      <xdr:col>15</xdr:col>
      <xdr:colOff>80960</xdr:colOff>
      <xdr:row>46</xdr:row>
      <xdr:rowOff>62865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3</xdr:row>
      <xdr:rowOff>104775</xdr:rowOff>
    </xdr:from>
    <xdr:to>
      <xdr:col>8</xdr:col>
      <xdr:colOff>685800</xdr:colOff>
      <xdr:row>7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42900" y="819150"/>
          <a:ext cx="6162675" cy="71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</a:t>
          </a:r>
          <a:r>
            <a:rPr lang="en-US" sz="1100" baseline="0"/>
            <a:t> produces the microplane capped yield function, based on the Drucker-Prager yield condition, from the above reference. Inputs are highlighted in </a:t>
          </a:r>
          <a:r>
            <a:rPr lang="en-US" sz="1100" b="1" baseline="0"/>
            <a:t>yellow</a:t>
          </a:r>
          <a:r>
            <a:rPr lang="en-US" sz="1100" baseline="0"/>
            <a:t>. Typical values have been assumed for other input parameters (highlighted in </a:t>
          </a:r>
          <a:r>
            <a:rPr lang="en-US" sz="1100" b="1" baseline="0"/>
            <a:t>green</a:t>
          </a:r>
          <a:r>
            <a:rPr lang="en-US" sz="1100" baseline="0"/>
            <a:t>), but of course may be changed at the user's discretion.</a:t>
          </a:r>
        </a:p>
      </xdr:txBody>
    </xdr:sp>
    <xdr:clientData/>
  </xdr:twoCellAnchor>
  <xdr:twoCellAnchor>
    <xdr:from>
      <xdr:col>12</xdr:col>
      <xdr:colOff>47625</xdr:colOff>
      <xdr:row>0</xdr:row>
      <xdr:rowOff>104775</xdr:rowOff>
    </xdr:from>
    <xdr:to>
      <xdr:col>20</xdr:col>
      <xdr:colOff>571500</xdr:colOff>
      <xdr:row>12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9610725" y="104775"/>
          <a:ext cx="5638800" cy="2457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Written by:	Brock D. Hedegaard, PhD, PE</a:t>
          </a:r>
        </a:p>
        <a:p>
          <a:r>
            <a:rPr lang="en-US" sz="1100"/>
            <a:t>	Associate Professor</a:t>
          </a:r>
        </a:p>
        <a:p>
          <a:r>
            <a:rPr lang="en-US" sz="1100"/>
            <a:t>	Department of Civil Engineering</a:t>
          </a:r>
        </a:p>
        <a:p>
          <a:r>
            <a:rPr lang="en-US" sz="1100"/>
            <a:t>	University of Minnesota Duluth</a:t>
          </a:r>
        </a:p>
        <a:p>
          <a:r>
            <a:rPr lang="en-US" sz="1100"/>
            <a:t>	</a:t>
          </a:r>
        </a:p>
        <a:p>
          <a:r>
            <a:rPr lang="en-US" sz="1100"/>
            <a:t>Revision Date: 	September</a:t>
          </a:r>
          <a:r>
            <a:rPr lang="en-US" sz="1100" baseline="0"/>
            <a:t> 16</a:t>
          </a:r>
          <a:r>
            <a:rPr lang="en-US" sz="1100"/>
            <a:t>, 2021</a:t>
          </a:r>
        </a:p>
        <a:p>
          <a:endParaRPr lang="en-US" sz="1100"/>
        </a:p>
        <a:p>
          <a:r>
            <a:rPr lang="en-US" sz="1100"/>
            <a:t>Licensing: 	This work by Brock D. Hedegaard, PhD, PE, is licensed under the Creative Commons Attribution 4.0 International License (CC BY 4.0). To view a copy of this license, visit https://creativecommons.org/licenses/by/4.0/</a:t>
          </a:r>
        </a:p>
        <a:p>
          <a:endParaRPr lang="en-US" sz="1100"/>
        </a:p>
        <a:p>
          <a:r>
            <a:rPr lang="en-US" sz="1100"/>
            <a:t>Download:	To</a:t>
          </a:r>
          <a:r>
            <a:rPr lang="en-US" sz="1100" baseline="0"/>
            <a:t> download, go to File &gt; Download &gt; Microsoft Excel. You may edit the file on your local, downloaded copy (editing is not enabled in Google Sheets). </a:t>
          </a:r>
          <a:endParaRPr lang="en-US" sz="11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0.71007</cdr:x>
      <cdr:y>0</cdr:y>
    </cdr:from>
    <cdr:to>
      <cdr:x>0.99942</cdr:x>
      <cdr:y>0.08681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843590" y="0"/>
          <a:ext cx="2381237" cy="2857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/>
            <a:t>Microplane Deviatoric</a:t>
          </a:r>
          <a:r>
            <a:rPr lang="en-US" sz="1200" baseline="0"/>
            <a:t> Stress (MPa)</a:t>
          </a:r>
          <a:endParaRPr lang="en-US" sz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8"/>
  <sheetViews>
    <sheetView topLeftCell="A6" workbookViewId="0">
      <selection activeCell="F23" sqref="F23"/>
    </sheetView>
  </sheetViews>
  <sheetFormatPr defaultRowHeight="15" x14ac:dyDescent="0.25"/>
  <cols>
    <col min="4" max="4" width="10.85546875" customWidth="1"/>
    <col min="6" max="6" width="12.7109375" bestFit="1" customWidth="1"/>
    <col min="7" max="7" width="14.42578125" customWidth="1"/>
    <col min="8" max="8" width="12.7109375" bestFit="1" customWidth="1"/>
    <col min="9" max="9" width="12.28515625" customWidth="1"/>
    <col min="10" max="10" width="17" customWidth="1"/>
    <col min="11" max="12" width="13.42578125" customWidth="1"/>
    <col min="14" max="14" width="12.7109375" bestFit="1" customWidth="1"/>
  </cols>
  <sheetData>
    <row r="1" spans="1:13" s="8" customFormat="1" ht="26.25" x14ac:dyDescent="0.4">
      <c r="A1" s="7" t="s">
        <v>31</v>
      </c>
    </row>
    <row r="2" spans="1:13" x14ac:dyDescent="0.25">
      <c r="A2" t="s">
        <v>42</v>
      </c>
    </row>
    <row r="3" spans="1:13" x14ac:dyDescent="0.25">
      <c r="A3" t="s">
        <v>32</v>
      </c>
    </row>
    <row r="10" spans="1:13" x14ac:dyDescent="0.25">
      <c r="D10" s="1" t="s">
        <v>16</v>
      </c>
      <c r="I10" s="1" t="s">
        <v>33</v>
      </c>
    </row>
    <row r="11" spans="1:13" ht="18" x14ac:dyDescent="0.35">
      <c r="C11" s="5" t="s">
        <v>17</v>
      </c>
      <c r="D11" s="2" t="s">
        <v>22</v>
      </c>
      <c r="E11" s="4">
        <v>6000</v>
      </c>
      <c r="F11" t="s">
        <v>0</v>
      </c>
      <c r="I11" t="s">
        <v>5</v>
      </c>
      <c r="J11">
        <f>SQRT(3)*(E12-E11)/(2*E12-E11)</f>
        <v>0.20828459078359918</v>
      </c>
    </row>
    <row r="12" spans="1:13" ht="18" x14ac:dyDescent="0.35">
      <c r="C12" s="5" t="s">
        <v>18</v>
      </c>
      <c r="D12" s="2" t="s">
        <v>23</v>
      </c>
      <c r="E12" s="4">
        <v>6950</v>
      </c>
      <c r="F12" t="s">
        <v>0</v>
      </c>
      <c r="I12" t="s">
        <v>6</v>
      </c>
      <c r="J12">
        <f>(1/SQRT(3) - J11/3)*E11</f>
        <v>3047.5324335705568</v>
      </c>
    </row>
    <row r="13" spans="1:13" ht="18" x14ac:dyDescent="0.35">
      <c r="C13" s="5" t="s">
        <v>20</v>
      </c>
      <c r="D13" s="2" t="s">
        <v>24</v>
      </c>
      <c r="E13" s="4">
        <v>580</v>
      </c>
      <c r="F13" t="s">
        <v>0</v>
      </c>
    </row>
    <row r="14" spans="1:13" x14ac:dyDescent="0.25">
      <c r="C14" s="3"/>
      <c r="D14" s="2"/>
      <c r="I14" s="1" t="s">
        <v>34</v>
      </c>
      <c r="M14" s="1" t="s">
        <v>41</v>
      </c>
    </row>
    <row r="15" spans="1:13" x14ac:dyDescent="0.25">
      <c r="C15" s="5" t="s">
        <v>21</v>
      </c>
      <c r="D15" s="2" t="s">
        <v>1</v>
      </c>
      <c r="E15" s="4">
        <v>2</v>
      </c>
      <c r="H15" s="11" t="s">
        <v>39</v>
      </c>
      <c r="I15" t="s">
        <v>8</v>
      </c>
      <c r="J15" s="10">
        <f>E13/3</f>
        <v>193.33333333333334</v>
      </c>
      <c r="K15" t="s">
        <v>0</v>
      </c>
      <c r="L15" s="6" t="s">
        <v>15</v>
      </c>
      <c r="M15">
        <f>J15+J16*E18</f>
        <v>1193.3333333333333</v>
      </c>
    </row>
    <row r="16" spans="1:13" x14ac:dyDescent="0.25">
      <c r="H16" s="11" t="s">
        <v>40</v>
      </c>
      <c r="I16" t="s">
        <v>38</v>
      </c>
      <c r="J16" s="10">
        <v>1</v>
      </c>
    </row>
    <row r="17" spans="3:16" x14ac:dyDescent="0.25">
      <c r="D17" s="1" t="s">
        <v>28</v>
      </c>
      <c r="H17" s="11" t="s">
        <v>37</v>
      </c>
      <c r="I17" t="s">
        <v>7</v>
      </c>
      <c r="J17" s="10">
        <f>-E11/3</f>
        <v>-2000</v>
      </c>
      <c r="K17" t="s">
        <v>0</v>
      </c>
    </row>
    <row r="18" spans="3:16" ht="18" x14ac:dyDescent="0.35">
      <c r="D18" t="s">
        <v>25</v>
      </c>
      <c r="E18" s="4">
        <v>1000</v>
      </c>
      <c r="F18" t="s">
        <v>0</v>
      </c>
    </row>
    <row r="19" spans="3:16" x14ac:dyDescent="0.25">
      <c r="F19" s="11" t="s">
        <v>29</v>
      </c>
      <c r="I19" s="1" t="s">
        <v>35</v>
      </c>
      <c r="M19" s="1"/>
    </row>
    <row r="20" spans="3:16" x14ac:dyDescent="0.25">
      <c r="D20" s="9"/>
      <c r="H20" s="11" t="s">
        <v>36</v>
      </c>
      <c r="I20" t="s">
        <v>9</v>
      </c>
      <c r="J20" s="10">
        <f>-2/3*E12</f>
        <v>-4633.333333333333</v>
      </c>
      <c r="K20" t="s">
        <v>0</v>
      </c>
    </row>
    <row r="21" spans="3:16" x14ac:dyDescent="0.25">
      <c r="I21" t="s">
        <v>10</v>
      </c>
      <c r="J21">
        <f>J12-J11*J20</f>
        <v>4012.5843708678995</v>
      </c>
      <c r="L21" s="6" t="s">
        <v>15</v>
      </c>
      <c r="M21">
        <f>J21+E18</f>
        <v>5012.5843708678995</v>
      </c>
    </row>
    <row r="22" spans="3:16" x14ac:dyDescent="0.25">
      <c r="I22" t="s">
        <v>11</v>
      </c>
      <c r="J22">
        <f>E15*J21</f>
        <v>8025.1687417357989</v>
      </c>
      <c r="L22" s="6" t="s">
        <v>15</v>
      </c>
      <c r="M22">
        <f>M21*E15</f>
        <v>10025.168741735799</v>
      </c>
    </row>
    <row r="23" spans="3:16" x14ac:dyDescent="0.25">
      <c r="I23" t="s">
        <v>12</v>
      </c>
      <c r="J23">
        <f>J22-J20</f>
        <v>12658.502075069133</v>
      </c>
      <c r="L23" s="6" t="s">
        <v>15</v>
      </c>
      <c r="M23">
        <f>M22-J20</f>
        <v>14658.502075069133</v>
      </c>
    </row>
    <row r="24" spans="3:16" x14ac:dyDescent="0.25">
      <c r="I24" s="6"/>
    </row>
    <row r="26" spans="3:16" x14ac:dyDescent="0.25">
      <c r="C26" s="1" t="s">
        <v>26</v>
      </c>
      <c r="K26" s="1" t="s">
        <v>27</v>
      </c>
    </row>
    <row r="27" spans="3:16" x14ac:dyDescent="0.25">
      <c r="C27" t="s">
        <v>30</v>
      </c>
      <c r="D27" t="s">
        <v>13</v>
      </c>
      <c r="E27" t="s">
        <v>14</v>
      </c>
      <c r="F27" t="s">
        <v>3</v>
      </c>
      <c r="G27" t="s">
        <v>4</v>
      </c>
      <c r="H27" t="s">
        <v>19</v>
      </c>
      <c r="K27" t="s">
        <v>30</v>
      </c>
      <c r="L27" t="s">
        <v>13</v>
      </c>
      <c r="M27" t="s">
        <v>14</v>
      </c>
      <c r="N27" t="s">
        <v>3</v>
      </c>
      <c r="O27" t="s">
        <v>4</v>
      </c>
      <c r="P27" t="s">
        <v>19</v>
      </c>
    </row>
    <row r="28" spans="3:16" x14ac:dyDescent="0.25">
      <c r="C28">
        <v>0</v>
      </c>
      <c r="D28">
        <f t="shared" ref="D28:D91" si="0">-$J$23+($J$15+$J$23)*C28</f>
        <v>-12658.502075069133</v>
      </c>
      <c r="E28">
        <f t="shared" ref="E28:E91" si="1">$J$12-$J$11*D28</f>
        <v>5684.1033582096716</v>
      </c>
      <c r="F28">
        <f>IF(D28&lt;$J$20,MAX(1-(D28-$J$20)^2/$J$22^2,0),1)</f>
        <v>0</v>
      </c>
      <c r="G28">
        <f>IF(D28&gt;$J$17,MAX(1-(D28-$J$17)^2/($J$15-$J$17)^2,0),1)</f>
        <v>1</v>
      </c>
      <c r="H28">
        <f>SQRT(E28^2*F28*G28)</f>
        <v>0</v>
      </c>
      <c r="K28">
        <v>0</v>
      </c>
      <c r="L28">
        <f t="shared" ref="L28:L91" si="2">-$M$23+($M$15+$M$23)*K28</f>
        <v>-14658.502075069133</v>
      </c>
      <c r="M28">
        <f t="shared" ref="M28:M91" si="3">$J$12-$J$11*L28+$E$18</f>
        <v>7100.6725397768705</v>
      </c>
      <c r="N28">
        <f>IF(L28&lt;$J$20,MAX(1-(L28-$J$20)^2/$M$22^2,0),1)</f>
        <v>0</v>
      </c>
      <c r="O28">
        <f>IF(L28&gt;$J$17,MAX(1-(L28-$J$17)^2/($M$15-$J$17)^2,0),1)</f>
        <v>1</v>
      </c>
      <c r="P28">
        <f>SQRT(M28^2*N28*O28)</f>
        <v>0</v>
      </c>
    </row>
    <row r="29" spans="3:16" x14ac:dyDescent="0.25">
      <c r="C29">
        <v>1E-3</v>
      </c>
      <c r="D29">
        <f t="shared" si="0"/>
        <v>-12645.65023966073</v>
      </c>
      <c r="E29">
        <f t="shared" si="1"/>
        <v>5681.4265189308153</v>
      </c>
      <c r="F29">
        <f t="shared" ref="F29:F92" si="4">IF(D29&lt;$J$20,MAX(1-(D29-$J$20)^2/$J$22^2,0),1)</f>
        <v>3.2003176737256389E-3</v>
      </c>
      <c r="G29">
        <f t="shared" ref="G29:G92" si="5">IF(D29&gt;$J$17,MAX(1-(D29-$J$17)^2/($J$15-$J$17)^2,0),1)</f>
        <v>1</v>
      </c>
      <c r="H29">
        <f t="shared" ref="H29:H92" si="6">SQRT(E29^2*F29*G29)</f>
        <v>321.40596975393794</v>
      </c>
      <c r="K29">
        <v>1E-3</v>
      </c>
      <c r="L29">
        <f t="shared" si="2"/>
        <v>-14642.65023966073</v>
      </c>
      <c r="M29">
        <f t="shared" si="3"/>
        <v>7097.370846725662</v>
      </c>
      <c r="N29">
        <f t="shared" ref="N29:N92" si="7">IF(L29&lt;$J$20,MAX(1-(L29-$J$20)^2/$M$22^2,0),1)</f>
        <v>3.1599074938012395E-3</v>
      </c>
      <c r="O29">
        <f t="shared" ref="O29:O92" si="8">IF(L29&gt;$J$17,MAX(1-(L29-$J$17)^2/($M$15-$J$17)^2,0),1)</f>
        <v>1</v>
      </c>
      <c r="P29">
        <f t="shared" ref="P29:P92" si="9">SQRT(M29^2*N29*O29)</f>
        <v>398.96489406100824</v>
      </c>
    </row>
    <row r="30" spans="3:16" x14ac:dyDescent="0.25">
      <c r="C30">
        <v>2E-3</v>
      </c>
      <c r="D30">
        <f t="shared" si="0"/>
        <v>-12632.798404252328</v>
      </c>
      <c r="E30">
        <f t="shared" si="1"/>
        <v>5678.7496796519572</v>
      </c>
      <c r="F30">
        <f t="shared" si="4"/>
        <v>6.3955061199778562E-3</v>
      </c>
      <c r="G30">
        <f t="shared" si="5"/>
        <v>1</v>
      </c>
      <c r="H30">
        <f t="shared" si="6"/>
        <v>454.14044874040968</v>
      </c>
      <c r="K30">
        <v>2E-3</v>
      </c>
      <c r="L30">
        <f t="shared" si="2"/>
        <v>-14626.798404252328</v>
      </c>
      <c r="M30">
        <f t="shared" si="3"/>
        <v>7094.0691536744544</v>
      </c>
      <c r="N30">
        <f t="shared" si="7"/>
        <v>6.3148145763735064E-3</v>
      </c>
      <c r="O30">
        <f t="shared" si="8"/>
        <v>1</v>
      </c>
      <c r="P30">
        <f t="shared" si="9"/>
        <v>563.73593441580442</v>
      </c>
    </row>
    <row r="31" spans="3:16" x14ac:dyDescent="0.25">
      <c r="C31">
        <v>3.0000000000000001E-3</v>
      </c>
      <c r="D31">
        <f t="shared" si="0"/>
        <v>-12619.946568843925</v>
      </c>
      <c r="E31">
        <f t="shared" si="1"/>
        <v>5676.0728403731009</v>
      </c>
      <c r="F31">
        <f t="shared" si="4"/>
        <v>9.5855653387564299E-3</v>
      </c>
      <c r="G31">
        <f t="shared" si="5"/>
        <v>1</v>
      </c>
      <c r="H31">
        <f t="shared" si="6"/>
        <v>555.72102233567261</v>
      </c>
      <c r="K31">
        <v>3.0000000000000001E-3</v>
      </c>
      <c r="L31">
        <f t="shared" si="2"/>
        <v>-14610.946568843925</v>
      </c>
      <c r="M31">
        <f t="shared" si="3"/>
        <v>7090.7674606232467</v>
      </c>
      <c r="N31">
        <f t="shared" si="7"/>
        <v>9.4647212477175779E-3</v>
      </c>
      <c r="O31">
        <f t="shared" si="8"/>
        <v>1</v>
      </c>
      <c r="P31">
        <f t="shared" si="9"/>
        <v>689.83806826194802</v>
      </c>
    </row>
    <row r="32" spans="3:16" x14ac:dyDescent="0.25">
      <c r="C32">
        <v>4.0000000000000001E-3</v>
      </c>
      <c r="D32">
        <f t="shared" si="0"/>
        <v>-12607.094733435522</v>
      </c>
      <c r="E32">
        <f t="shared" si="1"/>
        <v>5673.3960010942428</v>
      </c>
      <c r="F32">
        <f t="shared" si="4"/>
        <v>1.277049533006136E-2</v>
      </c>
      <c r="G32">
        <f t="shared" si="5"/>
        <v>1</v>
      </c>
      <c r="H32">
        <f t="shared" si="6"/>
        <v>641.13128507601357</v>
      </c>
      <c r="K32">
        <v>4.0000000000000001E-3</v>
      </c>
      <c r="L32">
        <f t="shared" si="2"/>
        <v>-14595.094733435522</v>
      </c>
      <c r="M32">
        <f t="shared" si="3"/>
        <v>7087.4657675720382</v>
      </c>
      <c r="N32">
        <f t="shared" si="7"/>
        <v>1.2609627507832566E-2</v>
      </c>
      <c r="O32">
        <f t="shared" si="8"/>
        <v>1</v>
      </c>
      <c r="P32">
        <f t="shared" si="9"/>
        <v>795.86994245403014</v>
      </c>
    </row>
    <row r="33" spans="3:16" x14ac:dyDescent="0.25">
      <c r="C33">
        <v>5.0000000000000001E-3</v>
      </c>
      <c r="D33">
        <f t="shared" si="0"/>
        <v>-12594.24289802712</v>
      </c>
      <c r="E33">
        <f t="shared" si="1"/>
        <v>5670.7191618153856</v>
      </c>
      <c r="F33">
        <f t="shared" si="4"/>
        <v>1.5950296093892535E-2</v>
      </c>
      <c r="G33">
        <f t="shared" si="5"/>
        <v>1</v>
      </c>
      <c r="H33">
        <f t="shared" si="6"/>
        <v>716.18053709389642</v>
      </c>
      <c r="K33">
        <v>5.0000000000000001E-3</v>
      </c>
      <c r="L33">
        <f t="shared" si="2"/>
        <v>-14579.24289802712</v>
      </c>
      <c r="M33">
        <f t="shared" si="3"/>
        <v>7084.1640745208297</v>
      </c>
      <c r="N33">
        <f t="shared" si="7"/>
        <v>1.574953335671947E-2</v>
      </c>
      <c r="O33">
        <f t="shared" si="8"/>
        <v>1</v>
      </c>
      <c r="P33">
        <f t="shared" si="9"/>
        <v>889.04236475342839</v>
      </c>
    </row>
    <row r="34" spans="3:16" x14ac:dyDescent="0.25">
      <c r="C34">
        <v>6.0000000000000001E-3</v>
      </c>
      <c r="D34">
        <f t="shared" si="0"/>
        <v>-12581.391062618719</v>
      </c>
      <c r="E34">
        <f t="shared" si="1"/>
        <v>5668.0423225365284</v>
      </c>
      <c r="F34">
        <f t="shared" si="4"/>
        <v>1.9124967630249623E-2</v>
      </c>
      <c r="G34">
        <f t="shared" si="5"/>
        <v>1</v>
      </c>
      <c r="H34">
        <f t="shared" si="6"/>
        <v>783.85085932791901</v>
      </c>
      <c r="K34">
        <v>6.0000000000000001E-3</v>
      </c>
      <c r="L34">
        <f t="shared" si="2"/>
        <v>-14563.391062618719</v>
      </c>
      <c r="M34">
        <f t="shared" si="3"/>
        <v>7080.8623814696221</v>
      </c>
      <c r="N34">
        <f t="shared" si="7"/>
        <v>1.8884438794377068E-2</v>
      </c>
      <c r="O34">
        <f t="shared" si="8"/>
        <v>1</v>
      </c>
      <c r="P34">
        <f t="shared" si="9"/>
        <v>973.05680758236997</v>
      </c>
    </row>
    <row r="35" spans="3:16" x14ac:dyDescent="0.25">
      <c r="C35">
        <v>7.0000000000000001E-3</v>
      </c>
      <c r="D35">
        <f t="shared" si="0"/>
        <v>-12568.539227210316</v>
      </c>
      <c r="E35">
        <f t="shared" si="1"/>
        <v>5665.3654832576713</v>
      </c>
      <c r="F35">
        <f t="shared" si="4"/>
        <v>2.2294509939133622E-2</v>
      </c>
      <c r="G35">
        <f t="shared" si="5"/>
        <v>1</v>
      </c>
      <c r="H35">
        <f t="shared" si="6"/>
        <v>845.91533388982657</v>
      </c>
      <c r="K35">
        <v>7.0000000000000001E-3</v>
      </c>
      <c r="L35">
        <f t="shared" si="2"/>
        <v>-14547.539227210316</v>
      </c>
      <c r="M35">
        <f t="shared" si="3"/>
        <v>7077.5606884184144</v>
      </c>
      <c r="N35">
        <f t="shared" si="7"/>
        <v>2.2014343820805915E-2</v>
      </c>
      <c r="O35">
        <f t="shared" si="8"/>
        <v>1</v>
      </c>
      <c r="P35">
        <f t="shared" si="9"/>
        <v>1050.1140629955769</v>
      </c>
    </row>
    <row r="36" spans="3:16" x14ac:dyDescent="0.25">
      <c r="C36">
        <v>8.0000000000000002E-3</v>
      </c>
      <c r="D36">
        <f t="shared" si="0"/>
        <v>-12555.687391801914</v>
      </c>
      <c r="E36">
        <f t="shared" si="1"/>
        <v>5662.6886439788141</v>
      </c>
      <c r="F36">
        <f t="shared" si="4"/>
        <v>2.5458923020543756E-2</v>
      </c>
      <c r="G36">
        <f t="shared" si="5"/>
        <v>1</v>
      </c>
      <c r="H36">
        <f t="shared" si="6"/>
        <v>903.53024970342585</v>
      </c>
      <c r="K36">
        <v>8.0000000000000002E-3</v>
      </c>
      <c r="L36">
        <f t="shared" si="2"/>
        <v>-14531.687391801914</v>
      </c>
      <c r="M36">
        <f t="shared" si="3"/>
        <v>7074.2589953672059</v>
      </c>
      <c r="N36">
        <f t="shared" si="7"/>
        <v>2.51392484360069E-2</v>
      </c>
      <c r="O36">
        <f t="shared" si="8"/>
        <v>1</v>
      </c>
      <c r="P36">
        <f t="shared" si="9"/>
        <v>1121.6493283818861</v>
      </c>
    </row>
    <row r="37" spans="3:16" x14ac:dyDescent="0.25">
      <c r="C37">
        <v>8.9999999999999993E-3</v>
      </c>
      <c r="D37">
        <f t="shared" si="0"/>
        <v>-12542.835556393511</v>
      </c>
      <c r="E37">
        <f t="shared" si="1"/>
        <v>5660.0118046999569</v>
      </c>
      <c r="F37">
        <f t="shared" si="4"/>
        <v>2.8618206874480245E-2</v>
      </c>
      <c r="G37">
        <f t="shared" si="5"/>
        <v>1</v>
      </c>
      <c r="H37">
        <f t="shared" si="6"/>
        <v>957.49947904961175</v>
      </c>
      <c r="K37">
        <v>8.9999999999999993E-3</v>
      </c>
      <c r="L37">
        <f t="shared" si="2"/>
        <v>-14515.835556393511</v>
      </c>
      <c r="M37">
        <f t="shared" si="3"/>
        <v>7070.9573023159974</v>
      </c>
      <c r="N37">
        <f t="shared" si="7"/>
        <v>2.8259152639978358E-2</v>
      </c>
      <c r="O37">
        <f t="shared" si="8"/>
        <v>1</v>
      </c>
      <c r="P37">
        <f t="shared" si="9"/>
        <v>1188.6603668755126</v>
      </c>
    </row>
    <row r="38" spans="3:16" x14ac:dyDescent="0.25">
      <c r="C38">
        <v>0.01</v>
      </c>
      <c r="D38">
        <f t="shared" si="0"/>
        <v>-12529.983720985108</v>
      </c>
      <c r="E38">
        <f t="shared" si="1"/>
        <v>5657.3349654210997</v>
      </c>
      <c r="F38">
        <f t="shared" si="4"/>
        <v>3.1772361500943203E-2</v>
      </c>
      <c r="G38">
        <f t="shared" si="5"/>
        <v>1</v>
      </c>
      <c r="H38">
        <f t="shared" si="6"/>
        <v>1008.4088332992171</v>
      </c>
      <c r="K38">
        <v>0.01</v>
      </c>
      <c r="L38">
        <f t="shared" si="2"/>
        <v>-14499.983720985108</v>
      </c>
      <c r="M38">
        <f t="shared" si="3"/>
        <v>7067.6556092647897</v>
      </c>
      <c r="N38">
        <f t="shared" si="7"/>
        <v>3.1374056432721953E-2</v>
      </c>
      <c r="O38">
        <f t="shared" si="8"/>
        <v>1</v>
      </c>
      <c r="P38">
        <f t="shared" si="9"/>
        <v>1251.8742771274033</v>
      </c>
    </row>
    <row r="39" spans="3:16" x14ac:dyDescent="0.25">
      <c r="C39">
        <v>1.0999999999999999E-2</v>
      </c>
      <c r="D39">
        <f t="shared" si="0"/>
        <v>-12517.131885576706</v>
      </c>
      <c r="E39">
        <f t="shared" si="1"/>
        <v>5654.6581261422416</v>
      </c>
      <c r="F39">
        <f t="shared" si="4"/>
        <v>3.4921386899932294E-2</v>
      </c>
      <c r="G39">
        <f t="shared" si="5"/>
        <v>1</v>
      </c>
      <c r="H39">
        <f t="shared" si="6"/>
        <v>1056.7009425506512</v>
      </c>
      <c r="K39">
        <v>1.0999999999999999E-2</v>
      </c>
      <c r="L39">
        <f t="shared" si="2"/>
        <v>-14484.131885576706</v>
      </c>
      <c r="M39">
        <f t="shared" si="3"/>
        <v>7064.3539162135821</v>
      </c>
      <c r="N39">
        <f t="shared" si="7"/>
        <v>3.4483959814236242E-2</v>
      </c>
      <c r="O39">
        <f t="shared" si="8"/>
        <v>1</v>
      </c>
      <c r="P39">
        <f t="shared" si="9"/>
        <v>1311.8404376036174</v>
      </c>
    </row>
    <row r="40" spans="3:16" x14ac:dyDescent="0.25">
      <c r="C40">
        <v>1.2E-2</v>
      </c>
      <c r="D40">
        <f t="shared" si="0"/>
        <v>-12504.280050168303</v>
      </c>
      <c r="E40">
        <f t="shared" si="1"/>
        <v>5651.9812868633853</v>
      </c>
      <c r="F40">
        <f t="shared" si="4"/>
        <v>3.8065283071447853E-2</v>
      </c>
      <c r="G40">
        <f t="shared" si="5"/>
        <v>1</v>
      </c>
      <c r="H40">
        <f t="shared" si="6"/>
        <v>1102.7199891383889</v>
      </c>
      <c r="K40">
        <v>1.2E-2</v>
      </c>
      <c r="L40">
        <f t="shared" si="2"/>
        <v>-14468.280050168303</v>
      </c>
      <c r="M40">
        <f t="shared" si="3"/>
        <v>7061.0522231623736</v>
      </c>
      <c r="N40">
        <f t="shared" si="7"/>
        <v>3.7588862784522448E-2</v>
      </c>
      <c r="O40">
        <f t="shared" si="8"/>
        <v>1</v>
      </c>
      <c r="P40">
        <f t="shared" si="9"/>
        <v>1368.9860317540263</v>
      </c>
    </row>
    <row r="41" spans="3:16" x14ac:dyDescent="0.25">
      <c r="C41">
        <v>1.2999999999999999E-2</v>
      </c>
      <c r="D41">
        <f t="shared" si="0"/>
        <v>-12491.428214759901</v>
      </c>
      <c r="E41">
        <f t="shared" si="1"/>
        <v>5649.3044475845272</v>
      </c>
      <c r="F41">
        <f t="shared" si="4"/>
        <v>4.1204050015489657E-2</v>
      </c>
      <c r="G41">
        <f t="shared" si="5"/>
        <v>1</v>
      </c>
      <c r="H41">
        <f t="shared" si="6"/>
        <v>1146.7399240189909</v>
      </c>
      <c r="K41">
        <v>1.2999999999999999E-2</v>
      </c>
      <c r="L41">
        <f t="shared" si="2"/>
        <v>-14452.428214759901</v>
      </c>
      <c r="M41">
        <f t="shared" si="3"/>
        <v>7057.7505301111651</v>
      </c>
      <c r="N41">
        <f t="shared" si="7"/>
        <v>4.0688765343579347E-2</v>
      </c>
      <c r="O41">
        <f t="shared" si="8"/>
        <v>1</v>
      </c>
      <c r="P41">
        <f t="shared" si="9"/>
        <v>1423.6510712447769</v>
      </c>
    </row>
    <row r="42" spans="3:16" x14ac:dyDescent="0.25">
      <c r="C42">
        <v>1.4E-2</v>
      </c>
      <c r="D42">
        <f t="shared" si="0"/>
        <v>-12478.576379351498</v>
      </c>
      <c r="E42">
        <f t="shared" si="1"/>
        <v>5646.62760830567</v>
      </c>
      <c r="F42">
        <f t="shared" si="4"/>
        <v>4.4337687732057818E-2</v>
      </c>
      <c r="G42">
        <f t="shared" si="5"/>
        <v>1</v>
      </c>
      <c r="H42">
        <f t="shared" si="6"/>
        <v>1188.9830609041226</v>
      </c>
      <c r="K42">
        <v>1.4E-2</v>
      </c>
      <c r="L42">
        <f t="shared" si="2"/>
        <v>-14436.576379351498</v>
      </c>
      <c r="M42">
        <f t="shared" si="3"/>
        <v>7054.4488370599574</v>
      </c>
      <c r="N42">
        <f t="shared" si="7"/>
        <v>4.3783667491408385E-2</v>
      </c>
      <c r="O42">
        <f t="shared" si="8"/>
        <v>1</v>
      </c>
      <c r="P42">
        <f t="shared" si="9"/>
        <v>1476.1114755806013</v>
      </c>
    </row>
    <row r="43" spans="3:16" x14ac:dyDescent="0.25">
      <c r="C43">
        <v>1.4999999999999999E-2</v>
      </c>
      <c r="D43">
        <f t="shared" si="0"/>
        <v>-12465.724543943095</v>
      </c>
      <c r="E43">
        <f t="shared" si="1"/>
        <v>5643.9507690268128</v>
      </c>
      <c r="F43">
        <f t="shared" si="4"/>
        <v>4.7466196221152446E-2</v>
      </c>
      <c r="G43">
        <f t="shared" si="5"/>
        <v>1</v>
      </c>
      <c r="H43">
        <f t="shared" si="6"/>
        <v>1229.6327792419404</v>
      </c>
      <c r="K43">
        <v>1.4999999999999999E-2</v>
      </c>
      <c r="L43">
        <f t="shared" si="2"/>
        <v>-14420.724543943095</v>
      </c>
      <c r="M43">
        <f t="shared" si="3"/>
        <v>7051.1471440087498</v>
      </c>
      <c r="N43">
        <f t="shared" si="7"/>
        <v>4.6873569228008005E-2</v>
      </c>
      <c r="O43">
        <f t="shared" si="8"/>
        <v>1</v>
      </c>
      <c r="P43">
        <f t="shared" si="9"/>
        <v>1526.5948393692331</v>
      </c>
    </row>
    <row r="44" spans="3:16" x14ac:dyDescent="0.25">
      <c r="C44">
        <v>1.6E-2</v>
      </c>
      <c r="D44">
        <f t="shared" si="0"/>
        <v>-12452.872708534693</v>
      </c>
      <c r="E44">
        <f t="shared" si="1"/>
        <v>5641.2739297479557</v>
      </c>
      <c r="F44">
        <f t="shared" si="4"/>
        <v>5.0589575482773208E-2</v>
      </c>
      <c r="G44">
        <f t="shared" si="5"/>
        <v>1</v>
      </c>
      <c r="H44">
        <f t="shared" si="6"/>
        <v>1268.8424689114552</v>
      </c>
      <c r="K44">
        <v>1.6E-2</v>
      </c>
      <c r="L44">
        <f t="shared" si="2"/>
        <v>-14404.872708534693</v>
      </c>
      <c r="M44">
        <f t="shared" si="3"/>
        <v>7047.8454509575413</v>
      </c>
      <c r="N44">
        <f t="shared" si="7"/>
        <v>4.9958470553379652E-2</v>
      </c>
      <c r="O44">
        <f t="shared" si="8"/>
        <v>1</v>
      </c>
      <c r="P44">
        <f t="shared" si="9"/>
        <v>1575.291534651491</v>
      </c>
    </row>
    <row r="45" spans="3:16" x14ac:dyDescent="0.25">
      <c r="C45">
        <v>1.7000000000000001E-2</v>
      </c>
      <c r="D45">
        <f t="shared" si="0"/>
        <v>-12440.02087312629</v>
      </c>
      <c r="E45">
        <f t="shared" si="1"/>
        <v>5638.5970904690985</v>
      </c>
      <c r="F45">
        <f t="shared" si="4"/>
        <v>5.3707825516920327E-2</v>
      </c>
      <c r="G45">
        <f t="shared" si="5"/>
        <v>1</v>
      </c>
      <c r="H45">
        <f t="shared" si="6"/>
        <v>1306.7419927527237</v>
      </c>
      <c r="K45">
        <v>1.7000000000000001E-2</v>
      </c>
      <c r="L45">
        <f t="shared" si="2"/>
        <v>-14389.02087312629</v>
      </c>
      <c r="M45">
        <f t="shared" si="3"/>
        <v>7044.5437579063328</v>
      </c>
      <c r="N45">
        <f t="shared" si="7"/>
        <v>5.3038371467521772E-2</v>
      </c>
      <c r="O45">
        <f t="shared" si="8"/>
        <v>1</v>
      </c>
      <c r="P45">
        <f t="shared" si="9"/>
        <v>1622.3627322822222</v>
      </c>
    </row>
    <row r="46" spans="3:16" x14ac:dyDescent="0.25">
      <c r="C46">
        <v>1.7999999999999999E-2</v>
      </c>
      <c r="D46">
        <f t="shared" si="0"/>
        <v>-12427.169037717889</v>
      </c>
      <c r="E46">
        <f t="shared" si="1"/>
        <v>5635.9202511902413</v>
      </c>
      <c r="F46">
        <f t="shared" si="4"/>
        <v>5.6820946323593469E-2</v>
      </c>
      <c r="G46">
        <f t="shared" si="5"/>
        <v>1</v>
      </c>
      <c r="H46">
        <f t="shared" si="6"/>
        <v>1343.4424604725637</v>
      </c>
      <c r="K46">
        <v>1.7999999999999999E-2</v>
      </c>
      <c r="L46">
        <f t="shared" si="2"/>
        <v>-14373.169037717889</v>
      </c>
      <c r="M46">
        <f t="shared" si="3"/>
        <v>7041.2420648551251</v>
      </c>
      <c r="N46">
        <f t="shared" si="7"/>
        <v>5.6113271970435585E-2</v>
      </c>
      <c r="O46">
        <f t="shared" si="8"/>
        <v>1</v>
      </c>
      <c r="P46">
        <f t="shared" si="9"/>
        <v>1667.946327339529</v>
      </c>
    </row>
    <row r="47" spans="3:16" x14ac:dyDescent="0.25">
      <c r="C47">
        <v>1.9E-2</v>
      </c>
      <c r="D47">
        <f t="shared" si="0"/>
        <v>-12414.317202309487</v>
      </c>
      <c r="E47">
        <f t="shared" si="1"/>
        <v>5633.2434119113841</v>
      </c>
      <c r="F47">
        <f t="shared" si="4"/>
        <v>5.99289379027933E-2</v>
      </c>
      <c r="G47">
        <f t="shared" si="5"/>
        <v>1</v>
      </c>
      <c r="H47">
        <f t="shared" si="6"/>
        <v>1379.0398239674403</v>
      </c>
      <c r="K47">
        <v>1.9E-2</v>
      </c>
      <c r="L47">
        <f t="shared" si="2"/>
        <v>-14357.317202309487</v>
      </c>
      <c r="M47">
        <f t="shared" si="3"/>
        <v>7037.9403718039175</v>
      </c>
      <c r="N47">
        <f t="shared" si="7"/>
        <v>5.9183172062121092E-2</v>
      </c>
      <c r="O47">
        <f t="shared" si="8"/>
        <v>1</v>
      </c>
      <c r="P47">
        <f t="shared" si="9"/>
        <v>1712.1614016464416</v>
      </c>
    </row>
    <row r="48" spans="3:16" x14ac:dyDescent="0.25">
      <c r="C48">
        <v>0.02</v>
      </c>
      <c r="D48">
        <f t="shared" si="0"/>
        <v>-12401.465366901084</v>
      </c>
      <c r="E48">
        <f t="shared" si="1"/>
        <v>5630.5665726325269</v>
      </c>
      <c r="F48">
        <f t="shared" si="4"/>
        <v>6.3031800254519488E-2</v>
      </c>
      <c r="G48">
        <f t="shared" si="5"/>
        <v>1</v>
      </c>
      <c r="H48">
        <f t="shared" si="6"/>
        <v>1413.617631429443</v>
      </c>
      <c r="K48">
        <v>0.02</v>
      </c>
      <c r="L48">
        <f t="shared" si="2"/>
        <v>-14341.465366901084</v>
      </c>
      <c r="M48">
        <f t="shared" si="3"/>
        <v>7034.638678752709</v>
      </c>
      <c r="N48">
        <f t="shared" si="7"/>
        <v>6.2248071742577515E-2</v>
      </c>
      <c r="O48">
        <f t="shared" si="8"/>
        <v>1</v>
      </c>
      <c r="P48">
        <f t="shared" si="9"/>
        <v>1755.1116421564834</v>
      </c>
    </row>
    <row r="49" spans="3:16" x14ac:dyDescent="0.25">
      <c r="C49">
        <v>2.1000000000000001E-2</v>
      </c>
      <c r="D49">
        <f t="shared" si="0"/>
        <v>-12388.613531492681</v>
      </c>
      <c r="E49">
        <f t="shared" si="1"/>
        <v>5627.8897333536697</v>
      </c>
      <c r="F49">
        <f t="shared" si="4"/>
        <v>6.6129533378771921E-2</v>
      </c>
      <c r="G49">
        <f t="shared" si="5"/>
        <v>1</v>
      </c>
      <c r="H49">
        <f t="shared" si="6"/>
        <v>1447.2491690658428</v>
      </c>
      <c r="K49">
        <v>2.1000000000000001E-2</v>
      </c>
      <c r="L49">
        <f t="shared" si="2"/>
        <v>-14325.613531492681</v>
      </c>
      <c r="M49">
        <f t="shared" si="3"/>
        <v>7031.3369857015005</v>
      </c>
      <c r="N49">
        <f t="shared" si="7"/>
        <v>6.5307971011805743E-2</v>
      </c>
      <c r="O49">
        <f t="shared" si="8"/>
        <v>1</v>
      </c>
      <c r="P49">
        <f t="shared" si="9"/>
        <v>1796.8879992350328</v>
      </c>
    </row>
    <row r="50" spans="3:16" x14ac:dyDescent="0.25">
      <c r="C50">
        <v>2.1999999999999999E-2</v>
      </c>
      <c r="D50">
        <f t="shared" si="0"/>
        <v>-12375.761696084279</v>
      </c>
      <c r="E50">
        <f t="shared" si="1"/>
        <v>5625.2128940748116</v>
      </c>
      <c r="F50">
        <f t="shared" si="4"/>
        <v>6.922213727555071E-2</v>
      </c>
      <c r="G50">
        <f t="shared" si="5"/>
        <v>1</v>
      </c>
      <c r="H50">
        <f t="shared" si="6"/>
        <v>1479.9991491311559</v>
      </c>
      <c r="K50">
        <v>2.1999999999999999E-2</v>
      </c>
      <c r="L50">
        <f t="shared" si="2"/>
        <v>-14309.761696084279</v>
      </c>
      <c r="M50">
        <f t="shared" si="3"/>
        <v>7028.0352926502928</v>
      </c>
      <c r="N50">
        <f t="shared" si="7"/>
        <v>6.8362869869804777E-2</v>
      </c>
      <c r="O50">
        <f t="shared" si="8"/>
        <v>1</v>
      </c>
      <c r="P50">
        <f t="shared" si="9"/>
        <v>1837.5707818182516</v>
      </c>
    </row>
    <row r="51" spans="3:16" x14ac:dyDescent="0.25">
      <c r="C51">
        <v>2.3E-2</v>
      </c>
      <c r="D51">
        <f t="shared" si="0"/>
        <v>-12362.909860675876</v>
      </c>
      <c r="E51">
        <f t="shared" si="1"/>
        <v>5622.5360547959554</v>
      </c>
      <c r="F51">
        <f t="shared" si="4"/>
        <v>7.2309611944855856E-2</v>
      </c>
      <c r="G51">
        <f t="shared" si="5"/>
        <v>1</v>
      </c>
      <c r="H51">
        <f t="shared" si="6"/>
        <v>1511.925056531808</v>
      </c>
      <c r="K51">
        <v>2.3E-2</v>
      </c>
      <c r="L51">
        <f t="shared" si="2"/>
        <v>-14293.909860675876</v>
      </c>
      <c r="M51">
        <f t="shared" si="3"/>
        <v>7024.7335995990852</v>
      </c>
      <c r="N51">
        <f t="shared" si="7"/>
        <v>7.1412768316575725E-2</v>
      </c>
      <c r="O51">
        <f t="shared" si="8"/>
        <v>1</v>
      </c>
      <c r="P51">
        <f t="shared" si="9"/>
        <v>1877.2313287898937</v>
      </c>
    </row>
    <row r="52" spans="3:16" x14ac:dyDescent="0.25">
      <c r="C52">
        <v>2.4E-2</v>
      </c>
      <c r="D52">
        <f t="shared" si="0"/>
        <v>-12350.058025267474</v>
      </c>
      <c r="E52">
        <f t="shared" si="1"/>
        <v>5619.8592155170973</v>
      </c>
      <c r="F52">
        <f t="shared" si="4"/>
        <v>7.5391957386687247E-2</v>
      </c>
      <c r="G52">
        <f t="shared" si="5"/>
        <v>1</v>
      </c>
      <c r="H52">
        <f t="shared" si="6"/>
        <v>1543.0782348341979</v>
      </c>
      <c r="K52">
        <v>2.4E-2</v>
      </c>
      <c r="L52">
        <f t="shared" si="2"/>
        <v>-14278.058025267474</v>
      </c>
      <c r="M52">
        <f t="shared" si="3"/>
        <v>7021.4319065478767</v>
      </c>
      <c r="N52">
        <f t="shared" si="7"/>
        <v>7.4457666352117369E-2</v>
      </c>
      <c r="O52">
        <f t="shared" si="8"/>
        <v>1</v>
      </c>
      <c r="P52">
        <f t="shared" si="9"/>
        <v>1915.9333569047446</v>
      </c>
    </row>
    <row r="53" spans="3:16" x14ac:dyDescent="0.25">
      <c r="C53">
        <v>2.5000000000000001E-2</v>
      </c>
      <c r="D53">
        <f t="shared" si="0"/>
        <v>-12337.206189859071</v>
      </c>
      <c r="E53">
        <f t="shared" si="1"/>
        <v>5617.1823762382401</v>
      </c>
      <c r="F53">
        <f t="shared" si="4"/>
        <v>7.8469173601045217E-2</v>
      </c>
      <c r="G53">
        <f t="shared" si="5"/>
        <v>1</v>
      </c>
      <c r="H53">
        <f t="shared" si="6"/>
        <v>1573.5047708147633</v>
      </c>
      <c r="K53">
        <v>2.5000000000000001E-2</v>
      </c>
      <c r="L53">
        <f t="shared" si="2"/>
        <v>-14262.206189859071</v>
      </c>
      <c r="M53">
        <f t="shared" si="3"/>
        <v>7018.1302134966681</v>
      </c>
      <c r="N53">
        <f t="shared" si="7"/>
        <v>7.7497563976431039E-2</v>
      </c>
      <c r="O53">
        <f t="shared" si="8"/>
        <v>1</v>
      </c>
      <c r="P53">
        <f t="shared" si="9"/>
        <v>1953.7340586628472</v>
      </c>
    </row>
    <row r="54" spans="3:16" x14ac:dyDescent="0.25">
      <c r="C54">
        <v>2.5999999999999999E-2</v>
      </c>
      <c r="D54">
        <f t="shared" si="0"/>
        <v>-12324.354354450668</v>
      </c>
      <c r="E54">
        <f t="shared" si="1"/>
        <v>5614.5055369593829</v>
      </c>
      <c r="F54">
        <f t="shared" si="4"/>
        <v>8.1541260587929321E-2</v>
      </c>
      <c r="G54">
        <f t="shared" si="5"/>
        <v>1</v>
      </c>
      <c r="H54">
        <f t="shared" si="6"/>
        <v>1603.24622145133</v>
      </c>
      <c r="K54">
        <v>2.5999999999999999E-2</v>
      </c>
      <c r="L54">
        <f t="shared" si="2"/>
        <v>-14246.354354450668</v>
      </c>
      <c r="M54">
        <f t="shared" si="3"/>
        <v>7014.8285204454605</v>
      </c>
      <c r="N54">
        <f t="shared" si="7"/>
        <v>8.0532461189515403E-2</v>
      </c>
      <c r="O54">
        <f t="shared" si="8"/>
        <v>1</v>
      </c>
      <c r="P54">
        <f t="shared" si="9"/>
        <v>1990.6850046227278</v>
      </c>
    </row>
    <row r="55" spans="3:16" x14ac:dyDescent="0.25">
      <c r="C55">
        <v>2.7E-2</v>
      </c>
      <c r="D55">
        <f t="shared" si="0"/>
        <v>-12311.502519042266</v>
      </c>
      <c r="E55">
        <f t="shared" si="1"/>
        <v>5611.8286976805257</v>
      </c>
      <c r="F55">
        <f t="shared" si="4"/>
        <v>8.460821834733967E-2</v>
      </c>
      <c r="G55">
        <f t="shared" si="5"/>
        <v>1</v>
      </c>
      <c r="H55">
        <f t="shared" si="6"/>
        <v>1632.3402163756518</v>
      </c>
      <c r="K55">
        <v>2.7E-2</v>
      </c>
      <c r="L55">
        <f t="shared" si="2"/>
        <v>-14230.502519042266</v>
      </c>
      <c r="M55">
        <f t="shared" si="3"/>
        <v>7011.5268273942529</v>
      </c>
      <c r="N55">
        <f t="shared" si="7"/>
        <v>8.3562357991371794E-2</v>
      </c>
      <c r="O55">
        <f t="shared" si="8"/>
        <v>1</v>
      </c>
      <c r="P55">
        <f t="shared" si="9"/>
        <v>2026.8328911384917</v>
      </c>
    </row>
    <row r="56" spans="3:16" x14ac:dyDescent="0.25">
      <c r="C56">
        <v>2.8000000000000001E-2</v>
      </c>
      <c r="D56">
        <f t="shared" si="0"/>
        <v>-12298.650683633863</v>
      </c>
      <c r="E56">
        <f t="shared" si="1"/>
        <v>5609.1518584016685</v>
      </c>
      <c r="F56">
        <f t="shared" si="4"/>
        <v>8.7670046879276486E-2</v>
      </c>
      <c r="G56">
        <f t="shared" si="5"/>
        <v>1</v>
      </c>
      <c r="H56">
        <f t="shared" si="6"/>
        <v>1660.8209609252463</v>
      </c>
      <c r="K56">
        <v>2.8000000000000001E-2</v>
      </c>
      <c r="L56">
        <f t="shared" si="2"/>
        <v>-14214.650683633863</v>
      </c>
      <c r="M56">
        <f t="shared" si="3"/>
        <v>7008.2251343430444</v>
      </c>
      <c r="N56">
        <f t="shared" si="7"/>
        <v>8.6587254381998768E-2</v>
      </c>
      <c r="O56">
        <f t="shared" si="8"/>
        <v>1</v>
      </c>
      <c r="P56">
        <f t="shared" si="9"/>
        <v>2062.2201647221841</v>
      </c>
    </row>
    <row r="57" spans="3:16" x14ac:dyDescent="0.25">
      <c r="C57">
        <v>2.9000000000000001E-2</v>
      </c>
      <c r="D57">
        <f t="shared" si="0"/>
        <v>-12285.79884822546</v>
      </c>
      <c r="E57">
        <f t="shared" si="1"/>
        <v>5606.4750191228104</v>
      </c>
      <c r="F57">
        <f t="shared" si="4"/>
        <v>9.0726746183739548E-2</v>
      </c>
      <c r="G57">
        <f t="shared" si="5"/>
        <v>1</v>
      </c>
      <c r="H57">
        <f t="shared" si="6"/>
        <v>1688.7196591455809</v>
      </c>
      <c r="K57">
        <v>2.9000000000000001E-2</v>
      </c>
      <c r="L57">
        <f t="shared" si="2"/>
        <v>-14198.79884822546</v>
      </c>
      <c r="M57">
        <f t="shared" si="3"/>
        <v>7004.9234412918358</v>
      </c>
      <c r="N57">
        <f t="shared" si="7"/>
        <v>8.960715036139788E-2</v>
      </c>
      <c r="O57">
        <f t="shared" si="8"/>
        <v>1</v>
      </c>
      <c r="P57">
        <f t="shared" si="9"/>
        <v>2096.8855470502554</v>
      </c>
    </row>
    <row r="58" spans="3:16" x14ac:dyDescent="0.25">
      <c r="C58">
        <v>0.03</v>
      </c>
      <c r="D58">
        <f t="shared" si="0"/>
        <v>-12272.94701281706</v>
      </c>
      <c r="E58">
        <f t="shared" si="1"/>
        <v>5603.7981798439541</v>
      </c>
      <c r="F58">
        <f t="shared" si="4"/>
        <v>9.3778316260728634E-2</v>
      </c>
      <c r="G58">
        <f t="shared" si="5"/>
        <v>1</v>
      </c>
      <c r="H58">
        <f t="shared" si="6"/>
        <v>1716.0648717916683</v>
      </c>
      <c r="K58">
        <v>0.03</v>
      </c>
      <c r="L58">
        <f t="shared" si="2"/>
        <v>-14182.94701281706</v>
      </c>
      <c r="M58">
        <f t="shared" si="3"/>
        <v>7001.6217482406282</v>
      </c>
      <c r="N58">
        <f t="shared" si="7"/>
        <v>9.2622045929567465E-2</v>
      </c>
      <c r="O58">
        <f t="shared" si="8"/>
        <v>1</v>
      </c>
      <c r="P58">
        <f t="shared" si="9"/>
        <v>2130.8644792927212</v>
      </c>
    </row>
    <row r="59" spans="3:16" x14ac:dyDescent="0.25">
      <c r="C59">
        <v>3.1E-2</v>
      </c>
      <c r="D59">
        <f t="shared" si="0"/>
        <v>-12260.095177408657</v>
      </c>
      <c r="E59">
        <f t="shared" si="1"/>
        <v>5601.121340565096</v>
      </c>
      <c r="F59">
        <f t="shared" si="4"/>
        <v>9.6824757110244408E-2</v>
      </c>
      <c r="G59">
        <f t="shared" si="5"/>
        <v>1</v>
      </c>
      <c r="H59">
        <f t="shared" si="6"/>
        <v>1742.8828211434991</v>
      </c>
      <c r="K59">
        <v>3.1E-2</v>
      </c>
      <c r="L59">
        <f t="shared" si="2"/>
        <v>-14167.095177408657</v>
      </c>
      <c r="M59">
        <f t="shared" si="3"/>
        <v>6998.3200551894206</v>
      </c>
      <c r="N59">
        <f t="shared" si="7"/>
        <v>9.5631941086508521E-2</v>
      </c>
      <c r="O59">
        <f t="shared" si="8"/>
        <v>1</v>
      </c>
      <c r="P59">
        <f t="shared" si="9"/>
        <v>2164.1895004293456</v>
      </c>
    </row>
    <row r="60" spans="3:16" x14ac:dyDescent="0.25">
      <c r="C60">
        <v>3.2000000000000001E-2</v>
      </c>
      <c r="D60">
        <f t="shared" si="0"/>
        <v>-12247.243342000254</v>
      </c>
      <c r="E60">
        <f t="shared" si="1"/>
        <v>5598.4445012862398</v>
      </c>
      <c r="F60">
        <f t="shared" si="4"/>
        <v>9.9866068732286539E-2</v>
      </c>
      <c r="G60">
        <f t="shared" si="5"/>
        <v>1</v>
      </c>
      <c r="H60">
        <f t="shared" si="6"/>
        <v>1769.1976519919153</v>
      </c>
      <c r="K60">
        <v>3.2000000000000001E-2</v>
      </c>
      <c r="L60">
        <f t="shared" si="2"/>
        <v>-14151.243342000254</v>
      </c>
      <c r="M60">
        <f t="shared" si="3"/>
        <v>6995.0183621382121</v>
      </c>
      <c r="N60">
        <f t="shared" si="7"/>
        <v>9.8636835832221492E-2</v>
      </c>
      <c r="O60">
        <f t="shared" si="8"/>
        <v>1</v>
      </c>
      <c r="P60">
        <f t="shared" si="9"/>
        <v>2196.8905711659586</v>
      </c>
    </row>
    <row r="61" spans="3:16" x14ac:dyDescent="0.25">
      <c r="C61">
        <v>3.3000000000000002E-2</v>
      </c>
      <c r="D61">
        <f t="shared" si="0"/>
        <v>-12234.391506591852</v>
      </c>
      <c r="E61">
        <f t="shared" si="1"/>
        <v>5595.7676620073817</v>
      </c>
      <c r="F61">
        <f t="shared" si="4"/>
        <v>0.10290225112685492</v>
      </c>
      <c r="G61">
        <f t="shared" si="5"/>
        <v>1</v>
      </c>
      <c r="H61">
        <f t="shared" si="6"/>
        <v>1795.0316562656221</v>
      </c>
      <c r="K61">
        <v>3.3000000000000002E-2</v>
      </c>
      <c r="L61">
        <f t="shared" si="2"/>
        <v>-14135.391506591852</v>
      </c>
      <c r="M61">
        <f t="shared" si="3"/>
        <v>6991.7166690870035</v>
      </c>
      <c r="N61">
        <f t="shared" si="7"/>
        <v>0.10163673016670527</v>
      </c>
      <c r="O61">
        <f t="shared" si="8"/>
        <v>1</v>
      </c>
      <c r="P61">
        <f t="shared" si="9"/>
        <v>2228.9953527235448</v>
      </c>
    </row>
    <row r="62" spans="3:16" x14ac:dyDescent="0.25">
      <c r="C62">
        <v>3.4000000000000002E-2</v>
      </c>
      <c r="D62">
        <f t="shared" si="0"/>
        <v>-12221.539671183449</v>
      </c>
      <c r="E62">
        <f t="shared" si="1"/>
        <v>5593.0908227285254</v>
      </c>
      <c r="F62">
        <f t="shared" si="4"/>
        <v>0.10593330429394965</v>
      </c>
      <c r="G62">
        <f t="shared" si="5"/>
        <v>1</v>
      </c>
      <c r="H62">
        <f t="shared" si="6"/>
        <v>1820.4054673095998</v>
      </c>
      <c r="K62">
        <v>3.4000000000000002E-2</v>
      </c>
      <c r="L62">
        <f t="shared" si="2"/>
        <v>-14119.539671183449</v>
      </c>
      <c r="M62">
        <f t="shared" si="3"/>
        <v>6988.4149760357959</v>
      </c>
      <c r="N62">
        <f t="shared" si="7"/>
        <v>0.10463162408996096</v>
      </c>
      <c r="O62">
        <f t="shared" si="8"/>
        <v>1</v>
      </c>
      <c r="P62">
        <f t="shared" si="9"/>
        <v>2260.5294479599947</v>
      </c>
    </row>
    <row r="63" spans="3:16" x14ac:dyDescent="0.25">
      <c r="C63">
        <v>3.5000000000000003E-2</v>
      </c>
      <c r="D63">
        <f t="shared" si="0"/>
        <v>-12208.687835775047</v>
      </c>
      <c r="E63">
        <f t="shared" si="1"/>
        <v>5590.4139834496673</v>
      </c>
      <c r="F63">
        <f t="shared" si="4"/>
        <v>0.10895922823357074</v>
      </c>
      <c r="G63">
        <f t="shared" si="5"/>
        <v>1</v>
      </c>
      <c r="H63">
        <f t="shared" si="6"/>
        <v>1845.3382286846945</v>
      </c>
      <c r="K63">
        <v>3.5000000000000003E-2</v>
      </c>
      <c r="L63">
        <f t="shared" si="2"/>
        <v>-14103.687835775047</v>
      </c>
      <c r="M63">
        <f t="shared" si="3"/>
        <v>6985.1132829845883</v>
      </c>
      <c r="N63">
        <f t="shared" si="7"/>
        <v>0.10762151760198735</v>
      </c>
      <c r="O63">
        <f t="shared" si="8"/>
        <v>1</v>
      </c>
      <c r="P63">
        <f t="shared" si="9"/>
        <v>2291.5166108686644</v>
      </c>
    </row>
    <row r="64" spans="3:16" x14ac:dyDescent="0.25">
      <c r="C64">
        <v>3.5999999999999997E-2</v>
      </c>
      <c r="D64">
        <f t="shared" si="0"/>
        <v>-12195.836000366644</v>
      </c>
      <c r="E64">
        <f t="shared" si="1"/>
        <v>5587.7371441708101</v>
      </c>
      <c r="F64">
        <f t="shared" si="4"/>
        <v>0.11198002294571818</v>
      </c>
      <c r="G64">
        <f t="shared" si="5"/>
        <v>1</v>
      </c>
      <c r="H64">
        <f t="shared" si="6"/>
        <v>1869.8477414604215</v>
      </c>
      <c r="K64">
        <v>3.5999999999999997E-2</v>
      </c>
      <c r="L64">
        <f t="shared" si="2"/>
        <v>-14087.836000366644</v>
      </c>
      <c r="M64">
        <f t="shared" si="3"/>
        <v>6981.8115899333798</v>
      </c>
      <c r="N64">
        <f t="shared" si="7"/>
        <v>0.11060641070278576</v>
      </c>
      <c r="O64">
        <f t="shared" si="8"/>
        <v>1</v>
      </c>
      <c r="P64">
        <f t="shared" si="9"/>
        <v>2321.9789293839185</v>
      </c>
    </row>
    <row r="65" spans="3:16" x14ac:dyDescent="0.25">
      <c r="C65">
        <v>3.6999999999999998E-2</v>
      </c>
      <c r="D65">
        <f t="shared" si="0"/>
        <v>-12182.984164958241</v>
      </c>
      <c r="E65">
        <f t="shared" si="1"/>
        <v>5585.0603048919529</v>
      </c>
      <c r="F65">
        <f t="shared" si="4"/>
        <v>0.11499568843039187</v>
      </c>
      <c r="G65">
        <f t="shared" si="5"/>
        <v>1</v>
      </c>
      <c r="H65">
        <f t="shared" si="6"/>
        <v>1893.9505932609602</v>
      </c>
      <c r="K65">
        <v>3.6999999999999998E-2</v>
      </c>
      <c r="L65">
        <f t="shared" si="2"/>
        <v>-14071.984164958241</v>
      </c>
      <c r="M65">
        <f t="shared" si="3"/>
        <v>6978.5098968821712</v>
      </c>
      <c r="N65">
        <f t="shared" si="7"/>
        <v>0.11358630339235476</v>
      </c>
      <c r="O65">
        <f t="shared" si="8"/>
        <v>1</v>
      </c>
      <c r="P65">
        <f t="shared" si="9"/>
        <v>2351.9369855396521</v>
      </c>
    </row>
    <row r="66" spans="3:16" x14ac:dyDescent="0.25">
      <c r="C66">
        <v>3.7999999999999999E-2</v>
      </c>
      <c r="D66">
        <f t="shared" si="0"/>
        <v>-12170.132329549839</v>
      </c>
      <c r="E66">
        <f t="shared" si="1"/>
        <v>5582.3834656130957</v>
      </c>
      <c r="F66">
        <f t="shared" si="4"/>
        <v>0.11800622468759192</v>
      </c>
      <c r="G66">
        <f t="shared" si="5"/>
        <v>1</v>
      </c>
      <c r="H66">
        <f t="shared" si="6"/>
        <v>1917.6622717557138</v>
      </c>
      <c r="K66">
        <v>3.7999999999999999E-2</v>
      </c>
      <c r="L66">
        <f t="shared" si="2"/>
        <v>-14056.132329549839</v>
      </c>
      <c r="M66">
        <f t="shared" si="3"/>
        <v>6975.2082038309636</v>
      </c>
      <c r="N66">
        <f t="shared" si="7"/>
        <v>0.11656119567069589</v>
      </c>
      <c r="O66">
        <f t="shared" si="8"/>
        <v>1</v>
      </c>
      <c r="P66">
        <f t="shared" si="9"/>
        <v>2381.4099963214635</v>
      </c>
    </row>
    <row r="67" spans="3:16" x14ac:dyDescent="0.25">
      <c r="C67">
        <v>3.9E-2</v>
      </c>
      <c r="D67">
        <f t="shared" si="0"/>
        <v>-12157.280494141436</v>
      </c>
      <c r="E67">
        <f t="shared" si="1"/>
        <v>5579.7066263342385</v>
      </c>
      <c r="F67">
        <f t="shared" si="4"/>
        <v>0.12101163171731832</v>
      </c>
      <c r="G67">
        <f t="shared" si="5"/>
        <v>1</v>
      </c>
      <c r="H67">
        <f t="shared" si="6"/>
        <v>1940.9972648286316</v>
      </c>
      <c r="K67">
        <v>3.9E-2</v>
      </c>
      <c r="L67">
        <f t="shared" si="2"/>
        <v>-14040.280494141436</v>
      </c>
      <c r="M67">
        <f t="shared" si="3"/>
        <v>6971.906510779756</v>
      </c>
      <c r="N67">
        <f t="shared" si="7"/>
        <v>0.11953108753780761</v>
      </c>
      <c r="O67">
        <f t="shared" si="8"/>
        <v>1</v>
      </c>
      <c r="P67">
        <f t="shared" si="9"/>
        <v>2410.4159379852608</v>
      </c>
    </row>
    <row r="68" spans="3:16" x14ac:dyDescent="0.25">
      <c r="C68">
        <v>0.04</v>
      </c>
      <c r="D68">
        <f t="shared" si="0"/>
        <v>-12144.428658733033</v>
      </c>
      <c r="E68">
        <f t="shared" si="1"/>
        <v>5577.0297870553804</v>
      </c>
      <c r="F68">
        <f t="shared" si="4"/>
        <v>0.12401190951957108</v>
      </c>
      <c r="G68">
        <f t="shared" si="5"/>
        <v>1</v>
      </c>
      <c r="H68">
        <f t="shared" si="6"/>
        <v>1963.9691492907164</v>
      </c>
      <c r="K68">
        <v>0.04</v>
      </c>
      <c r="L68">
        <f t="shared" si="2"/>
        <v>-14024.428658733033</v>
      </c>
      <c r="M68">
        <f t="shared" si="3"/>
        <v>6968.6048177285475</v>
      </c>
      <c r="N68">
        <f t="shared" si="7"/>
        <v>0.12249597899369136</v>
      </c>
      <c r="O68">
        <f t="shared" si="8"/>
        <v>1</v>
      </c>
      <c r="P68">
        <f t="shared" si="9"/>
        <v>2438.9716561565906</v>
      </c>
    </row>
    <row r="69" spans="3:16" x14ac:dyDescent="0.25">
      <c r="C69">
        <v>4.1000000000000002E-2</v>
      </c>
      <c r="D69">
        <f t="shared" si="0"/>
        <v>-12131.576823324631</v>
      </c>
      <c r="E69">
        <f t="shared" si="1"/>
        <v>5574.3529477765242</v>
      </c>
      <c r="F69">
        <f t="shared" si="4"/>
        <v>0.1270070580943502</v>
      </c>
      <c r="G69">
        <f t="shared" si="5"/>
        <v>1</v>
      </c>
      <c r="H69">
        <f t="shared" si="6"/>
        <v>1986.5906696992176</v>
      </c>
      <c r="K69">
        <v>4.1000000000000002E-2</v>
      </c>
      <c r="L69">
        <f t="shared" si="2"/>
        <v>-14008.576823324631</v>
      </c>
      <c r="M69">
        <f t="shared" si="3"/>
        <v>6965.3031246773389</v>
      </c>
      <c r="N69">
        <f t="shared" si="7"/>
        <v>0.1254558700383458</v>
      </c>
      <c r="O69">
        <f t="shared" si="8"/>
        <v>1</v>
      </c>
      <c r="P69">
        <f t="shared" si="9"/>
        <v>2467.0929636509973</v>
      </c>
    </row>
    <row r="70" spans="3:16" x14ac:dyDescent="0.25">
      <c r="C70">
        <v>4.2000000000000003E-2</v>
      </c>
      <c r="D70">
        <f t="shared" si="0"/>
        <v>-12118.72498791623</v>
      </c>
      <c r="E70">
        <f t="shared" si="1"/>
        <v>5571.6761084976661</v>
      </c>
      <c r="F70">
        <f t="shared" si="4"/>
        <v>0.12999707744165512</v>
      </c>
      <c r="G70">
        <f t="shared" si="5"/>
        <v>1</v>
      </c>
      <c r="H70">
        <f t="shared" si="6"/>
        <v>2008.8738086008061</v>
      </c>
      <c r="K70">
        <v>4.2000000000000003E-2</v>
      </c>
      <c r="L70">
        <f t="shared" si="2"/>
        <v>-13992.72498791623</v>
      </c>
      <c r="M70">
        <f t="shared" si="3"/>
        <v>6962.0014316261313</v>
      </c>
      <c r="N70">
        <f t="shared" si="7"/>
        <v>0.12841076067177148</v>
      </c>
      <c r="O70">
        <f t="shared" si="8"/>
        <v>1</v>
      </c>
      <c r="P70">
        <f t="shared" si="9"/>
        <v>2494.7947276506238</v>
      </c>
    </row>
    <row r="71" spans="3:16" x14ac:dyDescent="0.25">
      <c r="C71">
        <v>4.2999999999999997E-2</v>
      </c>
      <c r="D71">
        <f t="shared" si="0"/>
        <v>-12105.873152507827</v>
      </c>
      <c r="E71">
        <f t="shared" si="1"/>
        <v>5568.9992692188098</v>
      </c>
      <c r="F71">
        <f t="shared" si="4"/>
        <v>0.13298196756148684</v>
      </c>
      <c r="G71">
        <f t="shared" si="5"/>
        <v>1</v>
      </c>
      <c r="H71">
        <f t="shared" si="6"/>
        <v>2030.8298493135537</v>
      </c>
      <c r="K71">
        <v>4.2999999999999997E-2</v>
      </c>
      <c r="L71">
        <f t="shared" si="2"/>
        <v>-13976.873152507827</v>
      </c>
      <c r="M71">
        <f t="shared" si="3"/>
        <v>6958.6997385749237</v>
      </c>
      <c r="N71">
        <f t="shared" si="7"/>
        <v>0.13136065089396931</v>
      </c>
      <c r="O71">
        <f t="shared" si="8"/>
        <v>1</v>
      </c>
      <c r="P71">
        <f t="shared" si="9"/>
        <v>2522.0909476204947</v>
      </c>
    </row>
    <row r="72" spans="3:16" x14ac:dyDescent="0.25">
      <c r="C72">
        <v>4.3999999999999997E-2</v>
      </c>
      <c r="D72">
        <f t="shared" si="0"/>
        <v>-12093.021317099425</v>
      </c>
      <c r="E72">
        <f t="shared" si="1"/>
        <v>5566.3224299399517</v>
      </c>
      <c r="F72">
        <f t="shared" si="4"/>
        <v>0.13596172845384491</v>
      </c>
      <c r="G72">
        <f t="shared" si="5"/>
        <v>1</v>
      </c>
      <c r="H72">
        <f t="shared" si="6"/>
        <v>2052.4694321950178</v>
      </c>
      <c r="K72">
        <v>4.3999999999999997E-2</v>
      </c>
      <c r="L72">
        <f t="shared" si="2"/>
        <v>-13961.021317099425</v>
      </c>
      <c r="M72">
        <f t="shared" si="3"/>
        <v>6955.3980455237152</v>
      </c>
      <c r="N72">
        <f t="shared" si="7"/>
        <v>0.13430554070493772</v>
      </c>
      <c r="O72">
        <f t="shared" si="8"/>
        <v>1</v>
      </c>
      <c r="P72">
        <f t="shared" si="9"/>
        <v>2548.9948251403844</v>
      </c>
    </row>
    <row r="73" spans="3:16" x14ac:dyDescent="0.25">
      <c r="C73">
        <v>4.4999999999999998E-2</v>
      </c>
      <c r="D73">
        <f t="shared" si="0"/>
        <v>-12080.169481691022</v>
      </c>
      <c r="E73">
        <f t="shared" si="1"/>
        <v>5563.6455906610945</v>
      </c>
      <c r="F73">
        <f t="shared" si="4"/>
        <v>0.13893636011872923</v>
      </c>
      <c r="G73">
        <f t="shared" si="5"/>
        <v>1</v>
      </c>
      <c r="H73">
        <f t="shared" si="6"/>
        <v>2073.8026052048731</v>
      </c>
      <c r="K73">
        <v>4.4999999999999998E-2</v>
      </c>
      <c r="L73">
        <f t="shared" si="2"/>
        <v>-13945.169481691022</v>
      </c>
      <c r="M73">
        <f t="shared" si="3"/>
        <v>6952.0963524725066</v>
      </c>
      <c r="N73">
        <f t="shared" si="7"/>
        <v>0.13724543010467816</v>
      </c>
      <c r="O73">
        <f t="shared" si="8"/>
        <v>1</v>
      </c>
      <c r="P73">
        <f t="shared" si="9"/>
        <v>2575.5188266556179</v>
      </c>
    </row>
    <row r="74" spans="3:16" x14ac:dyDescent="0.25">
      <c r="C74">
        <v>4.5999999999999999E-2</v>
      </c>
      <c r="D74">
        <f t="shared" si="0"/>
        <v>-12067.31764628262</v>
      </c>
      <c r="E74">
        <f t="shared" si="1"/>
        <v>5560.9687513822373</v>
      </c>
      <c r="F74">
        <f t="shared" si="4"/>
        <v>0.14190586255614002</v>
      </c>
      <c r="G74">
        <f t="shared" si="5"/>
        <v>1</v>
      </c>
      <c r="H74">
        <f t="shared" si="6"/>
        <v>2094.8388694543414</v>
      </c>
      <c r="K74">
        <v>4.5999999999999999E-2</v>
      </c>
      <c r="L74">
        <f t="shared" si="2"/>
        <v>-13929.31764628262</v>
      </c>
      <c r="M74">
        <f t="shared" si="3"/>
        <v>6948.794659421299</v>
      </c>
      <c r="N74">
        <f t="shared" si="7"/>
        <v>0.14018031909318929</v>
      </c>
      <c r="O74">
        <f t="shared" si="8"/>
        <v>1</v>
      </c>
      <c r="P74">
        <f t="shared" si="9"/>
        <v>2601.6747400058939</v>
      </c>
    </row>
    <row r="75" spans="3:16" x14ac:dyDescent="0.25">
      <c r="C75">
        <v>4.7E-2</v>
      </c>
      <c r="D75">
        <f t="shared" si="0"/>
        <v>-12054.465810874217</v>
      </c>
      <c r="E75">
        <f t="shared" si="1"/>
        <v>5558.2919121033801</v>
      </c>
      <c r="F75">
        <f t="shared" si="4"/>
        <v>0.14487023576607694</v>
      </c>
      <c r="G75">
        <f t="shared" si="5"/>
        <v>1</v>
      </c>
      <c r="H75">
        <f t="shared" si="6"/>
        <v>2115.5872203375702</v>
      </c>
      <c r="K75">
        <v>4.7E-2</v>
      </c>
      <c r="L75">
        <f t="shared" si="2"/>
        <v>-13913.465810874217</v>
      </c>
      <c r="M75">
        <f t="shared" si="3"/>
        <v>6945.4929663700914</v>
      </c>
      <c r="N75">
        <f t="shared" si="7"/>
        <v>0.14311020767047244</v>
      </c>
      <c r="O75">
        <f t="shared" si="8"/>
        <v>1</v>
      </c>
      <c r="P75">
        <f t="shared" si="9"/>
        <v>2627.4737254709812</v>
      </c>
    </row>
    <row r="76" spans="3:16" x14ac:dyDescent="0.25">
      <c r="C76">
        <v>4.8000000000000001E-2</v>
      </c>
      <c r="D76">
        <f t="shared" si="0"/>
        <v>-12041.613975465814</v>
      </c>
      <c r="E76">
        <f t="shared" si="1"/>
        <v>5555.6150728245229</v>
      </c>
      <c r="F76">
        <f t="shared" si="4"/>
        <v>0.14782947974854033</v>
      </c>
      <c r="G76">
        <f t="shared" si="5"/>
        <v>1</v>
      </c>
      <c r="H76">
        <f t="shared" si="6"/>
        <v>2136.056184758314</v>
      </c>
      <c r="K76">
        <v>4.8000000000000001E-2</v>
      </c>
      <c r="L76">
        <f t="shared" si="2"/>
        <v>-13897.613975465814</v>
      </c>
      <c r="M76">
        <f t="shared" si="3"/>
        <v>6942.1912733188828</v>
      </c>
      <c r="N76">
        <f t="shared" si="7"/>
        <v>0.1460350958365263</v>
      </c>
      <c r="O76">
        <f t="shared" si="8"/>
        <v>1</v>
      </c>
      <c r="P76">
        <f t="shared" si="9"/>
        <v>2652.926361970196</v>
      </c>
    </row>
    <row r="77" spans="3:16" x14ac:dyDescent="0.25">
      <c r="C77">
        <v>4.9000000000000002E-2</v>
      </c>
      <c r="D77">
        <f t="shared" si="0"/>
        <v>-12028.762140057412</v>
      </c>
      <c r="E77">
        <f t="shared" si="1"/>
        <v>5552.9382335456648</v>
      </c>
      <c r="F77">
        <f t="shared" si="4"/>
        <v>0.15078359450352996</v>
      </c>
      <c r="G77">
        <f t="shared" si="5"/>
        <v>1</v>
      </c>
      <c r="H77">
        <f t="shared" si="6"/>
        <v>2156.2538548961475</v>
      </c>
      <c r="K77">
        <v>4.9000000000000002E-2</v>
      </c>
      <c r="L77">
        <f t="shared" si="2"/>
        <v>-13881.762140057412</v>
      </c>
      <c r="M77">
        <f t="shared" si="3"/>
        <v>6938.8895802676743</v>
      </c>
      <c r="N77">
        <f t="shared" si="7"/>
        <v>0.14895498359135206</v>
      </c>
      <c r="O77">
        <f t="shared" si="8"/>
        <v>1</v>
      </c>
      <c r="P77">
        <f t="shared" si="9"/>
        <v>2678.0426889672522</v>
      </c>
    </row>
    <row r="78" spans="3:16" x14ac:dyDescent="0.25">
      <c r="C78">
        <v>0.05</v>
      </c>
      <c r="D78">
        <f t="shared" si="0"/>
        <v>-12015.910304649009</v>
      </c>
      <c r="E78">
        <f t="shared" si="1"/>
        <v>5550.2613942668086</v>
      </c>
      <c r="F78">
        <f t="shared" si="4"/>
        <v>0.15373258003104606</v>
      </c>
      <c r="G78">
        <f t="shared" si="5"/>
        <v>1</v>
      </c>
      <c r="H78">
        <f t="shared" si="6"/>
        <v>2176.1879188979387</v>
      </c>
      <c r="K78">
        <v>0.05</v>
      </c>
      <c r="L78">
        <f t="shared" si="2"/>
        <v>-13865.910304649009</v>
      </c>
      <c r="M78">
        <f t="shared" si="3"/>
        <v>6935.5878872164667</v>
      </c>
      <c r="N78">
        <f t="shared" si="7"/>
        <v>0.15186987093494853</v>
      </c>
      <c r="O78">
        <f t="shared" si="8"/>
        <v>1</v>
      </c>
      <c r="P78">
        <f t="shared" si="9"/>
        <v>2702.8322445589806</v>
      </c>
    </row>
    <row r="79" spans="3:16" x14ac:dyDescent="0.25">
      <c r="C79">
        <v>5.0999999999999997E-2</v>
      </c>
      <c r="D79">
        <f t="shared" si="0"/>
        <v>-12003.058469240606</v>
      </c>
      <c r="E79">
        <f t="shared" si="1"/>
        <v>5547.5845549879505</v>
      </c>
      <c r="F79">
        <f t="shared" si="4"/>
        <v>0.15667643633108841</v>
      </c>
      <c r="G79">
        <f t="shared" si="5"/>
        <v>1</v>
      </c>
      <c r="H79">
        <f t="shared" si="6"/>
        <v>2195.8656888304099</v>
      </c>
      <c r="K79">
        <v>5.0999999999999997E-2</v>
      </c>
      <c r="L79">
        <f t="shared" si="2"/>
        <v>-13850.058469240606</v>
      </c>
      <c r="M79">
        <f t="shared" si="3"/>
        <v>6932.2861941652591</v>
      </c>
      <c r="N79">
        <f t="shared" si="7"/>
        <v>0.15477975786731701</v>
      </c>
      <c r="O79">
        <f t="shared" si="8"/>
        <v>1</v>
      </c>
      <c r="P79">
        <f t="shared" si="9"/>
        <v>2727.3041001649531</v>
      </c>
    </row>
    <row r="80" spans="3:16" x14ac:dyDescent="0.25">
      <c r="C80">
        <v>5.1999999999999998E-2</v>
      </c>
      <c r="D80">
        <f t="shared" si="0"/>
        <v>-11990.206633832204</v>
      </c>
      <c r="E80">
        <f t="shared" si="1"/>
        <v>5544.9077157090942</v>
      </c>
      <c r="F80">
        <f t="shared" si="4"/>
        <v>0.159615163403657</v>
      </c>
      <c r="G80">
        <f t="shared" si="5"/>
        <v>1</v>
      </c>
      <c r="H80">
        <f t="shared" si="6"/>
        <v>2215.2941261871479</v>
      </c>
      <c r="K80">
        <v>5.1999999999999998E-2</v>
      </c>
      <c r="L80">
        <f t="shared" si="2"/>
        <v>-13834.206633832204</v>
      </c>
      <c r="M80">
        <f t="shared" si="3"/>
        <v>6928.9845011140505</v>
      </c>
      <c r="N80">
        <f t="shared" si="7"/>
        <v>0.15768464438845609</v>
      </c>
      <c r="O80">
        <f t="shared" si="8"/>
        <v>1</v>
      </c>
      <c r="P80">
        <f t="shared" si="9"/>
        <v>2751.4668921818684</v>
      </c>
    </row>
    <row r="81" spans="3:16" x14ac:dyDescent="0.25">
      <c r="C81">
        <v>5.2999999999999999E-2</v>
      </c>
      <c r="D81">
        <f t="shared" si="0"/>
        <v>-11977.354798423803</v>
      </c>
      <c r="E81">
        <f t="shared" si="1"/>
        <v>5542.2308764302361</v>
      </c>
      <c r="F81">
        <f t="shared" si="4"/>
        <v>0.16254876124875173</v>
      </c>
      <c r="G81">
        <f t="shared" si="5"/>
        <v>1</v>
      </c>
      <c r="H81">
        <f t="shared" si="6"/>
        <v>2234.4798652068948</v>
      </c>
      <c r="K81">
        <v>5.2999999999999999E-2</v>
      </c>
      <c r="L81">
        <f t="shared" si="2"/>
        <v>-13818.354798423803</v>
      </c>
      <c r="M81">
        <f t="shared" si="3"/>
        <v>6925.6828080628429</v>
      </c>
      <c r="N81">
        <f t="shared" si="7"/>
        <v>0.16058453049836663</v>
      </c>
      <c r="O81">
        <f t="shared" si="8"/>
        <v>1</v>
      </c>
      <c r="P81">
        <f t="shared" si="9"/>
        <v>2775.3288509217091</v>
      </c>
    </row>
    <row r="82" spans="3:16" x14ac:dyDescent="0.25">
      <c r="C82">
        <v>5.3999999999999999E-2</v>
      </c>
      <c r="D82">
        <f t="shared" si="0"/>
        <v>-11964.5029630154</v>
      </c>
      <c r="E82">
        <f t="shared" si="1"/>
        <v>5539.5540371513798</v>
      </c>
      <c r="F82">
        <f t="shared" si="4"/>
        <v>0.16547722986637292</v>
      </c>
      <c r="G82">
        <f t="shared" si="5"/>
        <v>1</v>
      </c>
      <c r="H82">
        <f t="shared" si="6"/>
        <v>2253.4292342287272</v>
      </c>
      <c r="K82">
        <v>5.3999999999999999E-2</v>
      </c>
      <c r="L82">
        <f t="shared" si="2"/>
        <v>-13802.5029630154</v>
      </c>
      <c r="M82">
        <f t="shared" si="3"/>
        <v>6922.3811150116344</v>
      </c>
      <c r="N82">
        <f t="shared" si="7"/>
        <v>0.16347941619704909</v>
      </c>
      <c r="O82">
        <f t="shared" si="8"/>
        <v>1</v>
      </c>
      <c r="P82">
        <f t="shared" si="9"/>
        <v>2798.8978271134374</v>
      </c>
    </row>
    <row r="83" spans="3:16" x14ac:dyDescent="0.25">
      <c r="C83">
        <v>5.5E-2</v>
      </c>
      <c r="D83">
        <f t="shared" si="0"/>
        <v>-11951.651127606998</v>
      </c>
      <c r="E83">
        <f t="shared" si="1"/>
        <v>5536.8771978725217</v>
      </c>
      <c r="F83">
        <f t="shared" si="4"/>
        <v>0.16840056925652058</v>
      </c>
      <c r="G83">
        <f t="shared" si="5"/>
        <v>1</v>
      </c>
      <c r="H83">
        <f t="shared" si="6"/>
        <v>2272.1482752826528</v>
      </c>
      <c r="K83">
        <v>5.5E-2</v>
      </c>
      <c r="L83">
        <f t="shared" si="2"/>
        <v>-13786.651127606998</v>
      </c>
      <c r="M83">
        <f t="shared" si="3"/>
        <v>6919.0794219604268</v>
      </c>
      <c r="N83">
        <f t="shared" si="7"/>
        <v>0.16636930148450224</v>
      </c>
      <c r="O83">
        <f t="shared" si="8"/>
        <v>1</v>
      </c>
      <c r="P83">
        <f t="shared" si="9"/>
        <v>2822.1813162147882</v>
      </c>
    </row>
    <row r="84" spans="3:16" x14ac:dyDescent="0.25">
      <c r="C84">
        <v>5.6000000000000001E-2</v>
      </c>
      <c r="D84">
        <f t="shared" si="0"/>
        <v>-11938.799292198595</v>
      </c>
      <c r="E84">
        <f t="shared" si="1"/>
        <v>5534.2003585936645</v>
      </c>
      <c r="F84">
        <f t="shared" si="4"/>
        <v>0.17131877941919471</v>
      </c>
      <c r="G84">
        <f t="shared" si="5"/>
        <v>1</v>
      </c>
      <c r="H84">
        <f t="shared" si="6"/>
        <v>2290.6427620909189</v>
      </c>
      <c r="K84">
        <v>5.6000000000000001E-2</v>
      </c>
      <c r="L84">
        <f t="shared" si="2"/>
        <v>-13770.799292198595</v>
      </c>
      <c r="M84">
        <f t="shared" si="3"/>
        <v>6915.7777289092182</v>
      </c>
      <c r="N84">
        <f t="shared" si="7"/>
        <v>0.16925418636072731</v>
      </c>
      <c r="O84">
        <f t="shared" si="8"/>
        <v>1</v>
      </c>
      <c r="P84">
        <f t="shared" si="9"/>
        <v>2845.1864807516758</v>
      </c>
    </row>
    <row r="85" spans="3:16" x14ac:dyDescent="0.25">
      <c r="C85">
        <v>5.7000000000000002E-2</v>
      </c>
      <c r="D85">
        <f t="shared" si="0"/>
        <v>-11925.947456790193</v>
      </c>
      <c r="E85">
        <f t="shared" si="1"/>
        <v>5531.5235193148073</v>
      </c>
      <c r="F85">
        <f t="shared" si="4"/>
        <v>0.17423186035439486</v>
      </c>
      <c r="G85">
        <f t="shared" si="5"/>
        <v>1</v>
      </c>
      <c r="H85">
        <f t="shared" si="6"/>
        <v>2308.9182166350201</v>
      </c>
      <c r="K85">
        <v>5.7000000000000002E-2</v>
      </c>
      <c r="L85">
        <f t="shared" si="2"/>
        <v>-13754.947456790193</v>
      </c>
      <c r="M85">
        <f t="shared" si="3"/>
        <v>6912.4760358580097</v>
      </c>
      <c r="N85">
        <f t="shared" si="7"/>
        <v>0.1721340708257233</v>
      </c>
      <c r="O85">
        <f t="shared" si="8"/>
        <v>1</v>
      </c>
      <c r="P85">
        <f t="shared" si="9"/>
        <v>2867.9201708775067</v>
      </c>
    </row>
    <row r="86" spans="3:16" x14ac:dyDescent="0.25">
      <c r="C86">
        <v>5.8000000000000003E-2</v>
      </c>
      <c r="D86">
        <f t="shared" si="0"/>
        <v>-11913.09562138179</v>
      </c>
      <c r="E86">
        <f t="shared" si="1"/>
        <v>5528.8466800359502</v>
      </c>
      <c r="F86">
        <f t="shared" si="4"/>
        <v>0.17713981206212159</v>
      </c>
      <c r="G86">
        <f t="shared" si="5"/>
        <v>1</v>
      </c>
      <c r="H86">
        <f t="shared" si="6"/>
        <v>2326.9799244258943</v>
      </c>
      <c r="K86">
        <v>5.8000000000000003E-2</v>
      </c>
      <c r="L86">
        <f t="shared" si="2"/>
        <v>-13739.09562138179</v>
      </c>
      <c r="M86">
        <f t="shared" si="3"/>
        <v>6909.1743428068021</v>
      </c>
      <c r="N86">
        <f t="shared" si="7"/>
        <v>0.17500895487949109</v>
      </c>
      <c r="O86">
        <f t="shared" si="8"/>
        <v>1</v>
      </c>
      <c r="P86">
        <f t="shared" si="9"/>
        <v>2890.3889433231316</v>
      </c>
    </row>
    <row r="87" spans="3:16" x14ac:dyDescent="0.25">
      <c r="C87">
        <v>5.8999999999999997E-2</v>
      </c>
      <c r="D87">
        <f t="shared" si="0"/>
        <v>-11900.243785973387</v>
      </c>
      <c r="E87">
        <f t="shared" si="1"/>
        <v>5526.169840757093</v>
      </c>
      <c r="F87">
        <f t="shared" si="4"/>
        <v>0.18004263454237457</v>
      </c>
      <c r="G87">
        <f t="shared" si="5"/>
        <v>1</v>
      </c>
      <c r="H87">
        <f t="shared" si="6"/>
        <v>2344.8329485994027</v>
      </c>
      <c r="K87">
        <v>5.8999999999999997E-2</v>
      </c>
      <c r="L87">
        <f t="shared" si="2"/>
        <v>-13723.243785973387</v>
      </c>
      <c r="M87">
        <f t="shared" si="3"/>
        <v>6905.8726497555945</v>
      </c>
      <c r="N87">
        <f t="shared" si="7"/>
        <v>0.17787883852202957</v>
      </c>
      <c r="O87">
        <f t="shared" si="8"/>
        <v>1</v>
      </c>
      <c r="P87">
        <f t="shared" si="9"/>
        <v>2912.5990788888876</v>
      </c>
    </row>
    <row r="88" spans="3:16" x14ac:dyDescent="0.25">
      <c r="C88">
        <v>0.06</v>
      </c>
      <c r="D88">
        <f t="shared" si="0"/>
        <v>-11887.391950564985</v>
      </c>
      <c r="E88">
        <f t="shared" si="1"/>
        <v>5523.4930014782349</v>
      </c>
      <c r="F88">
        <f t="shared" si="4"/>
        <v>0.18294032779515379</v>
      </c>
      <c r="G88">
        <f t="shared" si="5"/>
        <v>1</v>
      </c>
      <c r="H88">
        <f t="shared" si="6"/>
        <v>2362.4821429459003</v>
      </c>
      <c r="K88">
        <v>0.06</v>
      </c>
      <c r="L88">
        <f t="shared" si="2"/>
        <v>-13707.391950564985</v>
      </c>
      <c r="M88">
        <f t="shared" si="3"/>
        <v>6902.5709567043859</v>
      </c>
      <c r="N88">
        <f t="shared" si="7"/>
        <v>0.18074372175334019</v>
      </c>
      <c r="O88">
        <f t="shared" si="8"/>
        <v>1</v>
      </c>
      <c r="P88">
        <f t="shared" si="9"/>
        <v>2934.5565986138522</v>
      </c>
    </row>
    <row r="89" spans="3:16" x14ac:dyDescent="0.25">
      <c r="C89">
        <v>6.0999999999999999E-2</v>
      </c>
      <c r="D89">
        <f t="shared" si="0"/>
        <v>-11874.540115156582</v>
      </c>
      <c r="E89">
        <f t="shared" si="1"/>
        <v>5520.8161621993786</v>
      </c>
      <c r="F89">
        <f t="shared" si="4"/>
        <v>0.18583289182045948</v>
      </c>
      <c r="G89">
        <f t="shared" si="5"/>
        <v>1</v>
      </c>
      <c r="H89">
        <f t="shared" si="6"/>
        <v>2379.9321639709178</v>
      </c>
      <c r="K89">
        <v>6.0999999999999999E-2</v>
      </c>
      <c r="L89">
        <f t="shared" si="2"/>
        <v>-13691.540115156582</v>
      </c>
      <c r="M89">
        <f t="shared" si="3"/>
        <v>6899.2692636531774</v>
      </c>
      <c r="N89">
        <f t="shared" si="7"/>
        <v>0.1836036045734214</v>
      </c>
      <c r="O89">
        <f t="shared" si="8"/>
        <v>1</v>
      </c>
      <c r="P89">
        <f t="shared" si="9"/>
        <v>2956.2672787425904</v>
      </c>
    </row>
    <row r="90" spans="3:16" x14ac:dyDescent="0.25">
      <c r="C90">
        <v>6.2E-2</v>
      </c>
      <c r="D90">
        <f t="shared" si="0"/>
        <v>-11861.688279748179</v>
      </c>
      <c r="E90">
        <f t="shared" si="1"/>
        <v>5518.1393229205205</v>
      </c>
      <c r="F90">
        <f t="shared" si="4"/>
        <v>0.18872032661829152</v>
      </c>
      <c r="G90">
        <f t="shared" si="5"/>
        <v>1</v>
      </c>
      <c r="H90">
        <f t="shared" si="6"/>
        <v>2397.187482073718</v>
      </c>
      <c r="K90">
        <v>6.2E-2</v>
      </c>
      <c r="L90">
        <f t="shared" si="2"/>
        <v>-13675.688279748179</v>
      </c>
      <c r="M90">
        <f t="shared" si="3"/>
        <v>6895.9675706019698</v>
      </c>
      <c r="N90">
        <f t="shared" si="7"/>
        <v>0.18645848698227441</v>
      </c>
      <c r="O90">
        <f t="shared" si="8"/>
        <v>1</v>
      </c>
      <c r="P90">
        <f t="shared" si="9"/>
        <v>2977.7366645972693</v>
      </c>
    </row>
    <row r="91" spans="3:16" x14ac:dyDescent="0.25">
      <c r="C91">
        <v>6.3E-2</v>
      </c>
      <c r="D91">
        <f t="shared" si="0"/>
        <v>-11848.836444339777</v>
      </c>
      <c r="E91">
        <f t="shared" si="1"/>
        <v>5515.4624836416633</v>
      </c>
      <c r="F91">
        <f t="shared" si="4"/>
        <v>0.1916026321886497</v>
      </c>
      <c r="G91">
        <f t="shared" si="5"/>
        <v>1</v>
      </c>
      <c r="H91">
        <f t="shared" si="6"/>
        <v>2414.2523919214768</v>
      </c>
      <c r="K91">
        <v>6.3E-2</v>
      </c>
      <c r="L91">
        <f t="shared" si="2"/>
        <v>-13659.836444339777</v>
      </c>
      <c r="M91">
        <f t="shared" si="3"/>
        <v>6892.6658775507622</v>
      </c>
      <c r="N91">
        <f t="shared" si="7"/>
        <v>0.18930836897989844</v>
      </c>
      <c r="O91">
        <f t="shared" si="8"/>
        <v>1</v>
      </c>
      <c r="P91">
        <f t="shared" si="9"/>
        <v>2998.9700834514065</v>
      </c>
    </row>
    <row r="92" spans="3:16" x14ac:dyDescent="0.25">
      <c r="C92">
        <v>6.4000000000000001E-2</v>
      </c>
      <c r="D92">
        <f t="shared" ref="D92:D155" si="10">-$J$23+($J$15+$J$23)*C92</f>
        <v>-11835.984608931374</v>
      </c>
      <c r="E92">
        <f t="shared" ref="E92:E155" si="11">$J$12-$J$11*D92</f>
        <v>5512.7856443628061</v>
      </c>
      <c r="F92">
        <f t="shared" si="4"/>
        <v>0.19447980853153446</v>
      </c>
      <c r="G92">
        <f t="shared" si="5"/>
        <v>1</v>
      </c>
      <c r="H92">
        <f t="shared" si="6"/>
        <v>2431.1310220888131</v>
      </c>
      <c r="K92">
        <v>6.4000000000000001E-2</v>
      </c>
      <c r="L92">
        <f t="shared" ref="L92:L155" si="12">-$M$23+($M$15+$M$23)*K92</f>
        <v>-13643.984608931374</v>
      </c>
      <c r="M92">
        <f t="shared" ref="M92:M155" si="13">$J$12-$J$11*L92+$E$18</f>
        <v>6889.3641844995536</v>
      </c>
      <c r="N92">
        <f t="shared" si="7"/>
        <v>0.19215325056629429</v>
      </c>
      <c r="O92">
        <f t="shared" si="8"/>
        <v>1</v>
      </c>
      <c r="P92">
        <f t="shared" si="9"/>
        <v>3019.9726564919843</v>
      </c>
    </row>
    <row r="93" spans="3:16" x14ac:dyDescent="0.25">
      <c r="C93">
        <v>6.5000000000000002E-2</v>
      </c>
      <c r="D93">
        <f t="shared" si="10"/>
        <v>-11823.132773522972</v>
      </c>
      <c r="E93">
        <f t="shared" si="11"/>
        <v>5510.1088050839489</v>
      </c>
      <c r="F93">
        <f t="shared" ref="F93:F156" si="14">IF(D93&lt;$J$20,MAX(1-(D93-$J$20)^2/$J$22^2,0),1)</f>
        <v>0.19735185564694524</v>
      </c>
      <c r="G93">
        <f t="shared" ref="G93:G156" si="15">IF(D93&gt;$J$17,MAX(1-(D93-$J$17)^2/($J$15-$J$17)^2,0),1)</f>
        <v>1</v>
      </c>
      <c r="H93">
        <f t="shared" ref="H93:H156" si="16">SQRT(E93^2*F93*G93)</f>
        <v>2447.8273440253743</v>
      </c>
      <c r="K93">
        <v>6.5000000000000002E-2</v>
      </c>
      <c r="L93">
        <f t="shared" si="12"/>
        <v>-13628.132773522972</v>
      </c>
      <c r="M93">
        <f t="shared" si="13"/>
        <v>6886.0624914483451</v>
      </c>
      <c r="N93">
        <f t="shared" ref="N93:N156" si="17">IF(L93&lt;$J$20,MAX(1-(L93-$J$20)^2/$M$22^2,0),1)</f>
        <v>0.19499313174146082</v>
      </c>
      <c r="O93">
        <f t="shared" ref="O93:O156" si="18">IF(L93&gt;$J$17,MAX(1-(L93-$J$17)^2/($M$15-$J$17)^2,0),1)</f>
        <v>1</v>
      </c>
      <c r="P93">
        <f t="shared" ref="P93:P156" si="19">SQRT(M93^2*N93*O93)</f>
        <v>3040.7493099476237</v>
      </c>
    </row>
    <row r="94" spans="3:16" x14ac:dyDescent="0.25">
      <c r="C94">
        <v>6.6000000000000003E-2</v>
      </c>
      <c r="D94">
        <f t="shared" si="10"/>
        <v>-11810.280938114571</v>
      </c>
      <c r="E94">
        <f t="shared" si="11"/>
        <v>5507.4319658050917</v>
      </c>
      <c r="F94">
        <f t="shared" si="14"/>
        <v>0.20021877353488216</v>
      </c>
      <c r="G94">
        <f t="shared" si="15"/>
        <v>1</v>
      </c>
      <c r="H94">
        <f t="shared" si="16"/>
        <v>2464.3451804079778</v>
      </c>
      <c r="K94">
        <v>6.6000000000000003E-2</v>
      </c>
      <c r="L94">
        <f t="shared" si="12"/>
        <v>-13612.280938114571</v>
      </c>
      <c r="M94">
        <f t="shared" si="13"/>
        <v>6882.7607983971375</v>
      </c>
      <c r="N94">
        <f t="shared" si="17"/>
        <v>0.19782801250539872</v>
      </c>
      <c r="O94">
        <f t="shared" si="18"/>
        <v>1</v>
      </c>
      <c r="P94">
        <f t="shared" si="19"/>
        <v>3061.3047854530118</v>
      </c>
    </row>
    <row r="95" spans="3:16" x14ac:dyDescent="0.25">
      <c r="C95">
        <v>6.7000000000000004E-2</v>
      </c>
      <c r="D95">
        <f t="shared" si="10"/>
        <v>-11797.429102706168</v>
      </c>
      <c r="E95">
        <f t="shared" si="11"/>
        <v>5504.7551265262346</v>
      </c>
      <c r="F95">
        <f t="shared" si="14"/>
        <v>0.20308056219534587</v>
      </c>
      <c r="G95">
        <f t="shared" si="15"/>
        <v>1</v>
      </c>
      <c r="H95">
        <f t="shared" si="16"/>
        <v>2480.6882129282185</v>
      </c>
      <c r="K95">
        <v>6.7000000000000004E-2</v>
      </c>
      <c r="L95">
        <f t="shared" si="12"/>
        <v>-13596.429102706168</v>
      </c>
      <c r="M95">
        <f t="shared" si="13"/>
        <v>6879.4591053459299</v>
      </c>
      <c r="N95">
        <f t="shared" si="17"/>
        <v>0.20065789285810864</v>
      </c>
      <c r="O95">
        <f t="shared" si="18"/>
        <v>1</v>
      </c>
      <c r="P95">
        <f t="shared" si="19"/>
        <v>3081.6436497127138</v>
      </c>
    </row>
    <row r="96" spans="3:16" x14ac:dyDescent="0.25">
      <c r="C96">
        <v>6.8000000000000005E-2</v>
      </c>
      <c r="D96">
        <f t="shared" si="10"/>
        <v>-11784.577267297766</v>
      </c>
      <c r="E96">
        <f t="shared" si="11"/>
        <v>5502.0782872473774</v>
      </c>
      <c r="F96">
        <f t="shared" si="14"/>
        <v>0.20593722162833572</v>
      </c>
      <c r="G96">
        <f t="shared" si="15"/>
        <v>1</v>
      </c>
      <c r="H96">
        <f t="shared" si="16"/>
        <v>2496.859989561573</v>
      </c>
      <c r="K96">
        <v>6.8000000000000005E-2</v>
      </c>
      <c r="L96">
        <f t="shared" si="12"/>
        <v>-13580.577267297766</v>
      </c>
      <c r="M96">
        <f t="shared" si="13"/>
        <v>6876.1574122947213</v>
      </c>
      <c r="N96">
        <f t="shared" si="17"/>
        <v>0.20348277279958915</v>
      </c>
      <c r="O96">
        <f t="shared" si="18"/>
        <v>1</v>
      </c>
      <c r="P96">
        <f t="shared" si="19"/>
        <v>3101.7703035215291</v>
      </c>
    </row>
    <row r="97" spans="3:16" x14ac:dyDescent="0.25">
      <c r="C97">
        <v>6.9000000000000006E-2</v>
      </c>
      <c r="D97">
        <f t="shared" si="10"/>
        <v>-11771.725431889363</v>
      </c>
      <c r="E97">
        <f t="shared" si="11"/>
        <v>5499.4014479685202</v>
      </c>
      <c r="F97">
        <f t="shared" si="14"/>
        <v>0.20878875183385204</v>
      </c>
      <c r="G97">
        <f t="shared" si="15"/>
        <v>1</v>
      </c>
      <c r="H97">
        <f t="shared" si="16"/>
        <v>2512.8639313596877</v>
      </c>
      <c r="K97">
        <v>6.9000000000000006E-2</v>
      </c>
      <c r="L97">
        <f t="shared" si="12"/>
        <v>-13564.725431889363</v>
      </c>
      <c r="M97">
        <f t="shared" si="13"/>
        <v>6872.8557192435128</v>
      </c>
      <c r="N97">
        <f t="shared" si="17"/>
        <v>0.2063026523298418</v>
      </c>
      <c r="O97">
        <f t="shared" si="18"/>
        <v>1</v>
      </c>
      <c r="P97">
        <f t="shared" si="19"/>
        <v>3121.6889901931445</v>
      </c>
    </row>
    <row r="98" spans="3:16" x14ac:dyDescent="0.25">
      <c r="C98">
        <v>7.0000000000000007E-2</v>
      </c>
      <c r="D98">
        <f t="shared" si="10"/>
        <v>-11758.87359648096</v>
      </c>
      <c r="E98">
        <f t="shared" si="11"/>
        <v>5496.724608689663</v>
      </c>
      <c r="F98">
        <f t="shared" si="14"/>
        <v>0.2116351528118946</v>
      </c>
      <c r="G98">
        <f t="shared" si="15"/>
        <v>1</v>
      </c>
      <c r="H98">
        <f t="shared" si="16"/>
        <v>2528.7033388035588</v>
      </c>
      <c r="K98">
        <v>7.0000000000000007E-2</v>
      </c>
      <c r="L98">
        <f t="shared" si="12"/>
        <v>-13548.87359648096</v>
      </c>
      <c r="M98">
        <f t="shared" si="13"/>
        <v>6869.5540261923052</v>
      </c>
      <c r="N98">
        <f t="shared" si="17"/>
        <v>0.20911753144886502</v>
      </c>
      <c r="O98">
        <f t="shared" si="18"/>
        <v>1</v>
      </c>
      <c r="P98">
        <f t="shared" si="19"/>
        <v>3141.4038034437963</v>
      </c>
    </row>
    <row r="99" spans="3:16" x14ac:dyDescent="0.25">
      <c r="C99">
        <v>7.0999999999999994E-2</v>
      </c>
      <c r="D99">
        <f t="shared" si="10"/>
        <v>-11746.021761072558</v>
      </c>
      <c r="E99">
        <f t="shared" si="11"/>
        <v>5494.0477694108049</v>
      </c>
      <c r="F99">
        <f t="shared" si="14"/>
        <v>0.21447642456246352</v>
      </c>
      <c r="G99">
        <f t="shared" si="15"/>
        <v>1</v>
      </c>
      <c r="H99">
        <f t="shared" si="16"/>
        <v>2544.3813977518998</v>
      </c>
      <c r="K99">
        <v>7.0999999999999994E-2</v>
      </c>
      <c r="L99">
        <f t="shared" si="12"/>
        <v>-13533.021761072558</v>
      </c>
      <c r="M99">
        <f t="shared" si="13"/>
        <v>6866.2523331410976</v>
      </c>
      <c r="N99">
        <f t="shared" si="17"/>
        <v>0.21192741015666017</v>
      </c>
      <c r="O99">
        <f t="shared" si="18"/>
        <v>1</v>
      </c>
      <c r="P99">
        <f t="shared" si="19"/>
        <v>3160.9186947736393</v>
      </c>
    </row>
    <row r="100" spans="3:16" x14ac:dyDescent="0.25">
      <c r="C100">
        <v>7.1999999999999995E-2</v>
      </c>
      <c r="D100">
        <f t="shared" si="10"/>
        <v>-11733.169925664155</v>
      </c>
      <c r="E100">
        <f t="shared" si="11"/>
        <v>5491.3709301319486</v>
      </c>
      <c r="F100">
        <f t="shared" si="14"/>
        <v>0.21731256708555868</v>
      </c>
      <c r="G100">
        <f t="shared" si="15"/>
        <v>1</v>
      </c>
      <c r="H100">
        <f t="shared" si="16"/>
        <v>2559.9011850158313</v>
      </c>
      <c r="K100">
        <v>7.1999999999999995E-2</v>
      </c>
      <c r="L100">
        <f t="shared" si="12"/>
        <v>-13517.169925664155</v>
      </c>
      <c r="M100">
        <f t="shared" si="13"/>
        <v>6862.950640089889</v>
      </c>
      <c r="N100">
        <f t="shared" si="17"/>
        <v>0.21473228845322612</v>
      </c>
      <c r="O100">
        <f t="shared" si="18"/>
        <v>1</v>
      </c>
      <c r="P100">
        <f t="shared" si="19"/>
        <v>3180.237480384314</v>
      </c>
    </row>
    <row r="101" spans="3:16" x14ac:dyDescent="0.25">
      <c r="C101">
        <v>7.2999999999999995E-2</v>
      </c>
      <c r="D101">
        <f t="shared" si="10"/>
        <v>-11720.318090255752</v>
      </c>
      <c r="E101">
        <f t="shared" si="11"/>
        <v>5488.6940908530905</v>
      </c>
      <c r="F101">
        <f t="shared" si="14"/>
        <v>0.22014358038118043</v>
      </c>
      <c r="G101">
        <f t="shared" si="15"/>
        <v>1</v>
      </c>
      <c r="H101">
        <f t="shared" si="16"/>
        <v>2575.2656735882438</v>
      </c>
      <c r="K101">
        <v>7.2999999999999995E-2</v>
      </c>
      <c r="L101">
        <f t="shared" si="12"/>
        <v>-13501.318090255752</v>
      </c>
      <c r="M101">
        <f t="shared" si="13"/>
        <v>6859.6489470386805</v>
      </c>
      <c r="N101">
        <f t="shared" si="17"/>
        <v>0.21753216633856409</v>
      </c>
      <c r="O101">
        <f t="shared" si="18"/>
        <v>1</v>
      </c>
      <c r="P101">
        <f t="shared" si="19"/>
        <v>3199.363847668038</v>
      </c>
    </row>
    <row r="102" spans="3:16" x14ac:dyDescent="0.25">
      <c r="C102">
        <v>7.3999999999999996E-2</v>
      </c>
      <c r="D102">
        <f t="shared" si="10"/>
        <v>-11707.46625484735</v>
      </c>
      <c r="E102">
        <f t="shared" si="11"/>
        <v>5486.0172515742333</v>
      </c>
      <c r="F102">
        <f t="shared" si="14"/>
        <v>0.22296946444932819</v>
      </c>
      <c r="G102">
        <f t="shared" si="15"/>
        <v>1</v>
      </c>
      <c r="H102">
        <f t="shared" si="16"/>
        <v>2590.477737553681</v>
      </c>
      <c r="K102">
        <v>7.3999999999999996E-2</v>
      </c>
      <c r="L102">
        <f t="shared" si="12"/>
        <v>-13485.46625484735</v>
      </c>
      <c r="M102">
        <f t="shared" si="13"/>
        <v>6856.3472539874729</v>
      </c>
      <c r="N102">
        <f t="shared" si="17"/>
        <v>0.22032704381267276</v>
      </c>
      <c r="O102">
        <f t="shared" si="18"/>
        <v>1</v>
      </c>
      <c r="P102">
        <f t="shared" si="19"/>
        <v>3218.3013613001622</v>
      </c>
    </row>
    <row r="103" spans="3:16" x14ac:dyDescent="0.25">
      <c r="C103">
        <v>7.4999999999999997E-2</v>
      </c>
      <c r="D103">
        <f t="shared" si="10"/>
        <v>-11694.614419438947</v>
      </c>
      <c r="E103">
        <f t="shared" si="11"/>
        <v>5483.3404122953762</v>
      </c>
      <c r="F103">
        <f t="shared" si="14"/>
        <v>0.22579021929000243</v>
      </c>
      <c r="G103">
        <f t="shared" si="15"/>
        <v>1</v>
      </c>
      <c r="H103">
        <f t="shared" si="16"/>
        <v>2605.5401567023255</v>
      </c>
      <c r="K103">
        <v>7.4999999999999997E-2</v>
      </c>
      <c r="L103">
        <f t="shared" si="12"/>
        <v>-13469.614419438947</v>
      </c>
      <c r="M103">
        <f t="shared" si="13"/>
        <v>6853.0455609362652</v>
      </c>
      <c r="N103">
        <f t="shared" si="17"/>
        <v>0.22311692087555335</v>
      </c>
      <c r="O103">
        <f t="shared" si="18"/>
        <v>1</v>
      </c>
      <c r="P103">
        <f t="shared" si="19"/>
        <v>3237.0534689645901</v>
      </c>
    </row>
    <row r="104" spans="3:16" x14ac:dyDescent="0.25">
      <c r="C104">
        <v>7.5999999999999998E-2</v>
      </c>
      <c r="D104">
        <f t="shared" si="10"/>
        <v>-11681.762584030545</v>
      </c>
      <c r="E104">
        <f t="shared" si="11"/>
        <v>5480.663573016519</v>
      </c>
      <c r="F104">
        <f t="shared" si="14"/>
        <v>0.22860584490320313</v>
      </c>
      <c r="G104">
        <f t="shared" si="15"/>
        <v>1</v>
      </c>
      <c r="H104">
        <f t="shared" si="16"/>
        <v>2620.4556208696272</v>
      </c>
      <c r="K104">
        <v>7.5999999999999998E-2</v>
      </c>
      <c r="L104">
        <f t="shared" si="12"/>
        <v>-13453.762584030545</v>
      </c>
      <c r="M104">
        <f t="shared" si="13"/>
        <v>6849.7438678850567</v>
      </c>
      <c r="N104">
        <f t="shared" si="17"/>
        <v>0.22590179752720452</v>
      </c>
      <c r="O104">
        <f t="shared" si="18"/>
        <v>1</v>
      </c>
      <c r="P104">
        <f t="shared" si="19"/>
        <v>3255.6235067386724</v>
      </c>
    </row>
    <row r="105" spans="3:16" x14ac:dyDescent="0.25">
      <c r="C105">
        <v>7.6999999999999999E-2</v>
      </c>
      <c r="D105">
        <f t="shared" si="10"/>
        <v>-11668.910748622144</v>
      </c>
      <c r="E105">
        <f t="shared" si="11"/>
        <v>5477.9867337376618</v>
      </c>
      <c r="F105">
        <f t="shared" si="14"/>
        <v>0.23141634128892963</v>
      </c>
      <c r="G105">
        <f t="shared" si="15"/>
        <v>1</v>
      </c>
      <c r="H105">
        <f t="shared" si="16"/>
        <v>2635.226734021307</v>
      </c>
      <c r="K105">
        <v>7.6999999999999999E-2</v>
      </c>
      <c r="L105">
        <f t="shared" si="12"/>
        <v>-13437.910748622144</v>
      </c>
      <c r="M105">
        <f t="shared" si="13"/>
        <v>6846.4421748338491</v>
      </c>
      <c r="N105">
        <f t="shared" si="17"/>
        <v>0.22868167376762727</v>
      </c>
      <c r="O105">
        <f t="shared" si="18"/>
        <v>1</v>
      </c>
      <c r="P105">
        <f t="shared" si="19"/>
        <v>3274.0147041621817</v>
      </c>
    </row>
    <row r="106" spans="3:16" x14ac:dyDescent="0.25">
      <c r="C106">
        <v>7.8E-2</v>
      </c>
      <c r="D106">
        <f t="shared" si="10"/>
        <v>-11656.058913213741</v>
      </c>
      <c r="E106">
        <f t="shared" si="11"/>
        <v>5475.3098944588046</v>
      </c>
      <c r="F106">
        <f t="shared" si="14"/>
        <v>0.23422170844718271</v>
      </c>
      <c r="G106">
        <f t="shared" si="15"/>
        <v>1</v>
      </c>
      <c r="H106">
        <f t="shared" si="16"/>
        <v>2649.8560181018061</v>
      </c>
      <c r="K106">
        <v>7.8E-2</v>
      </c>
      <c r="L106">
        <f t="shared" si="12"/>
        <v>-13422.058913213741</v>
      </c>
      <c r="M106">
        <f t="shared" si="13"/>
        <v>6843.1404817826406</v>
      </c>
      <c r="N106">
        <f t="shared" si="17"/>
        <v>0.23145654959682183</v>
      </c>
      <c r="O106">
        <f t="shared" si="18"/>
        <v>1</v>
      </c>
      <c r="P106">
        <f t="shared" si="19"/>
        <v>3292.2301890126637</v>
      </c>
    </row>
    <row r="107" spans="3:16" x14ac:dyDescent="0.25">
      <c r="C107">
        <v>7.9000000000000001E-2</v>
      </c>
      <c r="D107">
        <f t="shared" si="10"/>
        <v>-11643.207077805338</v>
      </c>
      <c r="E107">
        <f t="shared" si="11"/>
        <v>5472.6330551799474</v>
      </c>
      <c r="F107">
        <f t="shared" si="14"/>
        <v>0.23702194637796226</v>
      </c>
      <c r="G107">
        <f t="shared" si="15"/>
        <v>1</v>
      </c>
      <c r="H107">
        <f t="shared" si="16"/>
        <v>2664.3459166627094</v>
      </c>
      <c r="K107">
        <v>7.9000000000000001E-2</v>
      </c>
      <c r="L107">
        <f t="shared" si="12"/>
        <v>-13406.207077805338</v>
      </c>
      <c r="M107">
        <f t="shared" si="13"/>
        <v>6839.8387887314329</v>
      </c>
      <c r="N107">
        <f t="shared" si="17"/>
        <v>0.23422642501478719</v>
      </c>
      <c r="O107">
        <f t="shared" si="18"/>
        <v>1</v>
      </c>
      <c r="P107">
        <f t="shared" si="19"/>
        <v>3310.272991807798</v>
      </c>
    </row>
    <row r="108" spans="3:16" x14ac:dyDescent="0.25">
      <c r="C108">
        <v>0.08</v>
      </c>
      <c r="D108">
        <f t="shared" si="10"/>
        <v>-11630.355242396936</v>
      </c>
      <c r="E108">
        <f t="shared" si="11"/>
        <v>5469.9562159010902</v>
      </c>
      <c r="F108">
        <f t="shared" si="14"/>
        <v>0.23981705508126827</v>
      </c>
      <c r="G108">
        <f t="shared" si="15"/>
        <v>1</v>
      </c>
      <c r="H108">
        <f t="shared" si="16"/>
        <v>2678.6987982864034</v>
      </c>
      <c r="K108">
        <v>0.08</v>
      </c>
      <c r="L108">
        <f t="shared" si="12"/>
        <v>-13390.355242396936</v>
      </c>
      <c r="M108">
        <f t="shared" si="13"/>
        <v>6836.5370956802244</v>
      </c>
      <c r="N108">
        <f t="shared" si="17"/>
        <v>0.23699130002152446</v>
      </c>
      <c r="O108">
        <f t="shared" si="18"/>
        <v>1</v>
      </c>
      <c r="P108">
        <f t="shared" si="19"/>
        <v>3328.1460500536487</v>
      </c>
    </row>
    <row r="109" spans="3:16" x14ac:dyDescent="0.25">
      <c r="C109">
        <v>8.1000000000000003E-2</v>
      </c>
      <c r="D109">
        <f t="shared" si="10"/>
        <v>-11617.503406988533</v>
      </c>
      <c r="E109">
        <f t="shared" si="11"/>
        <v>5467.279376622233</v>
      </c>
      <c r="F109">
        <f t="shared" si="14"/>
        <v>0.24260703455710042</v>
      </c>
      <c r="G109">
        <f t="shared" si="15"/>
        <v>1</v>
      </c>
      <c r="H109">
        <f t="shared" si="16"/>
        <v>2692.9169598189142</v>
      </c>
      <c r="K109">
        <v>8.1000000000000003E-2</v>
      </c>
      <c r="L109">
        <f t="shared" si="12"/>
        <v>-13374.503406988533</v>
      </c>
      <c r="M109">
        <f t="shared" si="13"/>
        <v>6833.2354026290159</v>
      </c>
      <c r="N109">
        <f t="shared" si="17"/>
        <v>0.23975117461703244</v>
      </c>
      <c r="O109">
        <f t="shared" si="18"/>
        <v>1</v>
      </c>
      <c r="P109">
        <f t="shared" si="19"/>
        <v>3345.8522122560876</v>
      </c>
    </row>
    <row r="110" spans="3:16" x14ac:dyDescent="0.25">
      <c r="C110">
        <v>8.2000000000000003E-2</v>
      </c>
      <c r="D110">
        <f t="shared" si="10"/>
        <v>-11604.651571580131</v>
      </c>
      <c r="E110">
        <f t="shared" si="11"/>
        <v>5464.6025373433749</v>
      </c>
      <c r="F110">
        <f t="shared" si="14"/>
        <v>0.24539188480545893</v>
      </c>
      <c r="G110">
        <f t="shared" si="15"/>
        <v>1</v>
      </c>
      <c r="H110">
        <f t="shared" si="16"/>
        <v>2707.0026294248178</v>
      </c>
      <c r="K110">
        <v>8.2000000000000003E-2</v>
      </c>
      <c r="L110">
        <f t="shared" si="12"/>
        <v>-13358.651571580131</v>
      </c>
      <c r="M110">
        <f t="shared" si="13"/>
        <v>6829.9337095778083</v>
      </c>
      <c r="N110">
        <f t="shared" si="17"/>
        <v>0.24250604880131232</v>
      </c>
      <c r="O110">
        <f t="shared" si="18"/>
        <v>1</v>
      </c>
      <c r="P110">
        <f t="shared" si="19"/>
        <v>3363.3942417114627</v>
      </c>
    </row>
    <row r="111" spans="3:16" x14ac:dyDescent="0.25">
      <c r="C111">
        <v>8.3000000000000004E-2</v>
      </c>
      <c r="D111">
        <f t="shared" si="10"/>
        <v>-11591.799736171728</v>
      </c>
      <c r="E111">
        <f t="shared" si="11"/>
        <v>5461.9256980645187</v>
      </c>
      <c r="F111">
        <f t="shared" si="14"/>
        <v>0.24817160582634379</v>
      </c>
      <c r="G111">
        <f t="shared" si="15"/>
        <v>1</v>
      </c>
      <c r="H111">
        <f t="shared" si="16"/>
        <v>2720.9579694760523</v>
      </c>
      <c r="K111">
        <v>8.3000000000000004E-2</v>
      </c>
      <c r="L111">
        <f t="shared" si="12"/>
        <v>-13342.799736171728</v>
      </c>
      <c r="M111">
        <f t="shared" si="13"/>
        <v>6826.6320165266006</v>
      </c>
      <c r="N111">
        <f t="shared" si="17"/>
        <v>0.24525592257436302</v>
      </c>
      <c r="O111">
        <f t="shared" si="18"/>
        <v>1</v>
      </c>
      <c r="P111">
        <f t="shared" si="19"/>
        <v>3380.7748200910987</v>
      </c>
    </row>
    <row r="112" spans="3:16" x14ac:dyDescent="0.25">
      <c r="C112">
        <v>8.4000000000000005E-2</v>
      </c>
      <c r="D112">
        <f t="shared" si="10"/>
        <v>-11578.947900763325</v>
      </c>
      <c r="E112">
        <f t="shared" si="11"/>
        <v>5459.2488587856606</v>
      </c>
      <c r="F112">
        <f t="shared" si="14"/>
        <v>0.25094619761975501</v>
      </c>
      <c r="G112">
        <f t="shared" si="15"/>
        <v>1</v>
      </c>
      <c r="H112">
        <f t="shared" si="16"/>
        <v>2734.7850792855738</v>
      </c>
      <c r="K112">
        <v>8.4000000000000005E-2</v>
      </c>
      <c r="L112">
        <f t="shared" si="12"/>
        <v>-13326.947900763325</v>
      </c>
      <c r="M112">
        <f t="shared" si="13"/>
        <v>6823.3303234753921</v>
      </c>
      <c r="N112">
        <f t="shared" si="17"/>
        <v>0.24800079593618563</v>
      </c>
      <c r="O112">
        <f t="shared" si="18"/>
        <v>1</v>
      </c>
      <c r="P112">
        <f t="shared" si="19"/>
        <v>3397.9965508333198</v>
      </c>
    </row>
    <row r="113" spans="3:16" x14ac:dyDescent="0.25">
      <c r="C113">
        <v>8.5000000000000006E-2</v>
      </c>
      <c r="D113">
        <f t="shared" si="10"/>
        <v>-11566.096065354923</v>
      </c>
      <c r="E113">
        <f t="shared" si="11"/>
        <v>5456.5720195068034</v>
      </c>
      <c r="F113">
        <f t="shared" si="14"/>
        <v>0.25371566018569247</v>
      </c>
      <c r="G113">
        <f t="shared" si="15"/>
        <v>1</v>
      </c>
      <c r="H113">
        <f t="shared" si="16"/>
        <v>2748.4859976959488</v>
      </c>
      <c r="K113">
        <v>8.5000000000000006E-2</v>
      </c>
      <c r="L113">
        <f t="shared" si="12"/>
        <v>-13311.096065354923</v>
      </c>
      <c r="M113">
        <f t="shared" si="13"/>
        <v>6820.0286304241836</v>
      </c>
      <c r="N113">
        <f t="shared" si="17"/>
        <v>0.25074066888677904</v>
      </c>
      <c r="O113">
        <f t="shared" si="18"/>
        <v>1</v>
      </c>
      <c r="P113">
        <f t="shared" si="19"/>
        <v>3415.0619623553953</v>
      </c>
    </row>
    <row r="114" spans="3:16" x14ac:dyDescent="0.25">
      <c r="C114">
        <v>8.5999999999999993E-2</v>
      </c>
      <c r="D114">
        <f t="shared" si="10"/>
        <v>-11553.24422994652</v>
      </c>
      <c r="E114">
        <f t="shared" si="11"/>
        <v>5453.8951802279462</v>
      </c>
      <c r="F114">
        <f t="shared" si="14"/>
        <v>0.2564799935241564</v>
      </c>
      <c r="G114">
        <f t="shared" si="15"/>
        <v>1</v>
      </c>
      <c r="H114">
        <f t="shared" si="16"/>
        <v>2762.0627055321925</v>
      </c>
      <c r="K114">
        <v>8.5999999999999993E-2</v>
      </c>
      <c r="L114">
        <f t="shared" si="12"/>
        <v>-13295.24422994652</v>
      </c>
      <c r="M114">
        <f t="shared" si="13"/>
        <v>6816.726937372976</v>
      </c>
      <c r="N114">
        <f t="shared" si="17"/>
        <v>0.25347554142614437</v>
      </c>
      <c r="O114">
        <f t="shared" si="18"/>
        <v>1</v>
      </c>
      <c r="P114">
        <f t="shared" si="19"/>
        <v>3431.9735110970842</v>
      </c>
    </row>
    <row r="115" spans="3:16" x14ac:dyDescent="0.25">
      <c r="C115">
        <v>8.6999999999999994E-2</v>
      </c>
      <c r="D115">
        <f t="shared" si="10"/>
        <v>-11540.392394538118</v>
      </c>
      <c r="E115">
        <f t="shared" si="11"/>
        <v>5451.218340949089</v>
      </c>
      <c r="F115">
        <f t="shared" si="14"/>
        <v>0.25923919763514647</v>
      </c>
      <c r="G115">
        <f t="shared" si="15"/>
        <v>1</v>
      </c>
      <c r="H115">
        <f t="shared" si="16"/>
        <v>2775.5171279274805</v>
      </c>
      <c r="K115">
        <v>8.6999999999999994E-2</v>
      </c>
      <c r="L115">
        <f t="shared" si="12"/>
        <v>-13279.392394538118</v>
      </c>
      <c r="M115">
        <f t="shared" si="13"/>
        <v>6813.4252443217683</v>
      </c>
      <c r="N115">
        <f t="shared" si="17"/>
        <v>0.25620541355428039</v>
      </c>
      <c r="O115">
        <f t="shared" si="18"/>
        <v>1</v>
      </c>
      <c r="P115">
        <f t="shared" si="19"/>
        <v>3448.7335844063723</v>
      </c>
    </row>
    <row r="116" spans="3:16" x14ac:dyDescent="0.25">
      <c r="C116">
        <v>8.7999999999999995E-2</v>
      </c>
      <c r="D116">
        <f t="shared" si="10"/>
        <v>-11527.540559129717</v>
      </c>
      <c r="E116">
        <f t="shared" si="11"/>
        <v>5448.5415016702318</v>
      </c>
      <c r="F116">
        <f t="shared" si="14"/>
        <v>0.26199327251866267</v>
      </c>
      <c r="G116">
        <f t="shared" si="15"/>
        <v>1</v>
      </c>
      <c r="H116">
        <f t="shared" si="16"/>
        <v>2788.8511365297163</v>
      </c>
      <c r="K116">
        <v>8.7999999999999995E-2</v>
      </c>
      <c r="L116">
        <f t="shared" si="12"/>
        <v>-13263.540559129717</v>
      </c>
      <c r="M116">
        <f t="shared" si="13"/>
        <v>6810.1235512705607</v>
      </c>
      <c r="N116">
        <f t="shared" si="17"/>
        <v>0.25893028527118767</v>
      </c>
      <c r="O116">
        <f t="shared" si="18"/>
        <v>1</v>
      </c>
      <c r="P116">
        <f t="shared" si="19"/>
        <v>3465.344503277408</v>
      </c>
    </row>
    <row r="117" spans="3:16" x14ac:dyDescent="0.25">
      <c r="C117">
        <v>8.8999999999999996E-2</v>
      </c>
      <c r="D117">
        <f t="shared" si="10"/>
        <v>-11514.688723721314</v>
      </c>
      <c r="E117">
        <f t="shared" si="11"/>
        <v>5445.8646623913746</v>
      </c>
      <c r="F117">
        <f t="shared" si="14"/>
        <v>0.26474221817470545</v>
      </c>
      <c r="G117">
        <f t="shared" si="15"/>
        <v>1</v>
      </c>
      <c r="H117">
        <f t="shared" si="16"/>
        <v>2802.0665515963469</v>
      </c>
      <c r="K117">
        <v>8.8999999999999996E-2</v>
      </c>
      <c r="L117">
        <f t="shared" si="12"/>
        <v>-13247.688723721314</v>
      </c>
      <c r="M117">
        <f t="shared" si="13"/>
        <v>6806.8218582193522</v>
      </c>
      <c r="N117">
        <f t="shared" si="17"/>
        <v>0.26165015657686708</v>
      </c>
      <c r="O117">
        <f t="shared" si="18"/>
        <v>1</v>
      </c>
      <c r="P117">
        <f t="shared" si="19"/>
        <v>3481.8085249497335</v>
      </c>
    </row>
    <row r="118" spans="3:16" x14ac:dyDescent="0.25">
      <c r="C118">
        <v>0.09</v>
      </c>
      <c r="D118">
        <f t="shared" si="10"/>
        <v>-11501.836888312911</v>
      </c>
      <c r="E118">
        <f t="shared" si="11"/>
        <v>5443.1878231125174</v>
      </c>
      <c r="F118">
        <f t="shared" si="14"/>
        <v>0.26748603460327469</v>
      </c>
      <c r="G118">
        <f t="shared" si="15"/>
        <v>1</v>
      </c>
      <c r="H118">
        <f t="shared" si="16"/>
        <v>2815.1651439842744</v>
      </c>
      <c r="K118">
        <v>0.09</v>
      </c>
      <c r="L118">
        <f t="shared" si="12"/>
        <v>-13231.836888312911</v>
      </c>
      <c r="M118">
        <f t="shared" si="13"/>
        <v>6803.5201651681436</v>
      </c>
      <c r="N118">
        <f t="shared" si="17"/>
        <v>0.26436502747131707</v>
      </c>
      <c r="O118">
        <f t="shared" si="18"/>
        <v>1</v>
      </c>
      <c r="P118">
        <f t="shared" si="19"/>
        <v>3498.1278453773398</v>
      </c>
    </row>
    <row r="119" spans="3:16" x14ac:dyDescent="0.25">
      <c r="C119">
        <v>9.0999999999999998E-2</v>
      </c>
      <c r="D119">
        <f t="shared" si="10"/>
        <v>-11488.985052904509</v>
      </c>
      <c r="E119">
        <f t="shared" si="11"/>
        <v>5440.5109838336593</v>
      </c>
      <c r="F119">
        <f t="shared" si="14"/>
        <v>0.27022472180437018</v>
      </c>
      <c r="G119">
        <f t="shared" si="15"/>
        <v>1</v>
      </c>
      <c r="H119">
        <f t="shared" si="16"/>
        <v>2828.148637041244</v>
      </c>
      <c r="K119">
        <v>9.0999999999999998E-2</v>
      </c>
      <c r="L119">
        <f t="shared" si="12"/>
        <v>-13215.985052904509</v>
      </c>
      <c r="M119">
        <f t="shared" si="13"/>
        <v>6800.218472116936</v>
      </c>
      <c r="N119">
        <f t="shared" si="17"/>
        <v>0.26707489795453898</v>
      </c>
      <c r="O119">
        <f t="shared" si="18"/>
        <v>1</v>
      </c>
      <c r="P119">
        <f t="shared" si="19"/>
        <v>3514.304601575504</v>
      </c>
    </row>
    <row r="120" spans="3:16" x14ac:dyDescent="0.25">
      <c r="C120">
        <v>9.1999999999999998E-2</v>
      </c>
      <c r="D120">
        <f t="shared" si="10"/>
        <v>-11476.133217496106</v>
      </c>
      <c r="E120">
        <f t="shared" si="11"/>
        <v>5437.8341445548031</v>
      </c>
      <c r="F120">
        <f t="shared" si="14"/>
        <v>0.27295827977799203</v>
      </c>
      <c r="G120">
        <f t="shared" si="15"/>
        <v>1</v>
      </c>
      <c r="H120">
        <f t="shared" si="16"/>
        <v>2841.0187084046188</v>
      </c>
      <c r="K120">
        <v>9.1999999999999998E-2</v>
      </c>
      <c r="L120">
        <f t="shared" si="12"/>
        <v>-13200.133217496106</v>
      </c>
      <c r="M120">
        <f t="shared" si="13"/>
        <v>6796.9167790657275</v>
      </c>
      <c r="N120">
        <f t="shared" si="17"/>
        <v>0.26977976802653181</v>
      </c>
      <c r="O120">
        <f t="shared" si="18"/>
        <v>1</v>
      </c>
      <c r="P120">
        <f t="shared" si="19"/>
        <v>3530.3408738526314</v>
      </c>
    </row>
    <row r="121" spans="3:16" x14ac:dyDescent="0.25">
      <c r="C121">
        <v>9.2999999999999999E-2</v>
      </c>
      <c r="D121">
        <f t="shared" si="10"/>
        <v>-11463.281382087704</v>
      </c>
      <c r="E121">
        <f t="shared" si="11"/>
        <v>5435.157305275945</v>
      </c>
      <c r="F121">
        <f t="shared" si="14"/>
        <v>0.27568670852414012</v>
      </c>
      <c r="G121">
        <f t="shared" si="15"/>
        <v>1</v>
      </c>
      <c r="H121">
        <f t="shared" si="16"/>
        <v>2853.7769917130181</v>
      </c>
      <c r="K121">
        <v>9.2999999999999999E-2</v>
      </c>
      <c r="L121">
        <f t="shared" si="12"/>
        <v>-13184.281382087704</v>
      </c>
      <c r="M121">
        <f t="shared" si="13"/>
        <v>6793.615086014519</v>
      </c>
      <c r="N121">
        <f t="shared" si="17"/>
        <v>0.27247963768729633</v>
      </c>
      <c r="O121">
        <f t="shared" si="18"/>
        <v>1</v>
      </c>
      <c r="P121">
        <f t="shared" si="19"/>
        <v>3546.2386879340543</v>
      </c>
    </row>
    <row r="122" spans="3:16" x14ac:dyDescent="0.25">
      <c r="C122">
        <v>9.4E-2</v>
      </c>
      <c r="D122">
        <f t="shared" si="10"/>
        <v>-11450.429546679301</v>
      </c>
      <c r="E122">
        <f t="shared" si="11"/>
        <v>5432.4804659970887</v>
      </c>
      <c r="F122">
        <f t="shared" si="14"/>
        <v>0.27841000804281468</v>
      </c>
      <c r="G122">
        <f t="shared" si="15"/>
        <v>1</v>
      </c>
      <c r="H122">
        <f t="shared" si="16"/>
        <v>2866.4250782359736</v>
      </c>
      <c r="K122">
        <v>9.4E-2</v>
      </c>
      <c r="L122">
        <f t="shared" si="12"/>
        <v>-13168.429546679301</v>
      </c>
      <c r="M122">
        <f t="shared" si="13"/>
        <v>6790.3133929633113</v>
      </c>
      <c r="N122">
        <f t="shared" si="17"/>
        <v>0.27517450693683188</v>
      </c>
      <c r="O122">
        <f t="shared" si="18"/>
        <v>1</v>
      </c>
      <c r="P122">
        <f t="shared" si="19"/>
        <v>3562.0000169840177</v>
      </c>
    </row>
    <row r="123" spans="3:16" x14ac:dyDescent="0.25">
      <c r="C123">
        <v>9.5000000000000001E-2</v>
      </c>
      <c r="D123">
        <f t="shared" si="10"/>
        <v>-11437.577711270898</v>
      </c>
      <c r="E123">
        <f t="shared" si="11"/>
        <v>5429.8036267182306</v>
      </c>
      <c r="F123">
        <f t="shared" si="14"/>
        <v>0.28112817833401549</v>
      </c>
      <c r="G123">
        <f t="shared" si="15"/>
        <v>1</v>
      </c>
      <c r="H123">
        <f t="shared" si="16"/>
        <v>2878.9645184263172</v>
      </c>
      <c r="K123">
        <v>9.5000000000000001E-2</v>
      </c>
      <c r="L123">
        <f t="shared" si="12"/>
        <v>-13152.577711270898</v>
      </c>
      <c r="M123">
        <f t="shared" si="13"/>
        <v>6787.0116999121037</v>
      </c>
      <c r="N123">
        <f t="shared" si="17"/>
        <v>0.27786437577513912</v>
      </c>
      <c r="O123">
        <f t="shared" si="18"/>
        <v>1</v>
      </c>
      <c r="P123">
        <f t="shared" si="19"/>
        <v>3577.6267835318627</v>
      </c>
    </row>
    <row r="124" spans="3:16" x14ac:dyDescent="0.25">
      <c r="C124">
        <v>9.6000000000000002E-2</v>
      </c>
      <c r="D124">
        <f t="shared" si="10"/>
        <v>-11424.725875862496</v>
      </c>
      <c r="E124">
        <f t="shared" si="11"/>
        <v>5427.1267874393734</v>
      </c>
      <c r="F124">
        <f t="shared" si="14"/>
        <v>0.28384121939774254</v>
      </c>
      <c r="G124">
        <f t="shared" si="15"/>
        <v>1</v>
      </c>
      <c r="H124">
        <f t="shared" si="16"/>
        <v>2891.3968233997925</v>
      </c>
      <c r="K124">
        <v>9.6000000000000002E-2</v>
      </c>
      <c r="L124">
        <f t="shared" si="12"/>
        <v>-13136.725875862496</v>
      </c>
      <c r="M124">
        <f t="shared" si="13"/>
        <v>6783.7100068608952</v>
      </c>
      <c r="N124">
        <f t="shared" si="17"/>
        <v>0.28054924420221727</v>
      </c>
      <c r="O124">
        <f t="shared" si="18"/>
        <v>1</v>
      </c>
      <c r="P124">
        <f t="shared" si="19"/>
        <v>3593.1208613078284</v>
      </c>
    </row>
    <row r="125" spans="3:16" x14ac:dyDescent="0.25">
      <c r="C125">
        <v>9.7000000000000003E-2</v>
      </c>
      <c r="D125">
        <f t="shared" si="10"/>
        <v>-11411.874040454093</v>
      </c>
      <c r="E125">
        <f t="shared" si="11"/>
        <v>5424.4499481605162</v>
      </c>
      <c r="F125">
        <f t="shared" si="14"/>
        <v>0.28654913123399606</v>
      </c>
      <c r="G125">
        <f t="shared" si="15"/>
        <v>1</v>
      </c>
      <c r="H125">
        <f t="shared" si="16"/>
        <v>2903.7234663459903</v>
      </c>
      <c r="K125">
        <v>9.7000000000000003E-2</v>
      </c>
      <c r="L125">
        <f t="shared" si="12"/>
        <v>-13120.874040454093</v>
      </c>
      <c r="M125">
        <f t="shared" si="13"/>
        <v>6780.4083138096867</v>
      </c>
      <c r="N125">
        <f t="shared" si="17"/>
        <v>0.28322911221806724</v>
      </c>
      <c r="O125">
        <f t="shared" si="18"/>
        <v>1</v>
      </c>
      <c r="P125">
        <f t="shared" si="19"/>
        <v>3608.4840769937036</v>
      </c>
    </row>
    <row r="126" spans="3:16" x14ac:dyDescent="0.25">
      <c r="C126">
        <v>9.8000000000000004E-2</v>
      </c>
      <c r="D126">
        <f t="shared" si="10"/>
        <v>-11399.02220504569</v>
      </c>
      <c r="E126">
        <f t="shared" si="11"/>
        <v>5421.773108881659</v>
      </c>
      <c r="F126">
        <f t="shared" si="14"/>
        <v>0.28925191384277582</v>
      </c>
      <c r="G126">
        <f t="shared" si="15"/>
        <v>1</v>
      </c>
      <c r="H126">
        <f t="shared" si="16"/>
        <v>2915.9458838744886</v>
      </c>
      <c r="K126">
        <v>9.8000000000000004E-2</v>
      </c>
      <c r="L126">
        <f t="shared" si="12"/>
        <v>-13105.02220504569</v>
      </c>
      <c r="M126">
        <f t="shared" si="13"/>
        <v>6777.106620758479</v>
      </c>
      <c r="N126">
        <f t="shared" si="17"/>
        <v>0.285903979822688</v>
      </c>
      <c r="O126">
        <f t="shared" si="18"/>
        <v>1</v>
      </c>
      <c r="P126">
        <f t="shared" si="19"/>
        <v>3623.7182118930182</v>
      </c>
    </row>
    <row r="127" spans="3:16" x14ac:dyDescent="0.25">
      <c r="C127">
        <v>9.9000000000000005E-2</v>
      </c>
      <c r="D127">
        <f t="shared" si="10"/>
        <v>-11386.170369637288</v>
      </c>
      <c r="E127">
        <f t="shared" si="11"/>
        <v>5419.0962696028018</v>
      </c>
      <c r="F127">
        <f t="shared" si="14"/>
        <v>0.29194956722408194</v>
      </c>
      <c r="G127">
        <f t="shared" si="15"/>
        <v>1</v>
      </c>
      <c r="H127">
        <f t="shared" si="16"/>
        <v>2928.0654772998137</v>
      </c>
      <c r="K127">
        <v>9.9000000000000005E-2</v>
      </c>
      <c r="L127">
        <f t="shared" si="12"/>
        <v>-13089.170369637288</v>
      </c>
      <c r="M127">
        <f t="shared" si="13"/>
        <v>6773.8049277072714</v>
      </c>
      <c r="N127">
        <f t="shared" si="17"/>
        <v>0.2885738470160808</v>
      </c>
      <c r="O127">
        <f t="shared" si="18"/>
        <v>1</v>
      </c>
      <c r="P127">
        <f t="shared" si="19"/>
        <v>3638.82500352537</v>
      </c>
    </row>
    <row r="128" spans="3:16" x14ac:dyDescent="0.25">
      <c r="C128">
        <v>0.1</v>
      </c>
      <c r="D128">
        <f t="shared" si="10"/>
        <v>-11373.318534228885</v>
      </c>
      <c r="E128">
        <f t="shared" si="11"/>
        <v>5416.4194303239437</v>
      </c>
      <c r="F128">
        <f t="shared" si="14"/>
        <v>0.29464209137791442</v>
      </c>
      <c r="G128">
        <f t="shared" si="15"/>
        <v>1</v>
      </c>
      <c r="H128">
        <f t="shared" si="16"/>
        <v>2940.0836138685827</v>
      </c>
      <c r="K128">
        <v>0.1</v>
      </c>
      <c r="L128">
        <f t="shared" si="12"/>
        <v>-13073.318534228885</v>
      </c>
      <c r="M128">
        <f t="shared" si="13"/>
        <v>6770.5032346560629</v>
      </c>
      <c r="N128">
        <f t="shared" si="17"/>
        <v>0.29123871379824418</v>
      </c>
      <c r="O128">
        <f t="shared" si="18"/>
        <v>1</v>
      </c>
      <c r="P128">
        <f t="shared" si="19"/>
        <v>3653.8061471489546</v>
      </c>
    </row>
    <row r="129" spans="3:16" x14ac:dyDescent="0.25">
      <c r="C129">
        <v>0.10100000000000001</v>
      </c>
      <c r="D129">
        <f t="shared" si="10"/>
        <v>-11360.466698820484</v>
      </c>
      <c r="E129">
        <f t="shared" si="11"/>
        <v>5413.7425910450875</v>
      </c>
      <c r="F129">
        <f t="shared" si="14"/>
        <v>0.29732948630427292</v>
      </c>
      <c r="G129">
        <f t="shared" si="15"/>
        <v>1</v>
      </c>
      <c r="H129">
        <f t="shared" si="16"/>
        <v>2952.0016279319952</v>
      </c>
      <c r="K129">
        <v>0.10100000000000001</v>
      </c>
      <c r="L129">
        <f t="shared" si="12"/>
        <v>-13057.466698820484</v>
      </c>
      <c r="M129">
        <f t="shared" si="13"/>
        <v>6767.2015416048553</v>
      </c>
      <c r="N129">
        <f t="shared" si="17"/>
        <v>0.29389858016917891</v>
      </c>
      <c r="O129">
        <f t="shared" si="18"/>
        <v>1</v>
      </c>
      <c r="P129">
        <f t="shared" si="19"/>
        <v>3668.6632972153366</v>
      </c>
    </row>
    <row r="130" spans="3:16" x14ac:dyDescent="0.25">
      <c r="C130">
        <v>0.10199999999999999</v>
      </c>
      <c r="D130">
        <f t="shared" si="10"/>
        <v>-11347.614863412082</v>
      </c>
      <c r="E130">
        <f t="shared" si="11"/>
        <v>5411.0657517662294</v>
      </c>
      <c r="F130">
        <f t="shared" si="14"/>
        <v>0.30001175200315799</v>
      </c>
      <c r="G130">
        <f t="shared" si="15"/>
        <v>1</v>
      </c>
      <c r="H130">
        <f t="shared" si="16"/>
        <v>2963.8208220666202</v>
      </c>
      <c r="K130">
        <v>0.10199999999999999</v>
      </c>
      <c r="L130">
        <f t="shared" si="12"/>
        <v>-13041.614863412082</v>
      </c>
      <c r="M130">
        <f t="shared" si="13"/>
        <v>6763.8998485536467</v>
      </c>
      <c r="N130">
        <f t="shared" si="17"/>
        <v>0.29655344612888568</v>
      </c>
      <c r="O130">
        <f t="shared" si="18"/>
        <v>1</v>
      </c>
      <c r="P130">
        <f t="shared" si="19"/>
        <v>3683.3980687600219</v>
      </c>
    </row>
    <row r="131" spans="3:16" x14ac:dyDescent="0.25">
      <c r="C131">
        <v>0.10299999999999999</v>
      </c>
      <c r="D131">
        <f t="shared" si="10"/>
        <v>-11334.763028003679</v>
      </c>
      <c r="E131">
        <f t="shared" si="11"/>
        <v>5408.3889124873731</v>
      </c>
      <c r="F131">
        <f t="shared" si="14"/>
        <v>0.30268888847456943</v>
      </c>
      <c r="G131">
        <f t="shared" si="15"/>
        <v>1</v>
      </c>
      <c r="H131">
        <f t="shared" si="16"/>
        <v>2975.5424681462514</v>
      </c>
      <c r="K131">
        <v>0.10299999999999999</v>
      </c>
      <c r="L131">
        <f t="shared" si="12"/>
        <v>-13025.763028003679</v>
      </c>
      <c r="M131">
        <f t="shared" si="13"/>
        <v>6760.5981555024391</v>
      </c>
      <c r="N131">
        <f t="shared" si="17"/>
        <v>0.29920331167736314</v>
      </c>
      <c r="O131">
        <f t="shared" si="18"/>
        <v>1</v>
      </c>
      <c r="P131">
        <f t="shared" si="19"/>
        <v>3698.0120387323163</v>
      </c>
    </row>
    <row r="132" spans="3:16" x14ac:dyDescent="0.25">
      <c r="C132">
        <v>0.104</v>
      </c>
      <c r="D132">
        <f t="shared" si="10"/>
        <v>-11321.911192595277</v>
      </c>
      <c r="E132">
        <f t="shared" si="11"/>
        <v>5405.712073208515</v>
      </c>
      <c r="F132">
        <f t="shared" si="14"/>
        <v>0.30536089571850722</v>
      </c>
      <c r="G132">
        <f t="shared" si="15"/>
        <v>1</v>
      </c>
      <c r="H132">
        <f t="shared" si="16"/>
        <v>2987.1678083674187</v>
      </c>
      <c r="K132">
        <v>0.104</v>
      </c>
      <c r="L132">
        <f t="shared" si="12"/>
        <v>-13009.911192595277</v>
      </c>
      <c r="M132">
        <f t="shared" si="13"/>
        <v>6757.2964624512306</v>
      </c>
      <c r="N132">
        <f t="shared" si="17"/>
        <v>0.30184817681461251</v>
      </c>
      <c r="O132">
        <f t="shared" si="18"/>
        <v>1</v>
      </c>
      <c r="P132">
        <f t="shared" si="19"/>
        <v>3712.5067472677188</v>
      </c>
    </row>
    <row r="133" spans="3:16" x14ac:dyDescent="0.25">
      <c r="C133">
        <v>0.105</v>
      </c>
      <c r="D133">
        <f t="shared" si="10"/>
        <v>-11309.059357186874</v>
      </c>
      <c r="E133">
        <f t="shared" si="11"/>
        <v>5403.0352339296578</v>
      </c>
      <c r="F133">
        <f t="shared" si="14"/>
        <v>0.30802777373497137</v>
      </c>
      <c r="G133">
        <f t="shared" si="15"/>
        <v>1</v>
      </c>
      <c r="H133">
        <f t="shared" si="16"/>
        <v>2998.6980562309977</v>
      </c>
      <c r="K133">
        <v>0.105</v>
      </c>
      <c r="L133">
        <f t="shared" si="12"/>
        <v>-12994.059357186874</v>
      </c>
      <c r="M133">
        <f t="shared" si="13"/>
        <v>6753.9947694000221</v>
      </c>
      <c r="N133">
        <f t="shared" si="17"/>
        <v>0.30448804154063269</v>
      </c>
      <c r="O133">
        <f t="shared" si="18"/>
        <v>1</v>
      </c>
      <c r="P133">
        <f t="shared" si="19"/>
        <v>3726.883698905775</v>
      </c>
    </row>
    <row r="134" spans="3:16" x14ac:dyDescent="0.25">
      <c r="C134">
        <v>0.106</v>
      </c>
      <c r="D134">
        <f t="shared" si="10"/>
        <v>-11296.207521778471</v>
      </c>
      <c r="E134">
        <f t="shared" si="11"/>
        <v>5400.3583946508006</v>
      </c>
      <c r="F134">
        <f t="shared" si="14"/>
        <v>0.31068952252396165</v>
      </c>
      <c r="G134">
        <f t="shared" si="15"/>
        <v>1</v>
      </c>
      <c r="H134">
        <f t="shared" si="16"/>
        <v>3010.1343974821862</v>
      </c>
      <c r="K134">
        <v>0.106</v>
      </c>
      <c r="L134">
        <f t="shared" si="12"/>
        <v>-12978.207521778471</v>
      </c>
      <c r="M134">
        <f t="shared" si="13"/>
        <v>6750.6930763488144</v>
      </c>
      <c r="N134">
        <f t="shared" si="17"/>
        <v>0.30712290585542479</v>
      </c>
      <c r="O134">
        <f t="shared" si="18"/>
        <v>1</v>
      </c>
      <c r="P134">
        <f t="shared" si="19"/>
        <v>3741.1443637563407</v>
      </c>
    </row>
    <row r="135" spans="3:16" x14ac:dyDescent="0.25">
      <c r="C135">
        <v>0.107</v>
      </c>
      <c r="D135">
        <f t="shared" si="10"/>
        <v>-11283.355686370069</v>
      </c>
      <c r="E135">
        <f t="shared" si="11"/>
        <v>5397.6815553719434</v>
      </c>
      <c r="F135">
        <f t="shared" si="14"/>
        <v>0.3133461420854784</v>
      </c>
      <c r="G135">
        <f t="shared" si="15"/>
        <v>1</v>
      </c>
      <c r="H135">
        <f t="shared" si="16"/>
        <v>3021.4779910110069</v>
      </c>
      <c r="K135">
        <v>0.107</v>
      </c>
      <c r="L135">
        <f t="shared" si="12"/>
        <v>-12962.355686370069</v>
      </c>
      <c r="M135">
        <f t="shared" si="13"/>
        <v>6747.3913832976068</v>
      </c>
      <c r="N135">
        <f t="shared" si="17"/>
        <v>0.30975276975898747</v>
      </c>
      <c r="O135">
        <f t="shared" si="18"/>
        <v>1</v>
      </c>
      <c r="P135">
        <f t="shared" si="19"/>
        <v>3755.2901786167945</v>
      </c>
    </row>
    <row r="136" spans="3:16" x14ac:dyDescent="0.25">
      <c r="C136">
        <v>0.108</v>
      </c>
      <c r="D136">
        <f t="shared" si="10"/>
        <v>-11270.503850961666</v>
      </c>
      <c r="E136">
        <f t="shared" si="11"/>
        <v>5395.0047160930862</v>
      </c>
      <c r="F136">
        <f t="shared" si="14"/>
        <v>0.3159976324195215</v>
      </c>
      <c r="G136">
        <f t="shared" si="15"/>
        <v>1</v>
      </c>
      <c r="H136">
        <f t="shared" si="16"/>
        <v>3032.7299697153362</v>
      </c>
      <c r="K136">
        <v>0.108</v>
      </c>
      <c r="L136">
        <f t="shared" si="12"/>
        <v>-12946.503850961666</v>
      </c>
      <c r="M136">
        <f t="shared" si="13"/>
        <v>6744.0896902463983</v>
      </c>
      <c r="N136">
        <f t="shared" si="17"/>
        <v>0.31237763325132217</v>
      </c>
      <c r="O136">
        <f t="shared" si="18"/>
        <v>1</v>
      </c>
      <c r="P136">
        <f t="shared" si="19"/>
        <v>3769.3225480428241</v>
      </c>
    </row>
    <row r="137" spans="3:16" x14ac:dyDescent="0.25">
      <c r="C137">
        <v>0.109</v>
      </c>
      <c r="D137">
        <f t="shared" si="10"/>
        <v>-11257.652015553263</v>
      </c>
      <c r="E137">
        <f t="shared" si="11"/>
        <v>5392.3278768142281</v>
      </c>
      <c r="F137">
        <f t="shared" si="14"/>
        <v>0.31864399352609096</v>
      </c>
      <c r="G137">
        <f t="shared" si="15"/>
        <v>1</v>
      </c>
      <c r="H137">
        <f t="shared" si="16"/>
        <v>3043.8914413283592</v>
      </c>
      <c r="K137">
        <v>0.109</v>
      </c>
      <c r="L137">
        <f t="shared" si="12"/>
        <v>-12930.652015553263</v>
      </c>
      <c r="M137">
        <f t="shared" si="13"/>
        <v>6740.7879971951897</v>
      </c>
      <c r="N137">
        <f t="shared" si="17"/>
        <v>0.31499749633242768</v>
      </c>
      <c r="O137">
        <f t="shared" si="18"/>
        <v>1</v>
      </c>
      <c r="P137">
        <f t="shared" si="19"/>
        <v>3783.242845375004</v>
      </c>
    </row>
    <row r="138" spans="3:16" x14ac:dyDescent="0.25">
      <c r="C138">
        <v>0.11</v>
      </c>
      <c r="D138">
        <f t="shared" si="10"/>
        <v>-11244.800180144861</v>
      </c>
      <c r="E138">
        <f t="shared" si="11"/>
        <v>5389.6510375353719</v>
      </c>
      <c r="F138">
        <f t="shared" si="14"/>
        <v>0.32128522540518667</v>
      </c>
      <c r="G138">
        <f t="shared" si="15"/>
        <v>1</v>
      </c>
      <c r="H138">
        <f t="shared" si="16"/>
        <v>3054.9634892122367</v>
      </c>
      <c r="K138">
        <v>0.11</v>
      </c>
      <c r="L138">
        <f t="shared" si="12"/>
        <v>-12914.800180144861</v>
      </c>
      <c r="M138">
        <f t="shared" si="13"/>
        <v>6737.4863041439821</v>
      </c>
      <c r="N138">
        <f t="shared" si="17"/>
        <v>0.31761235900230522</v>
      </c>
      <c r="O138">
        <f t="shared" si="18"/>
        <v>1</v>
      </c>
      <c r="P138">
        <f t="shared" si="19"/>
        <v>3797.0524137235088</v>
      </c>
    </row>
    <row r="139" spans="3:16" x14ac:dyDescent="0.25">
      <c r="C139">
        <v>0.111</v>
      </c>
      <c r="D139">
        <f t="shared" si="10"/>
        <v>-11231.948344736458</v>
      </c>
      <c r="E139">
        <f t="shared" si="11"/>
        <v>5386.9741982565138</v>
      </c>
      <c r="F139">
        <f t="shared" si="14"/>
        <v>0.32392132805680884</v>
      </c>
      <c r="G139">
        <f t="shared" si="15"/>
        <v>1</v>
      </c>
      <c r="H139">
        <f t="shared" si="16"/>
        <v>3065.9471731196527</v>
      </c>
      <c r="K139">
        <v>0.111</v>
      </c>
      <c r="L139">
        <f t="shared" si="12"/>
        <v>-12898.948344736458</v>
      </c>
      <c r="M139">
        <f t="shared" si="13"/>
        <v>6734.1846110927745</v>
      </c>
      <c r="N139">
        <f t="shared" si="17"/>
        <v>0.32022222126095323</v>
      </c>
      <c r="O139">
        <f t="shared" si="18"/>
        <v>1</v>
      </c>
      <c r="P139">
        <f t="shared" si="19"/>
        <v>3810.7525669129095</v>
      </c>
    </row>
    <row r="140" spans="3:16" x14ac:dyDescent="0.25">
      <c r="C140">
        <v>0.112</v>
      </c>
      <c r="D140">
        <f t="shared" si="10"/>
        <v>-11219.096509328057</v>
      </c>
      <c r="E140">
        <f t="shared" si="11"/>
        <v>5384.2973589776575</v>
      </c>
      <c r="F140">
        <f t="shared" si="14"/>
        <v>0.32655230148095682</v>
      </c>
      <c r="G140">
        <f t="shared" si="15"/>
        <v>1</v>
      </c>
      <c r="H140">
        <f t="shared" si="16"/>
        <v>3076.8435299248222</v>
      </c>
      <c r="K140">
        <v>0.112</v>
      </c>
      <c r="L140">
        <f t="shared" si="12"/>
        <v>-12883.096509328057</v>
      </c>
      <c r="M140">
        <f t="shared" si="13"/>
        <v>6730.8829180415669</v>
      </c>
      <c r="N140">
        <f t="shared" si="17"/>
        <v>0.32282708310837283</v>
      </c>
      <c r="O140">
        <f t="shared" si="18"/>
        <v>1</v>
      </c>
      <c r="P140">
        <f t="shared" si="19"/>
        <v>3824.3445903891493</v>
      </c>
    </row>
    <row r="141" spans="3:16" x14ac:dyDescent="0.25">
      <c r="C141">
        <v>0.113</v>
      </c>
      <c r="D141">
        <f t="shared" si="10"/>
        <v>-11206.244673919655</v>
      </c>
      <c r="E141">
        <f t="shared" si="11"/>
        <v>5381.6205196987994</v>
      </c>
      <c r="F141">
        <f t="shared" si="14"/>
        <v>0.32917814567763148</v>
      </c>
      <c r="G141">
        <f t="shared" si="15"/>
        <v>1</v>
      </c>
      <c r="H141">
        <f t="shared" si="16"/>
        <v>3087.6535743254594</v>
      </c>
      <c r="K141">
        <v>0.113</v>
      </c>
      <c r="L141">
        <f t="shared" si="12"/>
        <v>-12867.244673919655</v>
      </c>
      <c r="M141">
        <f t="shared" si="13"/>
        <v>6727.5812249903584</v>
      </c>
      <c r="N141">
        <f t="shared" si="17"/>
        <v>0.32542694454456422</v>
      </c>
      <c r="O141">
        <f t="shared" si="18"/>
        <v>1</v>
      </c>
      <c r="P141">
        <f t="shared" si="19"/>
        <v>3837.8297420904173</v>
      </c>
    </row>
    <row r="142" spans="3:16" x14ac:dyDescent="0.25">
      <c r="C142">
        <v>0.114</v>
      </c>
      <c r="D142">
        <f t="shared" si="10"/>
        <v>-11193.392838511252</v>
      </c>
      <c r="E142">
        <f t="shared" si="11"/>
        <v>5378.9436804199431</v>
      </c>
      <c r="F142">
        <f t="shared" si="14"/>
        <v>0.33179886064683262</v>
      </c>
      <c r="G142">
        <f t="shared" si="15"/>
        <v>1</v>
      </c>
      <c r="H142">
        <f t="shared" si="16"/>
        <v>3098.3782995170895</v>
      </c>
      <c r="K142">
        <v>0.114</v>
      </c>
      <c r="L142">
        <f t="shared" si="12"/>
        <v>-12851.392838511252</v>
      </c>
      <c r="M142">
        <f t="shared" si="13"/>
        <v>6724.2795319391498</v>
      </c>
      <c r="N142">
        <f t="shared" si="17"/>
        <v>0.32802180556952643</v>
      </c>
      <c r="O142">
        <f t="shared" si="18"/>
        <v>1</v>
      </c>
      <c r="P142">
        <f t="shared" si="19"/>
        <v>3851.2092532837423</v>
      </c>
    </row>
    <row r="143" spans="3:16" x14ac:dyDescent="0.25">
      <c r="C143">
        <v>0.115</v>
      </c>
      <c r="D143">
        <f t="shared" si="10"/>
        <v>-11180.54100310285</v>
      </c>
      <c r="E143">
        <f t="shared" si="11"/>
        <v>5376.266841141085</v>
      </c>
      <c r="F143">
        <f t="shared" si="14"/>
        <v>0.33441444638855988</v>
      </c>
      <c r="G143">
        <f t="shared" si="15"/>
        <v>1</v>
      </c>
      <c r="H143">
        <f t="shared" si="16"/>
        <v>3109.018677841038</v>
      </c>
      <c r="K143">
        <v>0.115</v>
      </c>
      <c r="L143">
        <f t="shared" si="12"/>
        <v>-12835.54100310285</v>
      </c>
      <c r="M143">
        <f t="shared" si="13"/>
        <v>6720.9778388879422</v>
      </c>
      <c r="N143">
        <f t="shared" si="17"/>
        <v>0.33061166618326066</v>
      </c>
      <c r="O143">
        <f t="shared" si="18"/>
        <v>1</v>
      </c>
      <c r="P143">
        <f t="shared" si="19"/>
        <v>3864.4843293689428</v>
      </c>
    </row>
    <row r="144" spans="3:16" x14ac:dyDescent="0.25">
      <c r="C144">
        <v>0.11600000000000001</v>
      </c>
      <c r="D144">
        <f t="shared" si="10"/>
        <v>-11167.689167694447</v>
      </c>
      <c r="E144">
        <f t="shared" si="11"/>
        <v>5373.5900018622278</v>
      </c>
      <c r="F144">
        <f t="shared" si="14"/>
        <v>0.33702490290281362</v>
      </c>
      <c r="G144">
        <f t="shared" si="15"/>
        <v>1</v>
      </c>
      <c r="H144">
        <f t="shared" si="16"/>
        <v>3119.5756614073612</v>
      </c>
      <c r="K144">
        <v>0.11600000000000001</v>
      </c>
      <c r="L144">
        <f t="shared" si="12"/>
        <v>-12819.689167694447</v>
      </c>
      <c r="M144">
        <f t="shared" si="13"/>
        <v>6717.6761458367337</v>
      </c>
      <c r="N144">
        <f t="shared" si="17"/>
        <v>0.33319652638576558</v>
      </c>
      <c r="O144">
        <f t="shared" si="18"/>
        <v>1</v>
      </c>
      <c r="P144">
        <f t="shared" si="19"/>
        <v>3877.656150651419</v>
      </c>
    </row>
    <row r="145" spans="3:16" x14ac:dyDescent="0.25">
      <c r="C145">
        <v>0.11700000000000001</v>
      </c>
      <c r="D145">
        <f t="shared" si="10"/>
        <v>-11154.837332286044</v>
      </c>
      <c r="E145">
        <f t="shared" si="11"/>
        <v>5370.9131625833706</v>
      </c>
      <c r="F145">
        <f t="shared" si="14"/>
        <v>0.33963023018959371</v>
      </c>
      <c r="G145">
        <f t="shared" si="15"/>
        <v>1</v>
      </c>
      <c r="H145">
        <f t="shared" si="16"/>
        <v>3130.0501826938621</v>
      </c>
      <c r="K145">
        <v>0.11700000000000001</v>
      </c>
      <c r="L145">
        <f t="shared" si="12"/>
        <v>-12803.837332286044</v>
      </c>
      <c r="M145">
        <f t="shared" si="13"/>
        <v>6714.3744527855251</v>
      </c>
      <c r="N145">
        <f t="shared" si="17"/>
        <v>0.33577638617704209</v>
      </c>
      <c r="O145">
        <f t="shared" si="18"/>
        <v>1</v>
      </c>
      <c r="P145">
        <f t="shared" si="19"/>
        <v>3890.7258730853596</v>
      </c>
    </row>
    <row r="146" spans="3:16" x14ac:dyDescent="0.25">
      <c r="C146">
        <v>0.11799999999999999</v>
      </c>
      <c r="D146">
        <f t="shared" si="10"/>
        <v>-11141.985496877642</v>
      </c>
      <c r="E146">
        <f t="shared" si="11"/>
        <v>5368.2363233045135</v>
      </c>
      <c r="F146">
        <f t="shared" si="14"/>
        <v>0.34223042824890015</v>
      </c>
      <c r="G146">
        <f t="shared" si="15"/>
        <v>1</v>
      </c>
      <c r="H146">
        <f t="shared" si="16"/>
        <v>3140.443155122342</v>
      </c>
      <c r="K146">
        <v>0.11799999999999999</v>
      </c>
      <c r="L146">
        <f t="shared" si="12"/>
        <v>-12787.985496877642</v>
      </c>
      <c r="M146">
        <f t="shared" si="13"/>
        <v>6711.0727597343175</v>
      </c>
      <c r="N146">
        <f t="shared" si="17"/>
        <v>0.33835124555708995</v>
      </c>
      <c r="O146">
        <f t="shared" si="18"/>
        <v>1</v>
      </c>
      <c r="P146">
        <f t="shared" si="19"/>
        <v>3903.6946289886287</v>
      </c>
    </row>
    <row r="147" spans="3:16" x14ac:dyDescent="0.25">
      <c r="C147">
        <v>0.11899999999999999</v>
      </c>
      <c r="D147">
        <f t="shared" si="10"/>
        <v>-11129.133661469239</v>
      </c>
      <c r="E147">
        <f t="shared" si="11"/>
        <v>5365.5594840256563</v>
      </c>
      <c r="F147">
        <f t="shared" si="14"/>
        <v>0.34482549708073273</v>
      </c>
      <c r="G147">
        <f t="shared" si="15"/>
        <v>1</v>
      </c>
      <c r="H147">
        <f t="shared" si="16"/>
        <v>3150.7554736131178</v>
      </c>
      <c r="K147">
        <v>0.11899999999999999</v>
      </c>
      <c r="L147">
        <f t="shared" si="12"/>
        <v>-12772.133661469239</v>
      </c>
      <c r="M147">
        <f t="shared" si="13"/>
        <v>6707.7710666831099</v>
      </c>
      <c r="N147">
        <f t="shared" si="17"/>
        <v>0.34092110452590907</v>
      </c>
      <c r="O147">
        <f t="shared" si="18"/>
        <v>1</v>
      </c>
      <c r="P147">
        <f t="shared" si="19"/>
        <v>3916.5635277307233</v>
      </c>
    </row>
    <row r="148" spans="3:16" x14ac:dyDescent="0.25">
      <c r="C148">
        <v>0.12</v>
      </c>
      <c r="D148">
        <f t="shared" si="10"/>
        <v>-11116.281826060836</v>
      </c>
      <c r="E148">
        <f t="shared" si="11"/>
        <v>5362.8826447467982</v>
      </c>
      <c r="F148">
        <f t="shared" si="14"/>
        <v>0.34741543668509178</v>
      </c>
      <c r="G148">
        <f t="shared" si="15"/>
        <v>1</v>
      </c>
      <c r="H148">
        <f t="shared" si="16"/>
        <v>3160.988015118814</v>
      </c>
      <c r="K148">
        <v>0.12</v>
      </c>
      <c r="L148">
        <f t="shared" si="12"/>
        <v>-12756.281826060836</v>
      </c>
      <c r="M148">
        <f t="shared" si="13"/>
        <v>6704.4693736319014</v>
      </c>
      <c r="N148">
        <f t="shared" si="17"/>
        <v>0.34348596308349955</v>
      </c>
      <c r="O148">
        <f t="shared" si="18"/>
        <v>1</v>
      </c>
      <c r="P148">
        <f t="shared" si="19"/>
        <v>3929.3336563950065</v>
      </c>
    </row>
    <row r="149" spans="3:16" x14ac:dyDescent="0.25">
      <c r="C149">
        <v>0.121</v>
      </c>
      <c r="D149">
        <f t="shared" si="10"/>
        <v>-11103.429990652434</v>
      </c>
      <c r="E149">
        <f t="shared" si="11"/>
        <v>5360.2058054679419</v>
      </c>
      <c r="F149">
        <f t="shared" si="14"/>
        <v>0.35000024706197719</v>
      </c>
      <c r="G149">
        <f t="shared" si="15"/>
        <v>1</v>
      </c>
      <c r="H149">
        <f t="shared" si="16"/>
        <v>3171.1416391383632</v>
      </c>
      <c r="K149">
        <v>0.121</v>
      </c>
      <c r="L149">
        <f t="shared" si="12"/>
        <v>-12740.429990652434</v>
      </c>
      <c r="M149">
        <f t="shared" si="13"/>
        <v>6701.1676805806928</v>
      </c>
      <c r="N149">
        <f t="shared" si="17"/>
        <v>0.34604582122986138</v>
      </c>
      <c r="O149">
        <f t="shared" si="18"/>
        <v>1</v>
      </c>
      <c r="P149">
        <f t="shared" si="19"/>
        <v>3942.006080416385</v>
      </c>
    </row>
    <row r="150" spans="3:16" x14ac:dyDescent="0.25">
      <c r="C150">
        <v>0.122</v>
      </c>
      <c r="D150">
        <f t="shared" si="10"/>
        <v>-11090.578155244031</v>
      </c>
      <c r="E150">
        <f t="shared" si="11"/>
        <v>5357.5289661890838</v>
      </c>
      <c r="F150">
        <f t="shared" si="14"/>
        <v>0.35257992821138884</v>
      </c>
      <c r="G150">
        <f t="shared" si="15"/>
        <v>1</v>
      </c>
      <c r="H150">
        <f t="shared" si="16"/>
        <v>3181.2171882121111</v>
      </c>
      <c r="K150">
        <v>0.122</v>
      </c>
      <c r="L150">
        <f t="shared" si="12"/>
        <v>-12724.578155244031</v>
      </c>
      <c r="M150">
        <f t="shared" si="13"/>
        <v>6697.8659875294852</v>
      </c>
      <c r="N150">
        <f t="shared" si="17"/>
        <v>0.34860067896499469</v>
      </c>
      <c r="O150">
        <f t="shared" si="18"/>
        <v>1</v>
      </c>
      <c r="P150">
        <f t="shared" si="19"/>
        <v>3954.5818441955435</v>
      </c>
    </row>
    <row r="151" spans="3:16" x14ac:dyDescent="0.25">
      <c r="C151">
        <v>0.123</v>
      </c>
      <c r="D151">
        <f t="shared" si="10"/>
        <v>-11077.72631983563</v>
      </c>
      <c r="E151">
        <f t="shared" si="11"/>
        <v>5354.8521269102275</v>
      </c>
      <c r="F151">
        <f t="shared" si="14"/>
        <v>0.35515448013332662</v>
      </c>
      <c r="G151">
        <f t="shared" si="15"/>
        <v>1</v>
      </c>
      <c r="H151">
        <f t="shared" si="16"/>
        <v>3191.215488398876</v>
      </c>
      <c r="K151">
        <v>0.123</v>
      </c>
      <c r="L151">
        <f t="shared" si="12"/>
        <v>-12708.72631983563</v>
      </c>
      <c r="M151">
        <f t="shared" si="13"/>
        <v>6694.5642944782776</v>
      </c>
      <c r="N151">
        <f t="shared" si="17"/>
        <v>0.35115053628889892</v>
      </c>
      <c r="O151">
        <f t="shared" si="18"/>
        <v>1</v>
      </c>
      <c r="P151">
        <f t="shared" si="19"/>
        <v>3967.0619716907759</v>
      </c>
    </row>
    <row r="152" spans="3:16" x14ac:dyDescent="0.25">
      <c r="C152">
        <v>0.124</v>
      </c>
      <c r="D152">
        <f t="shared" si="10"/>
        <v>-11064.874484427226</v>
      </c>
      <c r="E152">
        <f t="shared" si="11"/>
        <v>5352.1752876313694</v>
      </c>
      <c r="F152">
        <f t="shared" si="14"/>
        <v>0.35772390282779121</v>
      </c>
      <c r="G152">
        <f t="shared" si="15"/>
        <v>1</v>
      </c>
      <c r="H152">
        <f t="shared" si="16"/>
        <v>3201.1373497357554</v>
      </c>
      <c r="K152">
        <v>0.124</v>
      </c>
      <c r="L152">
        <f t="shared" si="12"/>
        <v>-12692.874484427226</v>
      </c>
      <c r="M152">
        <f t="shared" si="13"/>
        <v>6691.2626014270691</v>
      </c>
      <c r="N152">
        <f t="shared" si="17"/>
        <v>0.35369539320157506</v>
      </c>
      <c r="O152">
        <f t="shared" si="18"/>
        <v>1</v>
      </c>
      <c r="P152">
        <f t="shared" si="19"/>
        <v>3979.4474669884348</v>
      </c>
    </row>
    <row r="153" spans="3:16" x14ac:dyDescent="0.25">
      <c r="C153">
        <v>0.125</v>
      </c>
      <c r="D153">
        <f t="shared" si="10"/>
        <v>-11052.022649018825</v>
      </c>
      <c r="E153">
        <f t="shared" si="11"/>
        <v>5349.4984483525132</v>
      </c>
      <c r="F153">
        <f t="shared" si="14"/>
        <v>0.36028819629478159</v>
      </c>
      <c r="G153">
        <f t="shared" si="15"/>
        <v>1</v>
      </c>
      <c r="H153">
        <f t="shared" si="16"/>
        <v>3210.9835666814351</v>
      </c>
      <c r="K153">
        <v>0.125</v>
      </c>
      <c r="L153">
        <f t="shared" si="12"/>
        <v>-12677.022649018825</v>
      </c>
      <c r="M153">
        <f t="shared" si="13"/>
        <v>6687.9609083758614</v>
      </c>
      <c r="N153">
        <f t="shared" si="17"/>
        <v>0.35623524970302201</v>
      </c>
      <c r="O153">
        <f t="shared" si="18"/>
        <v>1</v>
      </c>
      <c r="P153">
        <f t="shared" si="19"/>
        <v>3991.7393148528854</v>
      </c>
    </row>
    <row r="154" spans="3:16" x14ac:dyDescent="0.25">
      <c r="C154">
        <v>0.126</v>
      </c>
      <c r="D154">
        <f t="shared" si="10"/>
        <v>-11039.170813610423</v>
      </c>
      <c r="E154">
        <f t="shared" si="11"/>
        <v>5346.8216090736551</v>
      </c>
      <c r="F154">
        <f t="shared" si="14"/>
        <v>0.36284736053429856</v>
      </c>
      <c r="G154">
        <f t="shared" si="15"/>
        <v>1</v>
      </c>
      <c r="H154">
        <f t="shared" si="16"/>
        <v>3220.7549185437429</v>
      </c>
      <c r="K154">
        <v>0.126</v>
      </c>
      <c r="L154">
        <f t="shared" si="12"/>
        <v>-12661.170813610423</v>
      </c>
      <c r="M154">
        <f t="shared" si="13"/>
        <v>6684.6592153246529</v>
      </c>
      <c r="N154">
        <f t="shared" si="17"/>
        <v>0.35877010579324042</v>
      </c>
      <c r="O154">
        <f t="shared" si="18"/>
        <v>1</v>
      </c>
      <c r="P154">
        <f t="shared" si="19"/>
        <v>4003.938481256931</v>
      </c>
    </row>
    <row r="155" spans="3:16" x14ac:dyDescent="0.25">
      <c r="C155">
        <v>0.127</v>
      </c>
      <c r="D155">
        <f t="shared" si="10"/>
        <v>-11026.31897820202</v>
      </c>
      <c r="E155">
        <f t="shared" si="11"/>
        <v>5344.1447697947979</v>
      </c>
      <c r="F155">
        <f t="shared" si="14"/>
        <v>0.36540139554634188</v>
      </c>
      <c r="G155">
        <f t="shared" si="15"/>
        <v>1</v>
      </c>
      <c r="H155">
        <f t="shared" si="16"/>
        <v>3230.4521698920976</v>
      </c>
      <c r="K155">
        <v>0.127</v>
      </c>
      <c r="L155">
        <f t="shared" si="12"/>
        <v>-12645.31897820202</v>
      </c>
      <c r="M155">
        <f t="shared" si="13"/>
        <v>6681.3575222734453</v>
      </c>
      <c r="N155">
        <f t="shared" si="17"/>
        <v>0.36129996147223031</v>
      </c>
      <c r="O155">
        <f t="shared" si="18"/>
        <v>1</v>
      </c>
      <c r="P155">
        <f t="shared" si="19"/>
        <v>4016.0459138934871</v>
      </c>
    </row>
    <row r="156" spans="3:16" x14ac:dyDescent="0.25">
      <c r="C156">
        <v>0.128</v>
      </c>
      <c r="D156">
        <f t="shared" ref="D156:D219" si="20">-$J$23+($J$15+$J$23)*C156</f>
        <v>-11013.467142793617</v>
      </c>
      <c r="E156">
        <f t="shared" ref="E156:E219" si="21">$J$12-$J$11*D156</f>
        <v>5341.4679305159407</v>
      </c>
      <c r="F156">
        <f t="shared" si="14"/>
        <v>0.36795030133091156</v>
      </c>
      <c r="G156">
        <f t="shared" si="15"/>
        <v>1</v>
      </c>
      <c r="H156">
        <f t="shared" si="16"/>
        <v>3240.0760709555261</v>
      </c>
      <c r="K156">
        <v>0.128</v>
      </c>
      <c r="L156">
        <f t="shared" ref="L156:L219" si="22">-$M$23+($M$15+$M$23)*K156</f>
        <v>-12629.467142793617</v>
      </c>
      <c r="M156">
        <f t="shared" ref="M156:M219" si="23">$J$12-$J$11*L156+$E$18</f>
        <v>6678.0558292222368</v>
      </c>
      <c r="N156">
        <f t="shared" si="17"/>
        <v>0.36382481673999156</v>
      </c>
      <c r="O156">
        <f t="shared" si="18"/>
        <v>1</v>
      </c>
      <c r="P156">
        <f t="shared" si="19"/>
        <v>4028.0625426693473</v>
      </c>
    </row>
    <row r="157" spans="3:16" x14ac:dyDescent="0.25">
      <c r="C157">
        <v>0.129</v>
      </c>
      <c r="D157">
        <f t="shared" si="20"/>
        <v>-11000.615307385215</v>
      </c>
      <c r="E157">
        <f t="shared" si="21"/>
        <v>5338.7910912370835</v>
      </c>
      <c r="F157">
        <f t="shared" ref="F157:F220" si="24">IF(D157&lt;$J$20,MAX(1-(D157-$J$20)^2/$J$22^2,0),1)</f>
        <v>0.37049407788800748</v>
      </c>
      <c r="G157">
        <f t="shared" ref="G157:G220" si="25">IF(D157&gt;$J$17,MAX(1-(D157-$J$17)^2/($J$15-$J$17)^2,0),1)</f>
        <v>1</v>
      </c>
      <c r="H157">
        <f t="shared" ref="H157:H220" si="26">SQRT(E157^2*F157*G157)</f>
        <v>3249.6273580068537</v>
      </c>
      <c r="K157">
        <v>0.129</v>
      </c>
      <c r="L157">
        <f t="shared" si="22"/>
        <v>-12613.615307385215</v>
      </c>
      <c r="M157">
        <f t="shared" si="23"/>
        <v>6674.7541361710282</v>
      </c>
      <c r="N157">
        <f t="shared" ref="N157:N220" si="27">IF(L157&lt;$J$20,MAX(1-(L157-$J$20)^2/$M$22^2,0),1)</f>
        <v>0.36634467159652417</v>
      </c>
      <c r="O157">
        <f t="shared" ref="O157:O220" si="28">IF(L157&gt;$J$17,MAX(1-(L157-$J$17)^2/($M$15-$J$17)^2,0),1)</f>
        <v>1</v>
      </c>
      <c r="P157">
        <f t="shared" ref="P157:P220" si="29">SQRT(M157^2*N157*O157)</f>
        <v>4039.9892801818055</v>
      </c>
    </row>
    <row r="158" spans="3:16" x14ac:dyDescent="0.25">
      <c r="C158">
        <v>0.13</v>
      </c>
      <c r="D158">
        <f t="shared" si="20"/>
        <v>-10987.763471976812</v>
      </c>
      <c r="E158">
        <f t="shared" si="21"/>
        <v>5336.1142519582263</v>
      </c>
      <c r="F158">
        <f t="shared" si="24"/>
        <v>0.37303272521762987</v>
      </c>
      <c r="G158">
        <f t="shared" si="25"/>
        <v>1</v>
      </c>
      <c r="H158">
        <f t="shared" si="26"/>
        <v>3259.1067537336548</v>
      </c>
      <c r="K158">
        <v>0.13</v>
      </c>
      <c r="L158">
        <f t="shared" si="22"/>
        <v>-12597.763471976812</v>
      </c>
      <c r="M158">
        <f t="shared" si="23"/>
        <v>6671.4524431198206</v>
      </c>
      <c r="N158">
        <f t="shared" si="27"/>
        <v>0.36885952604182803</v>
      </c>
      <c r="O158">
        <f t="shared" si="28"/>
        <v>1</v>
      </c>
      <c r="P158">
        <f t="shared" si="29"/>
        <v>4051.827022178838</v>
      </c>
    </row>
    <row r="159" spans="3:16" x14ac:dyDescent="0.25">
      <c r="C159">
        <v>0.13100000000000001</v>
      </c>
      <c r="D159">
        <f t="shared" si="20"/>
        <v>-10974.911636568409</v>
      </c>
      <c r="E159">
        <f t="shared" si="21"/>
        <v>5333.4374126793682</v>
      </c>
      <c r="F159">
        <f t="shared" si="24"/>
        <v>0.3755662433197785</v>
      </c>
      <c r="G159">
        <f t="shared" si="25"/>
        <v>1</v>
      </c>
      <c r="H159">
        <f t="shared" si="26"/>
        <v>3268.5149675965145</v>
      </c>
      <c r="K159">
        <v>0.13100000000000001</v>
      </c>
      <c r="L159">
        <f t="shared" si="22"/>
        <v>-12581.911636568409</v>
      </c>
      <c r="M159">
        <f t="shared" si="23"/>
        <v>6668.150750068613</v>
      </c>
      <c r="N159">
        <f t="shared" si="27"/>
        <v>0.37136938007590325</v>
      </c>
      <c r="O159">
        <f t="shared" si="28"/>
        <v>1</v>
      </c>
      <c r="P159">
        <f t="shared" si="29"/>
        <v>4063.5766480035527</v>
      </c>
    </row>
    <row r="160" spans="3:16" x14ac:dyDescent="0.25">
      <c r="C160">
        <v>0.13200000000000001</v>
      </c>
      <c r="D160">
        <f t="shared" si="20"/>
        <v>-10962.059801160007</v>
      </c>
      <c r="E160">
        <f t="shared" si="21"/>
        <v>5330.7605734005119</v>
      </c>
      <c r="F160">
        <f t="shared" si="24"/>
        <v>0.37809463219445349</v>
      </c>
      <c r="G160">
        <f t="shared" si="25"/>
        <v>1</v>
      </c>
      <c r="H160">
        <f t="shared" si="26"/>
        <v>3277.8526961751418</v>
      </c>
      <c r="K160">
        <v>0.13200000000000001</v>
      </c>
      <c r="L160">
        <f t="shared" si="22"/>
        <v>-12566.059801160007</v>
      </c>
      <c r="M160">
        <f t="shared" si="23"/>
        <v>6664.8490570174044</v>
      </c>
      <c r="N160">
        <f t="shared" si="27"/>
        <v>0.37387423369874984</v>
      </c>
      <c r="O160">
        <f t="shared" si="28"/>
        <v>1</v>
      </c>
      <c r="P160">
        <f t="shared" si="29"/>
        <v>4075.2390210235549</v>
      </c>
    </row>
    <row r="161" spans="3:16" x14ac:dyDescent="0.25">
      <c r="C161">
        <v>0.13300000000000001</v>
      </c>
      <c r="D161">
        <f t="shared" si="20"/>
        <v>-10949.207965751604</v>
      </c>
      <c r="E161">
        <f t="shared" si="21"/>
        <v>5328.0837341216538</v>
      </c>
      <c r="F161">
        <f t="shared" si="24"/>
        <v>0.38061789184165484</v>
      </c>
      <c r="G161">
        <f t="shared" si="25"/>
        <v>1</v>
      </c>
      <c r="H161">
        <f t="shared" si="26"/>
        <v>3287.1206235028149</v>
      </c>
      <c r="K161">
        <v>0.13300000000000001</v>
      </c>
      <c r="L161">
        <f t="shared" si="22"/>
        <v>-12550.207965751604</v>
      </c>
      <c r="M161">
        <f t="shared" si="23"/>
        <v>6661.5473639661959</v>
      </c>
      <c r="N161">
        <f t="shared" si="27"/>
        <v>0.37637408691036778</v>
      </c>
      <c r="O161">
        <f t="shared" si="28"/>
        <v>1</v>
      </c>
      <c r="P161">
        <f t="shared" si="29"/>
        <v>4086.8149890458526</v>
      </c>
    </row>
    <row r="162" spans="3:16" x14ac:dyDescent="0.25">
      <c r="C162">
        <v>0.13400000000000001</v>
      </c>
      <c r="D162">
        <f t="shared" si="20"/>
        <v>-10936.356130343202</v>
      </c>
      <c r="E162">
        <f t="shared" si="21"/>
        <v>5325.4068948427966</v>
      </c>
      <c r="F162">
        <f t="shared" si="24"/>
        <v>0.38313602226138233</v>
      </c>
      <c r="G162">
        <f t="shared" si="25"/>
        <v>1</v>
      </c>
      <c r="H162">
        <f t="shared" si="26"/>
        <v>3296.3194213896659</v>
      </c>
      <c r="K162">
        <v>0.13400000000000001</v>
      </c>
      <c r="L162">
        <f t="shared" si="22"/>
        <v>-12534.356130343202</v>
      </c>
      <c r="M162">
        <f t="shared" si="23"/>
        <v>6658.2456709149883</v>
      </c>
      <c r="N162">
        <f t="shared" si="27"/>
        <v>0.37886893971075708</v>
      </c>
      <c r="O162">
        <f t="shared" si="28"/>
        <v>1</v>
      </c>
      <c r="P162">
        <f t="shared" si="29"/>
        <v>4098.3053847178926</v>
      </c>
    </row>
    <row r="163" spans="3:16" x14ac:dyDescent="0.25">
      <c r="C163">
        <v>0.13500000000000001</v>
      </c>
      <c r="D163">
        <f t="shared" si="20"/>
        <v>-10923.504294934799</v>
      </c>
      <c r="E163">
        <f t="shared" si="21"/>
        <v>5322.7300555639395</v>
      </c>
      <c r="F163">
        <f t="shared" si="24"/>
        <v>0.38564902345363639</v>
      </c>
      <c r="G163">
        <f t="shared" si="25"/>
        <v>1</v>
      </c>
      <c r="H163">
        <f t="shared" si="26"/>
        <v>3305.4497497352295</v>
      </c>
      <c r="K163">
        <v>0.13500000000000001</v>
      </c>
      <c r="L163">
        <f t="shared" si="22"/>
        <v>-12518.504294934799</v>
      </c>
      <c r="M163">
        <f t="shared" si="23"/>
        <v>6654.9439778637807</v>
      </c>
      <c r="N163">
        <f t="shared" si="27"/>
        <v>0.38135879209991763</v>
      </c>
      <c r="O163">
        <f t="shared" si="28"/>
        <v>1</v>
      </c>
      <c r="P163">
        <f t="shared" si="29"/>
        <v>4109.7110259152951</v>
      </c>
    </row>
    <row r="164" spans="3:16" x14ac:dyDescent="0.25">
      <c r="C164">
        <v>0.13600000000000001</v>
      </c>
      <c r="D164">
        <f t="shared" si="20"/>
        <v>-10910.652459526398</v>
      </c>
      <c r="E164">
        <f t="shared" si="21"/>
        <v>5320.0532162850832</v>
      </c>
      <c r="F164">
        <f t="shared" si="24"/>
        <v>0.38815689541841625</v>
      </c>
      <c r="G164">
        <f t="shared" si="25"/>
        <v>1</v>
      </c>
      <c r="H164">
        <f t="shared" si="26"/>
        <v>3314.5122568307079</v>
      </c>
      <c r="K164">
        <v>0.13600000000000001</v>
      </c>
      <c r="L164">
        <f t="shared" si="22"/>
        <v>-12502.652459526398</v>
      </c>
      <c r="M164">
        <f t="shared" si="23"/>
        <v>6651.6422848125731</v>
      </c>
      <c r="N164">
        <f t="shared" si="27"/>
        <v>0.38384364407784921</v>
      </c>
      <c r="O164">
        <f t="shared" si="28"/>
        <v>1</v>
      </c>
      <c r="P164">
        <f t="shared" si="29"/>
        <v>4121.0327161168234</v>
      </c>
    </row>
    <row r="165" spans="3:16" x14ac:dyDescent="0.25">
      <c r="C165">
        <v>0.13700000000000001</v>
      </c>
      <c r="D165">
        <f t="shared" si="20"/>
        <v>-10897.800624117996</v>
      </c>
      <c r="E165">
        <f t="shared" si="21"/>
        <v>5317.3763770062251</v>
      </c>
      <c r="F165">
        <f t="shared" si="24"/>
        <v>0.39065963815572302</v>
      </c>
      <c r="G165">
        <f t="shared" si="25"/>
        <v>1</v>
      </c>
      <c r="H165">
        <f t="shared" si="26"/>
        <v>3323.5075796513665</v>
      </c>
      <c r="K165">
        <v>0.13700000000000001</v>
      </c>
      <c r="L165">
        <f t="shared" si="22"/>
        <v>-12486.800624117994</v>
      </c>
      <c r="M165">
        <f t="shared" si="23"/>
        <v>6648.3405917613636</v>
      </c>
      <c r="N165">
        <f t="shared" si="27"/>
        <v>0.38632349564455282</v>
      </c>
      <c r="O165">
        <f t="shared" si="28"/>
        <v>1</v>
      </c>
      <c r="P165">
        <f t="shared" si="29"/>
        <v>4132.2712447671083</v>
      </c>
    </row>
    <row r="166" spans="3:16" x14ac:dyDescent="0.25">
      <c r="C166">
        <v>0.13800000000000001</v>
      </c>
      <c r="D166">
        <f t="shared" si="20"/>
        <v>-10884.948788709593</v>
      </c>
      <c r="E166">
        <f t="shared" si="21"/>
        <v>5314.6995377273679</v>
      </c>
      <c r="F166">
        <f t="shared" si="24"/>
        <v>0.39315725166555593</v>
      </c>
      <c r="G166">
        <f t="shared" si="25"/>
        <v>1</v>
      </c>
      <c r="H166">
        <f t="shared" si="26"/>
        <v>3332.4363441394321</v>
      </c>
      <c r="K166">
        <v>0.13800000000000001</v>
      </c>
      <c r="L166">
        <f t="shared" si="22"/>
        <v>-12470.948788709593</v>
      </c>
      <c r="M166">
        <f t="shared" si="23"/>
        <v>6645.038898710156</v>
      </c>
      <c r="N166">
        <f t="shared" si="27"/>
        <v>0.38879834680002723</v>
      </c>
      <c r="O166">
        <f t="shared" si="28"/>
        <v>1</v>
      </c>
      <c r="P166">
        <f t="shared" si="29"/>
        <v>4143.4273876275784</v>
      </c>
    </row>
    <row r="167" spans="3:16" x14ac:dyDescent="0.25">
      <c r="C167">
        <v>0.13900000000000001</v>
      </c>
      <c r="D167">
        <f t="shared" si="20"/>
        <v>-10872.09695330119</v>
      </c>
      <c r="E167">
        <f t="shared" si="21"/>
        <v>5312.0226984485107</v>
      </c>
      <c r="F167">
        <f t="shared" si="24"/>
        <v>0.39564973594791508</v>
      </c>
      <c r="G167">
        <f t="shared" si="25"/>
        <v>1</v>
      </c>
      <c r="H167">
        <f t="shared" si="26"/>
        <v>3341.2991654778939</v>
      </c>
      <c r="K167">
        <v>0.13900000000000001</v>
      </c>
      <c r="L167">
        <f t="shared" si="22"/>
        <v>-12455.09695330119</v>
      </c>
      <c r="M167">
        <f t="shared" si="23"/>
        <v>6641.7372056589484</v>
      </c>
      <c r="N167">
        <f t="shared" si="27"/>
        <v>0.39126819754427311</v>
      </c>
      <c r="O167">
        <f t="shared" si="28"/>
        <v>1</v>
      </c>
      <c r="P167">
        <f t="shared" si="29"/>
        <v>4154.5019071161332</v>
      </c>
    </row>
    <row r="168" spans="3:16" x14ac:dyDescent="0.25">
      <c r="C168">
        <v>0.14000000000000001</v>
      </c>
      <c r="D168">
        <f t="shared" si="20"/>
        <v>-10859.245117892788</v>
      </c>
      <c r="E168">
        <f t="shared" si="21"/>
        <v>5309.3458591696526</v>
      </c>
      <c r="F168">
        <f t="shared" si="24"/>
        <v>0.39813709100280081</v>
      </c>
      <c r="G168">
        <f t="shared" si="25"/>
        <v>1</v>
      </c>
      <c r="H168">
        <f t="shared" si="26"/>
        <v>3350.0966483555499</v>
      </c>
      <c r="K168">
        <v>0.14000000000000001</v>
      </c>
      <c r="L168">
        <f t="shared" si="22"/>
        <v>-12439.245117892788</v>
      </c>
      <c r="M168">
        <f t="shared" si="23"/>
        <v>6638.4355126077398</v>
      </c>
      <c r="N168">
        <f t="shared" si="27"/>
        <v>0.39373304787729035</v>
      </c>
      <c r="O168">
        <f t="shared" si="28"/>
        <v>1</v>
      </c>
      <c r="P168">
        <f t="shared" si="29"/>
        <v>4165.4955526359172</v>
      </c>
    </row>
    <row r="169" spans="3:16" x14ac:dyDescent="0.25">
      <c r="C169">
        <v>0.14099999999999999</v>
      </c>
      <c r="D169">
        <f t="shared" si="20"/>
        <v>-10846.393282484385</v>
      </c>
      <c r="E169">
        <f t="shared" si="21"/>
        <v>5306.6690198907963</v>
      </c>
      <c r="F169">
        <f t="shared" si="24"/>
        <v>0.40061931683021268</v>
      </c>
      <c r="G169">
        <f t="shared" si="25"/>
        <v>1</v>
      </c>
      <c r="H169">
        <f t="shared" si="26"/>
        <v>3358.8293872236427</v>
      </c>
      <c r="K169">
        <v>0.14099999999999999</v>
      </c>
      <c r="L169">
        <f t="shared" si="22"/>
        <v>-12423.393282484385</v>
      </c>
      <c r="M169">
        <f t="shared" si="23"/>
        <v>6635.1338195565313</v>
      </c>
      <c r="N169">
        <f t="shared" si="27"/>
        <v>0.39619289779907907</v>
      </c>
      <c r="O169">
        <f t="shared" si="28"/>
        <v>1</v>
      </c>
      <c r="P169">
        <f t="shared" si="29"/>
        <v>4176.4090608936858</v>
      </c>
    </row>
    <row r="170" spans="3:16" x14ac:dyDescent="0.25">
      <c r="C170">
        <v>0.14199999999999999</v>
      </c>
      <c r="D170">
        <f t="shared" si="20"/>
        <v>-10833.541447075982</v>
      </c>
      <c r="E170">
        <f t="shared" si="21"/>
        <v>5303.9921806119382</v>
      </c>
      <c r="F170">
        <f t="shared" si="24"/>
        <v>0.4030964134301509</v>
      </c>
      <c r="G170">
        <f t="shared" si="25"/>
        <v>1</v>
      </c>
      <c r="H170">
        <f t="shared" si="26"/>
        <v>3367.4979665444048</v>
      </c>
      <c r="K170">
        <v>0.14199999999999999</v>
      </c>
      <c r="L170">
        <f t="shared" si="22"/>
        <v>-12407.541447075982</v>
      </c>
      <c r="M170">
        <f t="shared" si="23"/>
        <v>6631.8321265053237</v>
      </c>
      <c r="N170">
        <f t="shared" si="27"/>
        <v>0.39864774730963892</v>
      </c>
      <c r="O170">
        <f t="shared" si="28"/>
        <v>1</v>
      </c>
      <c r="P170">
        <f t="shared" si="29"/>
        <v>4187.2431562081274</v>
      </c>
    </row>
    <row r="171" spans="3:16" x14ac:dyDescent="0.25">
      <c r="C171">
        <v>0.14299999999999999</v>
      </c>
      <c r="D171">
        <f t="shared" si="20"/>
        <v>-10820.68961166758</v>
      </c>
      <c r="E171">
        <f t="shared" si="21"/>
        <v>5301.315341333082</v>
      </c>
      <c r="F171">
        <f t="shared" si="24"/>
        <v>0.40556838080261559</v>
      </c>
      <c r="G171">
        <f t="shared" si="25"/>
        <v>1</v>
      </c>
      <c r="H171">
        <f t="shared" si="26"/>
        <v>3376.1029610318446</v>
      </c>
      <c r="K171">
        <v>0.14299999999999999</v>
      </c>
      <c r="L171">
        <f t="shared" si="22"/>
        <v>-12391.68961166758</v>
      </c>
      <c r="M171">
        <f t="shared" si="23"/>
        <v>6628.5304334541161</v>
      </c>
      <c r="N171">
        <f t="shared" si="27"/>
        <v>0.40109759640897036</v>
      </c>
      <c r="O171">
        <f t="shared" si="28"/>
        <v>1</v>
      </c>
      <c r="P171">
        <f t="shared" si="29"/>
        <v>4197.9985508085465</v>
      </c>
    </row>
    <row r="172" spans="3:16" x14ac:dyDescent="0.25">
      <c r="C172">
        <v>0.14399999999999999</v>
      </c>
      <c r="D172">
        <f t="shared" si="20"/>
        <v>-10807.837776259177</v>
      </c>
      <c r="E172">
        <f t="shared" si="21"/>
        <v>5298.6385020542239</v>
      </c>
      <c r="F172">
        <f t="shared" si="24"/>
        <v>0.40803521894760653</v>
      </c>
      <c r="G172">
        <f t="shared" si="25"/>
        <v>1</v>
      </c>
      <c r="H172">
        <f t="shared" si="26"/>
        <v>3384.6449358850286</v>
      </c>
      <c r="K172">
        <v>0.14399999999999999</v>
      </c>
      <c r="L172">
        <f t="shared" si="22"/>
        <v>-12375.837776259177</v>
      </c>
      <c r="M172">
        <f t="shared" si="23"/>
        <v>6625.2287404029075</v>
      </c>
      <c r="N172">
        <f t="shared" si="27"/>
        <v>0.40354244509707293</v>
      </c>
      <c r="O172">
        <f t="shared" si="28"/>
        <v>1</v>
      </c>
      <c r="P172">
        <f t="shared" si="29"/>
        <v>4208.6759451242579</v>
      </c>
    </row>
    <row r="173" spans="3:16" x14ac:dyDescent="0.25">
      <c r="C173">
        <v>0.14499999999999999</v>
      </c>
      <c r="D173">
        <f t="shared" si="20"/>
        <v>-10794.985940850775</v>
      </c>
      <c r="E173">
        <f t="shared" si="21"/>
        <v>5295.9616627753667</v>
      </c>
      <c r="F173">
        <f t="shared" si="24"/>
        <v>0.41049692786512371</v>
      </c>
      <c r="G173">
        <f t="shared" si="25"/>
        <v>1</v>
      </c>
      <c r="H173">
        <f t="shared" si="26"/>
        <v>3393.1244470141983</v>
      </c>
      <c r="K173">
        <v>0.14499999999999999</v>
      </c>
      <c r="L173">
        <f t="shared" si="22"/>
        <v>-12359.985940850776</v>
      </c>
      <c r="M173">
        <f t="shared" si="23"/>
        <v>6621.9270473516999</v>
      </c>
      <c r="N173">
        <f t="shared" si="27"/>
        <v>0.40598229337394665</v>
      </c>
      <c r="O173">
        <f t="shared" si="28"/>
        <v>1</v>
      </c>
      <c r="P173">
        <f t="shared" si="29"/>
        <v>4219.2760280650718</v>
      </c>
    </row>
    <row r="174" spans="3:16" x14ac:dyDescent="0.25">
      <c r="C174">
        <v>0.14599999999999999</v>
      </c>
      <c r="D174">
        <f t="shared" si="20"/>
        <v>-10782.134105442372</v>
      </c>
      <c r="E174">
        <f t="shared" si="21"/>
        <v>5293.2848234965095</v>
      </c>
      <c r="F174">
        <f t="shared" si="24"/>
        <v>0.41295350755516724</v>
      </c>
      <c r="G174">
        <f t="shared" si="25"/>
        <v>1</v>
      </c>
      <c r="H174">
        <f t="shared" si="26"/>
        <v>3401.5420412599342</v>
      </c>
      <c r="K174">
        <v>0.14599999999999999</v>
      </c>
      <c r="L174">
        <f t="shared" si="22"/>
        <v>-12344.134105442372</v>
      </c>
      <c r="M174">
        <f t="shared" si="23"/>
        <v>6618.6253543004914</v>
      </c>
      <c r="N174">
        <f t="shared" si="27"/>
        <v>0.40841714123959227</v>
      </c>
      <c r="O174">
        <f t="shared" si="28"/>
        <v>1</v>
      </c>
      <c r="P174">
        <f t="shared" si="29"/>
        <v>4229.7994772931725</v>
      </c>
    </row>
    <row r="175" spans="3:16" x14ac:dyDescent="0.25">
      <c r="C175">
        <v>0.14699999999999999</v>
      </c>
      <c r="D175">
        <f t="shared" si="20"/>
        <v>-10769.282270033971</v>
      </c>
      <c r="E175">
        <f t="shared" si="21"/>
        <v>5290.6079842176523</v>
      </c>
      <c r="F175">
        <f t="shared" si="24"/>
        <v>0.41540495801773691</v>
      </c>
      <c r="G175">
        <f t="shared" si="25"/>
        <v>1</v>
      </c>
      <c r="H175">
        <f t="shared" si="26"/>
        <v>3409.8982566056729</v>
      </c>
      <c r="K175">
        <v>0.14699999999999999</v>
      </c>
      <c r="L175">
        <f t="shared" si="22"/>
        <v>-12328.282270033971</v>
      </c>
      <c r="M175">
        <f t="shared" si="23"/>
        <v>6615.3236612492838</v>
      </c>
      <c r="N175">
        <f t="shared" si="27"/>
        <v>0.4108469886940086</v>
      </c>
      <c r="O175">
        <f t="shared" si="28"/>
        <v>1</v>
      </c>
      <c r="P175">
        <f t="shared" si="29"/>
        <v>4240.2469594867189</v>
      </c>
    </row>
    <row r="176" spans="3:16" x14ac:dyDescent="0.25">
      <c r="C176">
        <v>0.14799999999999999</v>
      </c>
      <c r="D176">
        <f t="shared" si="20"/>
        <v>-10756.430434625569</v>
      </c>
      <c r="E176">
        <f t="shared" si="21"/>
        <v>5287.9311449387951</v>
      </c>
      <c r="F176">
        <f t="shared" si="24"/>
        <v>0.41785127925283316</v>
      </c>
      <c r="G176">
        <f t="shared" si="25"/>
        <v>1</v>
      </c>
      <c r="H176">
        <f t="shared" si="26"/>
        <v>3418.1936223837974</v>
      </c>
      <c r="K176">
        <v>0.14799999999999999</v>
      </c>
      <c r="L176">
        <f t="shared" si="22"/>
        <v>-12312.430434625569</v>
      </c>
      <c r="M176">
        <f t="shared" si="23"/>
        <v>6612.0219681980761</v>
      </c>
      <c r="N176">
        <f t="shared" si="27"/>
        <v>0.41327183573719661</v>
      </c>
      <c r="O176">
        <f t="shared" si="28"/>
        <v>1</v>
      </c>
      <c r="P176">
        <f t="shared" si="29"/>
        <v>4250.6191305955144</v>
      </c>
    </row>
    <row r="177" spans="3:16" x14ac:dyDescent="0.25">
      <c r="C177">
        <v>0.14899999999999999</v>
      </c>
      <c r="D177">
        <f t="shared" si="20"/>
        <v>-10743.578599217166</v>
      </c>
      <c r="E177">
        <f t="shared" si="21"/>
        <v>5285.2543056599379</v>
      </c>
      <c r="F177">
        <f t="shared" si="24"/>
        <v>0.42029247126045566</v>
      </c>
      <c r="G177">
        <f t="shared" si="25"/>
        <v>1</v>
      </c>
      <c r="H177">
        <f t="shared" si="26"/>
        <v>3426.4286594755408</v>
      </c>
      <c r="K177">
        <v>0.14899999999999999</v>
      </c>
      <c r="L177">
        <f t="shared" si="22"/>
        <v>-12296.578599217166</v>
      </c>
      <c r="M177">
        <f t="shared" si="23"/>
        <v>6608.7202751468676</v>
      </c>
      <c r="N177">
        <f t="shared" si="27"/>
        <v>0.41569168236915599</v>
      </c>
      <c r="O177">
        <f t="shared" si="28"/>
        <v>1</v>
      </c>
      <c r="P177">
        <f t="shared" si="29"/>
        <v>4260.9166360889667</v>
      </c>
    </row>
    <row r="178" spans="3:16" x14ac:dyDescent="0.25">
      <c r="C178">
        <v>0.15</v>
      </c>
      <c r="D178">
        <f t="shared" si="20"/>
        <v>-10730.726763808763</v>
      </c>
      <c r="E178">
        <f t="shared" si="21"/>
        <v>5282.5774663810807</v>
      </c>
      <c r="F178">
        <f t="shared" si="24"/>
        <v>0.42272853404060451</v>
      </c>
      <c r="G178">
        <f t="shared" si="25"/>
        <v>1</v>
      </c>
      <c r="H178">
        <f t="shared" si="26"/>
        <v>3434.6038805049429</v>
      </c>
      <c r="K178">
        <v>0.15</v>
      </c>
      <c r="L178">
        <f t="shared" si="22"/>
        <v>-12280.726763808763</v>
      </c>
      <c r="M178">
        <f t="shared" si="23"/>
        <v>6605.4185820956591</v>
      </c>
      <c r="N178">
        <f t="shared" si="27"/>
        <v>0.41810652858988662</v>
      </c>
      <c r="O178">
        <f t="shared" si="28"/>
        <v>1</v>
      </c>
      <c r="P178">
        <f t="shared" si="29"/>
        <v>4271.1401111966834</v>
      </c>
    </row>
    <row r="179" spans="3:16" x14ac:dyDescent="0.25">
      <c r="C179">
        <v>0.151</v>
      </c>
      <c r="D179">
        <f t="shared" si="20"/>
        <v>-10717.874928400361</v>
      </c>
      <c r="E179">
        <f t="shared" si="21"/>
        <v>5279.9006271022226</v>
      </c>
      <c r="F179">
        <f t="shared" si="24"/>
        <v>0.42515946759327972</v>
      </c>
      <c r="G179">
        <f t="shared" si="25"/>
        <v>1</v>
      </c>
      <c r="H179">
        <f t="shared" si="26"/>
        <v>3442.719790027058</v>
      </c>
      <c r="K179">
        <v>0.151</v>
      </c>
      <c r="L179">
        <f t="shared" si="22"/>
        <v>-12264.874928400361</v>
      </c>
      <c r="M179">
        <f t="shared" si="23"/>
        <v>6602.1168890444515</v>
      </c>
      <c r="N179">
        <f t="shared" si="27"/>
        <v>0.4205163743993886</v>
      </c>
      <c r="O179">
        <f t="shared" si="28"/>
        <v>1</v>
      </c>
      <c r="P179">
        <f t="shared" si="29"/>
        <v>4281.2901811419351</v>
      </c>
    </row>
    <row r="180" spans="3:16" x14ac:dyDescent="0.25">
      <c r="C180">
        <v>0.152</v>
      </c>
      <c r="D180">
        <f t="shared" si="20"/>
        <v>-10705.023092991958</v>
      </c>
      <c r="E180">
        <f t="shared" si="21"/>
        <v>5277.2237878233664</v>
      </c>
      <c r="F180">
        <f t="shared" si="24"/>
        <v>0.42758527191848139</v>
      </c>
      <c r="G180">
        <f t="shared" si="25"/>
        <v>1</v>
      </c>
      <c r="H180">
        <f t="shared" si="26"/>
        <v>3450.7768847106363</v>
      </c>
      <c r="K180">
        <v>0.152</v>
      </c>
      <c r="L180">
        <f t="shared" si="22"/>
        <v>-12249.023092991958</v>
      </c>
      <c r="M180">
        <f t="shared" si="23"/>
        <v>6598.8151959932429</v>
      </c>
      <c r="N180">
        <f t="shared" si="27"/>
        <v>0.42292121979766195</v>
      </c>
      <c r="O180">
        <f t="shared" si="28"/>
        <v>1</v>
      </c>
      <c r="P180">
        <f t="shared" si="29"/>
        <v>4291.3674613682588</v>
      </c>
    </row>
    <row r="181" spans="3:16" x14ac:dyDescent="0.25">
      <c r="C181">
        <v>0.153</v>
      </c>
      <c r="D181">
        <f t="shared" si="20"/>
        <v>-10692.171257583555</v>
      </c>
      <c r="E181">
        <f t="shared" si="21"/>
        <v>5274.5469485445083</v>
      </c>
      <c r="F181">
        <f t="shared" si="24"/>
        <v>0.43000594701620931</v>
      </c>
      <c r="G181">
        <f t="shared" si="25"/>
        <v>1</v>
      </c>
      <c r="H181">
        <f t="shared" si="26"/>
        <v>3458.7756535154599</v>
      </c>
      <c r="K181">
        <v>0.153</v>
      </c>
      <c r="L181">
        <f t="shared" si="22"/>
        <v>-12233.171257583555</v>
      </c>
      <c r="M181">
        <f t="shared" si="23"/>
        <v>6595.5135029420344</v>
      </c>
      <c r="N181">
        <f t="shared" si="27"/>
        <v>0.42532106478470666</v>
      </c>
      <c r="O181">
        <f t="shared" si="28"/>
        <v>1</v>
      </c>
      <c r="P181">
        <f t="shared" si="29"/>
        <v>4301.3725577594387</v>
      </c>
    </row>
    <row r="182" spans="3:16" x14ac:dyDescent="0.25">
      <c r="C182">
        <v>0.154</v>
      </c>
      <c r="D182">
        <f t="shared" si="20"/>
        <v>-10679.319422175153</v>
      </c>
      <c r="E182">
        <f t="shared" si="21"/>
        <v>5271.870109265652</v>
      </c>
      <c r="F182">
        <f t="shared" si="24"/>
        <v>0.43242149288646348</v>
      </c>
      <c r="G182">
        <f t="shared" si="25"/>
        <v>1</v>
      </c>
      <c r="H182">
        <f t="shared" si="26"/>
        <v>3466.7165778645522</v>
      </c>
      <c r="K182">
        <v>0.154</v>
      </c>
      <c r="L182">
        <f t="shared" si="22"/>
        <v>-12217.319422175153</v>
      </c>
      <c r="M182">
        <f t="shared" si="23"/>
        <v>6592.2118098908268</v>
      </c>
      <c r="N182">
        <f t="shared" si="27"/>
        <v>0.42771590936052273</v>
      </c>
      <c r="O182">
        <f t="shared" si="28"/>
        <v>1</v>
      </c>
      <c r="P182">
        <f t="shared" si="29"/>
        <v>4311.306066853108</v>
      </c>
    </row>
    <row r="183" spans="3:16" x14ac:dyDescent="0.25">
      <c r="C183">
        <v>0.155</v>
      </c>
      <c r="D183">
        <f t="shared" si="20"/>
        <v>-10666.46758676675</v>
      </c>
      <c r="E183">
        <f t="shared" si="21"/>
        <v>5269.1932699867939</v>
      </c>
      <c r="F183">
        <f t="shared" si="24"/>
        <v>0.434831909529244</v>
      </c>
      <c r="G183">
        <f t="shared" si="25"/>
        <v>1</v>
      </c>
      <c r="H183">
        <f t="shared" si="26"/>
        <v>3474.6001318114036</v>
      </c>
      <c r="K183">
        <v>0.155</v>
      </c>
      <c r="L183">
        <f t="shared" si="22"/>
        <v>-12201.46758676675</v>
      </c>
      <c r="M183">
        <f t="shared" si="23"/>
        <v>6588.9101168396191</v>
      </c>
      <c r="N183">
        <f t="shared" si="27"/>
        <v>0.43010575352511005</v>
      </c>
      <c r="O183">
        <f t="shared" si="28"/>
        <v>1</v>
      </c>
      <c r="P183">
        <f t="shared" si="29"/>
        <v>4321.1685760481914</v>
      </c>
    </row>
    <row r="184" spans="3:16" x14ac:dyDescent="0.25">
      <c r="C184">
        <v>0.156</v>
      </c>
      <c r="D184">
        <f t="shared" si="20"/>
        <v>-10653.615751358348</v>
      </c>
      <c r="E184">
        <f t="shared" si="21"/>
        <v>5266.5164307079367</v>
      </c>
      <c r="F184">
        <f t="shared" si="24"/>
        <v>0.43723719694455088</v>
      </c>
      <c r="G184">
        <f t="shared" si="25"/>
        <v>1</v>
      </c>
      <c r="H184">
        <f t="shared" si="26"/>
        <v>3482.4267822024267</v>
      </c>
      <c r="K184">
        <v>0.156</v>
      </c>
      <c r="L184">
        <f t="shared" si="22"/>
        <v>-12185.615751358348</v>
      </c>
      <c r="M184">
        <f t="shared" si="23"/>
        <v>6585.6084237884106</v>
      </c>
      <c r="N184">
        <f t="shared" si="27"/>
        <v>0.43249059727846872</v>
      </c>
      <c r="O184">
        <f t="shared" si="28"/>
        <v>1</v>
      </c>
      <c r="P184">
        <f t="shared" si="29"/>
        <v>4330.960663806407</v>
      </c>
    </row>
    <row r="185" spans="3:16" x14ac:dyDescent="0.25">
      <c r="C185">
        <v>0.157</v>
      </c>
      <c r="D185">
        <f t="shared" si="20"/>
        <v>-10640.763915949945</v>
      </c>
      <c r="E185">
        <f t="shared" si="21"/>
        <v>5263.8395914290795</v>
      </c>
      <c r="F185">
        <f t="shared" si="24"/>
        <v>0.439637355132384</v>
      </c>
      <c r="G185">
        <f t="shared" si="25"/>
        <v>1</v>
      </c>
      <c r="H185">
        <f t="shared" si="26"/>
        <v>3490.1969888347767</v>
      </c>
      <c r="K185">
        <v>0.157</v>
      </c>
      <c r="L185">
        <f t="shared" si="22"/>
        <v>-12169.763915949945</v>
      </c>
      <c r="M185">
        <f t="shared" si="23"/>
        <v>6582.3067307372021</v>
      </c>
      <c r="N185">
        <f t="shared" si="27"/>
        <v>0.43487044062059876</v>
      </c>
      <c r="O185">
        <f t="shared" si="28"/>
        <v>1</v>
      </c>
      <c r="P185">
        <f t="shared" si="29"/>
        <v>4340.6828998480405</v>
      </c>
    </row>
    <row r="186" spans="3:16" x14ac:dyDescent="0.25">
      <c r="C186">
        <v>0.158</v>
      </c>
      <c r="D186">
        <f t="shared" si="20"/>
        <v>-10627.912080541542</v>
      </c>
      <c r="E186">
        <f t="shared" si="21"/>
        <v>5261.1627521502214</v>
      </c>
      <c r="F186">
        <f t="shared" si="24"/>
        <v>0.44203238409274359</v>
      </c>
      <c r="G186">
        <f t="shared" si="25"/>
        <v>1</v>
      </c>
      <c r="H186">
        <f t="shared" si="26"/>
        <v>3497.9112046097225</v>
      </c>
      <c r="K186">
        <v>0.158</v>
      </c>
      <c r="L186">
        <f t="shared" si="22"/>
        <v>-12153.912080541544</v>
      </c>
      <c r="M186">
        <f t="shared" si="23"/>
        <v>6579.0050376859945</v>
      </c>
      <c r="N186">
        <f t="shared" si="27"/>
        <v>0.43724528355149994</v>
      </c>
      <c r="O186">
        <f t="shared" si="28"/>
        <v>1</v>
      </c>
      <c r="P186">
        <f t="shared" si="29"/>
        <v>4350.3358453421779</v>
      </c>
    </row>
    <row r="187" spans="3:16" x14ac:dyDescent="0.25">
      <c r="C187">
        <v>0.159</v>
      </c>
      <c r="D187">
        <f t="shared" si="20"/>
        <v>-10615.06024513314</v>
      </c>
      <c r="E187">
        <f t="shared" si="21"/>
        <v>5258.4859128713651</v>
      </c>
      <c r="F187">
        <f t="shared" si="24"/>
        <v>0.44442228382562943</v>
      </c>
      <c r="G187">
        <f t="shared" si="25"/>
        <v>1</v>
      </c>
      <c r="H187">
        <f t="shared" si="26"/>
        <v>3505.5698756817028</v>
      </c>
      <c r="K187">
        <v>0.159</v>
      </c>
      <c r="L187">
        <f t="shared" si="22"/>
        <v>-12138.06024513314</v>
      </c>
      <c r="M187">
        <f t="shared" si="23"/>
        <v>6575.7033446347868</v>
      </c>
      <c r="N187">
        <f t="shared" si="27"/>
        <v>0.43961512607117292</v>
      </c>
      <c r="O187">
        <f t="shared" si="28"/>
        <v>1</v>
      </c>
      <c r="P187">
        <f t="shared" si="29"/>
        <v>4359.9200530916023</v>
      </c>
    </row>
    <row r="188" spans="3:16" x14ac:dyDescent="0.25">
      <c r="C188">
        <v>0.16</v>
      </c>
      <c r="D188">
        <f t="shared" si="20"/>
        <v>-10602.208409724739</v>
      </c>
      <c r="E188">
        <f t="shared" si="21"/>
        <v>5255.809073592508</v>
      </c>
      <c r="F188">
        <f t="shared" si="24"/>
        <v>0.44680705433104118</v>
      </c>
      <c r="G188">
        <f t="shared" si="25"/>
        <v>1</v>
      </c>
      <c r="H188">
        <f t="shared" si="26"/>
        <v>3513.1734416032232</v>
      </c>
      <c r="K188">
        <v>0.16</v>
      </c>
      <c r="L188">
        <f t="shared" si="22"/>
        <v>-12122.208409724739</v>
      </c>
      <c r="M188">
        <f t="shared" si="23"/>
        <v>6572.4016515835792</v>
      </c>
      <c r="N188">
        <f t="shared" si="27"/>
        <v>0.44197996817961671</v>
      </c>
      <c r="O188">
        <f t="shared" si="28"/>
        <v>1</v>
      </c>
      <c r="P188">
        <f t="shared" si="29"/>
        <v>4369.4360677125169</v>
      </c>
    </row>
    <row r="189" spans="3:16" x14ac:dyDescent="0.25">
      <c r="C189">
        <v>0.161</v>
      </c>
      <c r="D189">
        <f t="shared" si="20"/>
        <v>-10589.356574316336</v>
      </c>
      <c r="E189">
        <f t="shared" si="21"/>
        <v>5253.1322343136508</v>
      </c>
      <c r="F189">
        <f t="shared" si="24"/>
        <v>0.44918669560897972</v>
      </c>
      <c r="G189">
        <f t="shared" si="25"/>
        <v>1</v>
      </c>
      <c r="H189">
        <f t="shared" si="26"/>
        <v>3520.7223354657494</v>
      </c>
      <c r="K189">
        <v>0.161</v>
      </c>
      <c r="L189">
        <f t="shared" si="22"/>
        <v>-12106.356574316336</v>
      </c>
      <c r="M189">
        <f t="shared" si="23"/>
        <v>6569.0999585323707</v>
      </c>
      <c r="N189">
        <f t="shared" si="27"/>
        <v>0.44433980987683208</v>
      </c>
      <c r="O189">
        <f t="shared" si="28"/>
        <v>1</v>
      </c>
      <c r="P189">
        <f t="shared" si="29"/>
        <v>4378.8844258093104</v>
      </c>
    </row>
    <row r="190" spans="3:16" x14ac:dyDescent="0.25">
      <c r="C190">
        <v>0.16200000000000001</v>
      </c>
      <c r="D190">
        <f t="shared" si="20"/>
        <v>-10576.504738907934</v>
      </c>
      <c r="E190">
        <f t="shared" si="21"/>
        <v>5250.4553950347927</v>
      </c>
      <c r="F190">
        <f t="shared" si="24"/>
        <v>0.45156120765944463</v>
      </c>
      <c r="G190">
        <f t="shared" si="25"/>
        <v>1</v>
      </c>
      <c r="H190">
        <f t="shared" si="26"/>
        <v>3528.2169840366914</v>
      </c>
      <c r="K190">
        <v>0.16200000000000001</v>
      </c>
      <c r="L190">
        <f t="shared" si="22"/>
        <v>-12090.504738907934</v>
      </c>
      <c r="M190">
        <f t="shared" si="23"/>
        <v>6565.7982654811622</v>
      </c>
      <c r="N190">
        <f t="shared" si="27"/>
        <v>0.44669465116281881</v>
      </c>
      <c r="O190">
        <f t="shared" si="28"/>
        <v>1</v>
      </c>
      <c r="P190">
        <f t="shared" si="29"/>
        <v>4388.2656561444774</v>
      </c>
    </row>
    <row r="191" spans="3:16" x14ac:dyDescent="0.25">
      <c r="C191">
        <v>0.16300000000000001</v>
      </c>
      <c r="D191">
        <f t="shared" si="20"/>
        <v>-10563.652903499531</v>
      </c>
      <c r="E191">
        <f t="shared" si="21"/>
        <v>5247.7785557559364</v>
      </c>
      <c r="F191">
        <f t="shared" si="24"/>
        <v>0.45393059048243578</v>
      </c>
      <c r="G191">
        <f t="shared" si="25"/>
        <v>1</v>
      </c>
      <c r="H191">
        <f t="shared" si="26"/>
        <v>3535.6578078926668</v>
      </c>
      <c r="K191">
        <v>0.16300000000000001</v>
      </c>
      <c r="L191">
        <f t="shared" si="22"/>
        <v>-12074.652903499531</v>
      </c>
      <c r="M191">
        <f t="shared" si="23"/>
        <v>6562.4965724299545</v>
      </c>
      <c r="N191">
        <f t="shared" si="27"/>
        <v>0.4490444920375769</v>
      </c>
      <c r="O191">
        <f t="shared" si="28"/>
        <v>1</v>
      </c>
      <c r="P191">
        <f t="shared" si="29"/>
        <v>4397.5802798039031</v>
      </c>
    </row>
    <row r="192" spans="3:16" x14ac:dyDescent="0.25">
      <c r="C192">
        <v>0.16400000000000001</v>
      </c>
      <c r="D192">
        <f t="shared" si="20"/>
        <v>-10550.801068091128</v>
      </c>
      <c r="E192">
        <f t="shared" si="21"/>
        <v>5245.1017164770783</v>
      </c>
      <c r="F192">
        <f t="shared" si="24"/>
        <v>0.45629484407795329</v>
      </c>
      <c r="G192">
        <f t="shared" si="25"/>
        <v>1</v>
      </c>
      <c r="H192">
        <f t="shared" si="26"/>
        <v>3543.0452215491132</v>
      </c>
      <c r="K192">
        <v>0.16400000000000001</v>
      </c>
      <c r="L192">
        <f t="shared" si="22"/>
        <v>-12058.801068091128</v>
      </c>
      <c r="M192">
        <f t="shared" si="23"/>
        <v>6559.194879378746</v>
      </c>
      <c r="N192">
        <f t="shared" si="27"/>
        <v>0.45138933250110636</v>
      </c>
      <c r="O192">
        <f t="shared" si="28"/>
        <v>1</v>
      </c>
      <c r="P192">
        <f t="shared" si="29"/>
        <v>4406.8288103576406</v>
      </c>
    </row>
    <row r="193" spans="3:16" x14ac:dyDescent="0.25">
      <c r="C193">
        <v>0.16500000000000001</v>
      </c>
      <c r="D193">
        <f t="shared" si="20"/>
        <v>-10537.949232682726</v>
      </c>
      <c r="E193">
        <f t="shared" si="21"/>
        <v>5242.4248771982211</v>
      </c>
      <c r="F193">
        <f t="shared" si="24"/>
        <v>0.45865396844599704</v>
      </c>
      <c r="G193">
        <f t="shared" si="25"/>
        <v>1</v>
      </c>
      <c r="H193">
        <f t="shared" si="26"/>
        <v>3550.3796335864145</v>
      </c>
      <c r="K193">
        <v>0.16500000000000001</v>
      </c>
      <c r="L193">
        <f t="shared" si="22"/>
        <v>-12042.949232682726</v>
      </c>
      <c r="M193">
        <f t="shared" si="23"/>
        <v>6555.8931863275375</v>
      </c>
      <c r="N193">
        <f t="shared" si="27"/>
        <v>0.45372917255340706</v>
      </c>
      <c r="O193">
        <f t="shared" si="28"/>
        <v>1</v>
      </c>
      <c r="P193">
        <f t="shared" si="29"/>
        <v>4416.0117540163483</v>
      </c>
    </row>
    <row r="194" spans="3:16" x14ac:dyDescent="0.25">
      <c r="C194">
        <v>0.16600000000000001</v>
      </c>
      <c r="D194">
        <f t="shared" si="20"/>
        <v>-10525.097397274323</v>
      </c>
      <c r="E194">
        <f t="shared" si="21"/>
        <v>5239.7480379193639</v>
      </c>
      <c r="F194">
        <f t="shared" si="24"/>
        <v>0.46100796358656726</v>
      </c>
      <c r="G194">
        <f t="shared" si="25"/>
        <v>1</v>
      </c>
      <c r="H194">
        <f t="shared" si="26"/>
        <v>3557.6614467726249</v>
      </c>
      <c r="K194">
        <v>0.16600000000000001</v>
      </c>
      <c r="L194">
        <f t="shared" si="22"/>
        <v>-12027.097397274323</v>
      </c>
      <c r="M194">
        <f t="shared" si="23"/>
        <v>6552.5914932763299</v>
      </c>
      <c r="N194">
        <f t="shared" si="27"/>
        <v>0.45606401219447923</v>
      </c>
      <c r="O194">
        <f t="shared" si="28"/>
        <v>1</v>
      </c>
      <c r="P194">
        <f t="shared" si="29"/>
        <v>4425.1296097835175</v>
      </c>
    </row>
    <row r="195" spans="3:16" x14ac:dyDescent="0.25">
      <c r="C195">
        <v>0.16700000000000001</v>
      </c>
      <c r="D195">
        <f t="shared" si="20"/>
        <v>-10512.245561865921</v>
      </c>
      <c r="E195">
        <f t="shared" si="21"/>
        <v>5237.0711986405067</v>
      </c>
      <c r="F195">
        <f t="shared" si="24"/>
        <v>0.46335682949966372</v>
      </c>
      <c r="G195">
        <f t="shared" si="25"/>
        <v>1</v>
      </c>
      <c r="H195">
        <f t="shared" si="26"/>
        <v>3564.8910581829159</v>
      </c>
      <c r="K195">
        <v>0.16700000000000001</v>
      </c>
      <c r="L195">
        <f t="shared" si="22"/>
        <v>-12011.245561865921</v>
      </c>
      <c r="M195">
        <f t="shared" si="23"/>
        <v>6549.2898002251222</v>
      </c>
      <c r="N195">
        <f t="shared" si="27"/>
        <v>0.45839385142432265</v>
      </c>
      <c r="O195">
        <f t="shared" si="28"/>
        <v>1</v>
      </c>
      <c r="P195">
        <f t="shared" si="29"/>
        <v>4434.1828696036273</v>
      </c>
    </row>
    <row r="196" spans="3:16" x14ac:dyDescent="0.25">
      <c r="C196">
        <v>0.16800000000000001</v>
      </c>
      <c r="D196">
        <f t="shared" si="20"/>
        <v>-10499.393726457518</v>
      </c>
      <c r="E196">
        <f t="shared" si="21"/>
        <v>5234.3943593616495</v>
      </c>
      <c r="F196">
        <f t="shared" si="24"/>
        <v>0.46570056618528655</v>
      </c>
      <c r="G196">
        <f t="shared" si="25"/>
        <v>1</v>
      </c>
      <c r="H196">
        <f t="shared" si="26"/>
        <v>3572.0688593158607</v>
      </c>
      <c r="K196">
        <v>0.16800000000000001</v>
      </c>
      <c r="L196">
        <f t="shared" si="22"/>
        <v>-11995.393726457518</v>
      </c>
      <c r="M196">
        <f t="shared" si="23"/>
        <v>6545.9881071739137</v>
      </c>
      <c r="N196">
        <f t="shared" si="27"/>
        <v>0.46071869024293732</v>
      </c>
      <c r="O196">
        <f t="shared" si="28"/>
        <v>1</v>
      </c>
      <c r="P196">
        <f t="shared" si="29"/>
        <v>4443.1720185063732</v>
      </c>
    </row>
    <row r="197" spans="3:16" x14ac:dyDescent="0.25">
      <c r="C197">
        <v>0.16900000000000001</v>
      </c>
      <c r="D197">
        <f t="shared" si="20"/>
        <v>-10486.541891049115</v>
      </c>
      <c r="E197">
        <f t="shared" si="21"/>
        <v>5231.7175200827915</v>
      </c>
      <c r="F197">
        <f t="shared" si="24"/>
        <v>0.46803917364343572</v>
      </c>
      <c r="G197">
        <f t="shared" si="25"/>
        <v>1</v>
      </c>
      <c r="H197">
        <f t="shared" si="26"/>
        <v>3579.1952362066363</v>
      </c>
      <c r="K197">
        <v>0.16900000000000001</v>
      </c>
      <c r="L197">
        <f t="shared" si="22"/>
        <v>-11979.541891049115</v>
      </c>
      <c r="M197">
        <f t="shared" si="23"/>
        <v>6542.6864141227052</v>
      </c>
      <c r="N197">
        <f t="shared" si="27"/>
        <v>0.46303852865032347</v>
      </c>
      <c r="O197">
        <f t="shared" si="28"/>
        <v>1</v>
      </c>
      <c r="P197">
        <f t="shared" si="29"/>
        <v>4452.0975347470876</v>
      </c>
    </row>
    <row r="198" spans="3:16" x14ac:dyDescent="0.25">
      <c r="C198">
        <v>0.17</v>
      </c>
      <c r="D198">
        <f t="shared" si="20"/>
        <v>-10473.690055640713</v>
      </c>
      <c r="E198">
        <f t="shared" si="21"/>
        <v>5229.0406808039352</v>
      </c>
      <c r="F198">
        <f t="shared" si="24"/>
        <v>0.47037265187411126</v>
      </c>
      <c r="G198">
        <f t="shared" si="25"/>
        <v>1</v>
      </c>
      <c r="H198">
        <f t="shared" si="26"/>
        <v>3586.2705695372688</v>
      </c>
      <c r="K198">
        <v>0.17</v>
      </c>
      <c r="L198">
        <f t="shared" si="22"/>
        <v>-11963.690055640713</v>
      </c>
      <c r="M198">
        <f t="shared" si="23"/>
        <v>6539.3847210714976</v>
      </c>
      <c r="N198">
        <f t="shared" si="27"/>
        <v>0.46535336664648097</v>
      </c>
      <c r="O198">
        <f t="shared" si="28"/>
        <v>1</v>
      </c>
      <c r="P198">
        <f t="shared" si="29"/>
        <v>4460.9598899434704</v>
      </c>
    </row>
    <row r="199" spans="3:16" x14ac:dyDescent="0.25">
      <c r="C199">
        <v>0.17100000000000001</v>
      </c>
      <c r="D199">
        <f t="shared" si="20"/>
        <v>-10460.838220232312</v>
      </c>
      <c r="E199">
        <f t="shared" si="21"/>
        <v>5226.363841525078</v>
      </c>
      <c r="F199">
        <f t="shared" si="24"/>
        <v>0.4727010008773127</v>
      </c>
      <c r="G199">
        <f t="shared" si="25"/>
        <v>1</v>
      </c>
      <c r="H199">
        <f t="shared" si="26"/>
        <v>3593.2952347439891</v>
      </c>
      <c r="K199">
        <v>0.17100000000000001</v>
      </c>
      <c r="L199">
        <f t="shared" si="22"/>
        <v>-11947.838220232312</v>
      </c>
      <c r="M199">
        <f t="shared" si="23"/>
        <v>6536.0830280202899</v>
      </c>
      <c r="N199">
        <f t="shared" si="27"/>
        <v>0.4676632042314095</v>
      </c>
      <c r="O199">
        <f t="shared" si="28"/>
        <v>1</v>
      </c>
      <c r="P199">
        <f t="shared" si="29"/>
        <v>4469.7595492087567</v>
      </c>
    </row>
    <row r="200" spans="3:16" x14ac:dyDescent="0.25">
      <c r="C200">
        <v>0.17199999999999999</v>
      </c>
      <c r="D200">
        <f t="shared" si="20"/>
        <v>-10447.986384823909</v>
      </c>
      <c r="E200">
        <f t="shared" si="21"/>
        <v>5223.6870022462208</v>
      </c>
      <c r="F200">
        <f t="shared" si="24"/>
        <v>0.47502422065304073</v>
      </c>
      <c r="G200">
        <f t="shared" si="25"/>
        <v>1</v>
      </c>
      <c r="H200">
        <f t="shared" si="26"/>
        <v>3600.2696021218253</v>
      </c>
      <c r="K200">
        <v>0.17199999999999999</v>
      </c>
      <c r="L200">
        <f t="shared" si="22"/>
        <v>-11931.986384823909</v>
      </c>
      <c r="M200">
        <f t="shared" si="23"/>
        <v>6532.7813349690823</v>
      </c>
      <c r="N200">
        <f t="shared" si="27"/>
        <v>0.46996804140510962</v>
      </c>
      <c r="O200">
        <f t="shared" si="28"/>
        <v>1</v>
      </c>
      <c r="P200">
        <f t="shared" si="29"/>
        <v>4478.4969712814373</v>
      </c>
    </row>
    <row r="201" spans="3:16" x14ac:dyDescent="0.25">
      <c r="C201">
        <v>0.17299999999999999</v>
      </c>
      <c r="D201">
        <f t="shared" si="20"/>
        <v>-10435.134549415507</v>
      </c>
      <c r="E201">
        <f t="shared" si="21"/>
        <v>5221.0101629673627</v>
      </c>
      <c r="F201">
        <f t="shared" si="24"/>
        <v>0.47734231120129522</v>
      </c>
      <c r="G201">
        <f t="shared" si="25"/>
        <v>1</v>
      </c>
      <c r="H201">
        <f t="shared" si="26"/>
        <v>3607.1940369264803</v>
      </c>
      <c r="K201">
        <v>0.17299999999999999</v>
      </c>
      <c r="L201">
        <f t="shared" si="22"/>
        <v>-11916.134549415507</v>
      </c>
      <c r="M201">
        <f t="shared" si="23"/>
        <v>6529.4796419178738</v>
      </c>
      <c r="N201">
        <f t="shared" si="27"/>
        <v>0.47226787816758109</v>
      </c>
      <c r="O201">
        <f t="shared" si="28"/>
        <v>1</v>
      </c>
      <c r="P201">
        <f t="shared" si="29"/>
        <v>4487.1726086516228</v>
      </c>
    </row>
    <row r="202" spans="3:16" x14ac:dyDescent="0.25">
      <c r="C202">
        <v>0.17399999999999999</v>
      </c>
      <c r="D202">
        <f t="shared" si="20"/>
        <v>-10422.282714007104</v>
      </c>
      <c r="E202">
        <f t="shared" si="21"/>
        <v>5218.3333236885064</v>
      </c>
      <c r="F202">
        <f t="shared" si="24"/>
        <v>0.47965527252207596</v>
      </c>
      <c r="G202">
        <f t="shared" si="25"/>
        <v>1</v>
      </c>
      <c r="H202">
        <f t="shared" si="26"/>
        <v>3614.0688994736088</v>
      </c>
      <c r="K202">
        <v>0.17399999999999999</v>
      </c>
      <c r="L202">
        <f t="shared" si="22"/>
        <v>-11900.282714007104</v>
      </c>
      <c r="M202">
        <f t="shared" si="23"/>
        <v>6526.1779488666652</v>
      </c>
      <c r="N202">
        <f t="shared" si="27"/>
        <v>0.47456271451882392</v>
      </c>
      <c r="O202">
        <f t="shared" si="28"/>
        <v>1</v>
      </c>
      <c r="P202">
        <f t="shared" si="29"/>
        <v>4495.7869076841798</v>
      </c>
    </row>
    <row r="203" spans="3:16" x14ac:dyDescent="0.25">
      <c r="C203">
        <v>0.17499999999999999</v>
      </c>
      <c r="D203">
        <f t="shared" si="20"/>
        <v>-10409.430878598701</v>
      </c>
      <c r="E203">
        <f t="shared" si="21"/>
        <v>5215.6564844096483</v>
      </c>
      <c r="F203">
        <f t="shared" si="24"/>
        <v>0.48196310461538316</v>
      </c>
      <c r="G203">
        <f t="shared" si="25"/>
        <v>1</v>
      </c>
      <c r="H203">
        <f t="shared" si="26"/>
        <v>3620.8945452355642</v>
      </c>
      <c r="K203">
        <v>0.17499999999999999</v>
      </c>
      <c r="L203">
        <f t="shared" si="22"/>
        <v>-11884.430878598701</v>
      </c>
      <c r="M203">
        <f t="shared" si="23"/>
        <v>6522.8762558154576</v>
      </c>
      <c r="N203">
        <f t="shared" si="27"/>
        <v>0.47685255045883801</v>
      </c>
      <c r="O203">
        <f t="shared" si="28"/>
        <v>1</v>
      </c>
      <c r="P203">
        <f t="shared" si="29"/>
        <v>4504.3403087387314</v>
      </c>
    </row>
    <row r="204" spans="3:16" x14ac:dyDescent="0.25">
      <c r="C204">
        <v>0.17599999999999999</v>
      </c>
      <c r="D204">
        <f t="shared" si="20"/>
        <v>-10396.579043190299</v>
      </c>
      <c r="E204">
        <f t="shared" si="21"/>
        <v>5212.9796451307911</v>
      </c>
      <c r="F204">
        <f t="shared" si="24"/>
        <v>0.4842658074812165</v>
      </c>
      <c r="G204">
        <f t="shared" si="25"/>
        <v>1</v>
      </c>
      <c r="H204">
        <f t="shared" si="26"/>
        <v>3627.6713249356962</v>
      </c>
      <c r="K204">
        <v>0.17599999999999999</v>
      </c>
      <c r="L204">
        <f t="shared" si="22"/>
        <v>-11868.579043190299</v>
      </c>
      <c r="M204">
        <f t="shared" si="23"/>
        <v>6519.5745627642491</v>
      </c>
      <c r="N204">
        <f t="shared" si="27"/>
        <v>0.47913738598762345</v>
      </c>
      <c r="O204">
        <f t="shared" si="28"/>
        <v>1</v>
      </c>
      <c r="P204">
        <f t="shared" si="29"/>
        <v>4512.8332462866056</v>
      </c>
    </row>
    <row r="205" spans="3:16" x14ac:dyDescent="0.25">
      <c r="C205">
        <v>0.17699999999999999</v>
      </c>
      <c r="D205">
        <f t="shared" si="20"/>
        <v>-10383.727207781896</v>
      </c>
      <c r="E205">
        <f t="shared" si="21"/>
        <v>5210.302805851934</v>
      </c>
      <c r="F205">
        <f t="shared" si="24"/>
        <v>0.48656338111957631</v>
      </c>
      <c r="G205">
        <f t="shared" si="25"/>
        <v>1</v>
      </c>
      <c r="H205">
        <f t="shared" si="26"/>
        <v>3634.399584640274</v>
      </c>
      <c r="K205">
        <v>0.17699999999999999</v>
      </c>
      <c r="L205">
        <f t="shared" si="22"/>
        <v>-11852.727207781896</v>
      </c>
      <c r="M205">
        <f t="shared" si="23"/>
        <v>6516.2728697130406</v>
      </c>
      <c r="N205">
        <f t="shared" si="27"/>
        <v>0.48141722110518037</v>
      </c>
      <c r="O205">
        <f t="shared" si="28"/>
        <v>1</v>
      </c>
      <c r="P205">
        <f t="shared" si="29"/>
        <v>4521.2661490248584</v>
      </c>
    </row>
    <row r="206" spans="3:16" x14ac:dyDescent="0.25">
      <c r="C206">
        <v>0.17799999999999999</v>
      </c>
      <c r="D206">
        <f t="shared" si="20"/>
        <v>-10370.875372373494</v>
      </c>
      <c r="E206">
        <f t="shared" si="21"/>
        <v>5207.6259665730768</v>
      </c>
      <c r="F206">
        <f t="shared" si="24"/>
        <v>0.48885582553046247</v>
      </c>
      <c r="G206">
        <f t="shared" si="25"/>
        <v>1</v>
      </c>
      <c r="H206">
        <f t="shared" si="26"/>
        <v>3641.0796658481063</v>
      </c>
      <c r="K206">
        <v>0.17799999999999999</v>
      </c>
      <c r="L206">
        <f t="shared" si="22"/>
        <v>-11836.875372373494</v>
      </c>
      <c r="M206">
        <f t="shared" si="23"/>
        <v>6512.9711766618329</v>
      </c>
      <c r="N206">
        <f t="shared" si="27"/>
        <v>0.48369205581150843</v>
      </c>
      <c r="O206">
        <f t="shared" si="28"/>
        <v>1</v>
      </c>
      <c r="P206">
        <f t="shared" si="29"/>
        <v>4529.639439987418</v>
      </c>
    </row>
    <row r="207" spans="3:16" x14ac:dyDescent="0.25">
      <c r="C207">
        <v>0.17899999999999999</v>
      </c>
      <c r="D207">
        <f t="shared" si="20"/>
        <v>-10358.023536965091</v>
      </c>
      <c r="E207">
        <f t="shared" si="21"/>
        <v>5204.9491272942196</v>
      </c>
      <c r="F207">
        <f t="shared" si="24"/>
        <v>0.49114314071387488</v>
      </c>
      <c r="G207">
        <f t="shared" si="25"/>
        <v>1</v>
      </c>
      <c r="H207">
        <f t="shared" si="26"/>
        <v>3647.7119055779299</v>
      </c>
      <c r="K207">
        <v>0.17899999999999999</v>
      </c>
      <c r="L207">
        <f t="shared" si="22"/>
        <v>-11821.023536965091</v>
      </c>
      <c r="M207">
        <f t="shared" si="23"/>
        <v>6509.6694836106253</v>
      </c>
      <c r="N207">
        <f t="shared" si="27"/>
        <v>0.48596189010660795</v>
      </c>
      <c r="O207">
        <f t="shared" si="28"/>
        <v>1</v>
      </c>
      <c r="P207">
        <f t="shared" si="29"/>
        <v>4537.9535366534865</v>
      </c>
    </row>
    <row r="208" spans="3:16" x14ac:dyDescent="0.25">
      <c r="C208">
        <v>0.18</v>
      </c>
      <c r="D208">
        <f t="shared" si="20"/>
        <v>-10345.171701556688</v>
      </c>
      <c r="E208">
        <f t="shared" si="21"/>
        <v>5202.2722880153615</v>
      </c>
      <c r="F208">
        <f t="shared" si="24"/>
        <v>0.49342532666981365</v>
      </c>
      <c r="G208">
        <f t="shared" si="25"/>
        <v>1</v>
      </c>
      <c r="H208">
        <f t="shared" si="26"/>
        <v>3654.296636453641</v>
      </c>
      <c r="K208">
        <v>0.18</v>
      </c>
      <c r="L208">
        <f t="shared" si="22"/>
        <v>-11805.171701556688</v>
      </c>
      <c r="M208">
        <f t="shared" si="23"/>
        <v>6506.3677905594168</v>
      </c>
      <c r="N208">
        <f t="shared" si="27"/>
        <v>0.48822672399047873</v>
      </c>
      <c r="O208">
        <f t="shared" si="28"/>
        <v>1</v>
      </c>
      <c r="P208">
        <f t="shared" si="29"/>
        <v>4546.2088510532367</v>
      </c>
    </row>
    <row r="209" spans="3:16" x14ac:dyDescent="0.25">
      <c r="C209">
        <v>0.18099999999999999</v>
      </c>
      <c r="D209">
        <f t="shared" si="20"/>
        <v>-10332.319866148286</v>
      </c>
      <c r="E209">
        <f t="shared" si="21"/>
        <v>5199.5954487365052</v>
      </c>
      <c r="F209">
        <f t="shared" si="24"/>
        <v>0.49570238339827866</v>
      </c>
      <c r="G209">
        <f t="shared" si="25"/>
        <v>1</v>
      </c>
      <c r="H209">
        <f t="shared" si="26"/>
        <v>3660.8341867874242</v>
      </c>
      <c r="K209">
        <v>0.18099999999999999</v>
      </c>
      <c r="L209">
        <f t="shared" si="22"/>
        <v>-11789.319866148286</v>
      </c>
      <c r="M209">
        <f t="shared" si="23"/>
        <v>6503.0660975082083</v>
      </c>
      <c r="N209">
        <f t="shared" si="27"/>
        <v>0.49048655746312098</v>
      </c>
      <c r="O209">
        <f t="shared" si="28"/>
        <v>1</v>
      </c>
      <c r="P209">
        <f t="shared" si="29"/>
        <v>4554.4057898709252</v>
      </c>
    </row>
    <row r="210" spans="3:16" x14ac:dyDescent="0.25">
      <c r="C210">
        <v>0.182</v>
      </c>
      <c r="D210">
        <f t="shared" si="20"/>
        <v>-10319.468030739885</v>
      </c>
      <c r="E210">
        <f t="shared" si="21"/>
        <v>5196.9186094576471</v>
      </c>
      <c r="F210">
        <f t="shared" si="24"/>
        <v>0.4979743108992698</v>
      </c>
      <c r="G210">
        <f t="shared" si="25"/>
        <v>1</v>
      </c>
      <c r="H210">
        <f t="shared" si="26"/>
        <v>3667.3248806608431</v>
      </c>
      <c r="K210">
        <v>0.182</v>
      </c>
      <c r="L210">
        <f t="shared" si="22"/>
        <v>-11773.468030739885</v>
      </c>
      <c r="M210">
        <f t="shared" si="23"/>
        <v>6499.7644044570006</v>
      </c>
      <c r="N210">
        <f t="shared" si="27"/>
        <v>0.49274139052453425</v>
      </c>
      <c r="O210">
        <f t="shared" si="28"/>
        <v>1</v>
      </c>
      <c r="P210">
        <f t="shared" si="29"/>
        <v>4562.5447545454654</v>
      </c>
    </row>
    <row r="211" spans="3:16" x14ac:dyDescent="0.25">
      <c r="C211">
        <v>0.183</v>
      </c>
      <c r="D211">
        <f t="shared" si="20"/>
        <v>-10306.61619533148</v>
      </c>
      <c r="E211">
        <f t="shared" si="21"/>
        <v>5194.2417701787899</v>
      </c>
      <c r="F211">
        <f t="shared" si="24"/>
        <v>0.50024110917278786</v>
      </c>
      <c r="G211">
        <f t="shared" si="25"/>
        <v>1</v>
      </c>
      <c r="H211">
        <f t="shared" si="26"/>
        <v>3673.7690380039726</v>
      </c>
      <c r="K211">
        <v>0.183</v>
      </c>
      <c r="L211">
        <f t="shared" si="22"/>
        <v>-11757.61619533148</v>
      </c>
      <c r="M211">
        <f t="shared" si="23"/>
        <v>6496.462711405793</v>
      </c>
      <c r="N211">
        <f t="shared" si="27"/>
        <v>0.49499122317471933</v>
      </c>
      <c r="O211">
        <f t="shared" si="28"/>
        <v>1</v>
      </c>
      <c r="P211">
        <f t="shared" si="29"/>
        <v>4570.6261413685679</v>
      </c>
    </row>
    <row r="212" spans="3:16" x14ac:dyDescent="0.25">
      <c r="C212">
        <v>0.184</v>
      </c>
      <c r="D212">
        <f t="shared" si="20"/>
        <v>-10293.76435992308</v>
      </c>
      <c r="E212">
        <f t="shared" si="21"/>
        <v>5191.5649308999327</v>
      </c>
      <c r="F212">
        <f t="shared" si="24"/>
        <v>0.5025027782188316</v>
      </c>
      <c r="G212">
        <f t="shared" si="25"/>
        <v>1</v>
      </c>
      <c r="H212">
        <f t="shared" si="26"/>
        <v>3680.1669746725893</v>
      </c>
      <c r="K212">
        <v>0.184</v>
      </c>
      <c r="L212">
        <f t="shared" si="22"/>
        <v>-11741.76435992308</v>
      </c>
      <c r="M212">
        <f t="shared" si="23"/>
        <v>6493.1610183545854</v>
      </c>
      <c r="N212">
        <f t="shared" si="27"/>
        <v>0.49723605541367533</v>
      </c>
      <c r="O212">
        <f t="shared" si="28"/>
        <v>1</v>
      </c>
      <c r="P212">
        <f t="shared" si="29"/>
        <v>4578.6503415804846</v>
      </c>
    </row>
    <row r="213" spans="3:16" x14ac:dyDescent="0.25">
      <c r="C213">
        <v>0.185</v>
      </c>
      <c r="D213">
        <f t="shared" si="20"/>
        <v>-10280.912524514677</v>
      </c>
      <c r="E213">
        <f t="shared" si="21"/>
        <v>5188.8880916210765</v>
      </c>
      <c r="F213">
        <f t="shared" si="24"/>
        <v>0.50475931803740204</v>
      </c>
      <c r="G213">
        <f t="shared" si="25"/>
        <v>1</v>
      </c>
      <c r="H213">
        <f t="shared" si="26"/>
        <v>3686.5190025235379</v>
      </c>
      <c r="K213">
        <v>0.185</v>
      </c>
      <c r="L213">
        <f t="shared" si="22"/>
        <v>-11725.912524514677</v>
      </c>
      <c r="M213">
        <f t="shared" si="23"/>
        <v>6489.8593253033769</v>
      </c>
      <c r="N213">
        <f t="shared" si="27"/>
        <v>0.49947588724140279</v>
      </c>
      <c r="O213">
        <f t="shared" si="28"/>
        <v>1</v>
      </c>
      <c r="P213">
        <f t="shared" si="29"/>
        <v>4586.6177414634731</v>
      </c>
    </row>
    <row r="214" spans="3:16" x14ac:dyDescent="0.25">
      <c r="C214">
        <v>0.186</v>
      </c>
      <c r="D214">
        <f t="shared" si="20"/>
        <v>-10268.060689106274</v>
      </c>
      <c r="E214">
        <f t="shared" si="21"/>
        <v>5186.2112523422184</v>
      </c>
      <c r="F214">
        <f t="shared" si="24"/>
        <v>0.50701072862849872</v>
      </c>
      <c r="G214">
        <f t="shared" si="25"/>
        <v>1</v>
      </c>
      <c r="H214">
        <f t="shared" si="26"/>
        <v>3692.8254294882599</v>
      </c>
      <c r="K214">
        <v>0.186</v>
      </c>
      <c r="L214">
        <f t="shared" si="22"/>
        <v>-11710.060689106274</v>
      </c>
      <c r="M214">
        <f t="shared" si="23"/>
        <v>6486.5576322521683</v>
      </c>
      <c r="N214">
        <f t="shared" si="27"/>
        <v>0.50171071865790173</v>
      </c>
      <c r="O214">
        <f t="shared" si="28"/>
        <v>1</v>
      </c>
      <c r="P214">
        <f t="shared" si="29"/>
        <v>4594.5287224330059</v>
      </c>
    </row>
    <row r="215" spans="3:16" x14ac:dyDescent="0.25">
      <c r="C215">
        <v>0.187</v>
      </c>
      <c r="D215">
        <f t="shared" si="20"/>
        <v>-10255.208853697872</v>
      </c>
      <c r="E215">
        <f t="shared" si="21"/>
        <v>5183.5344130633612</v>
      </c>
      <c r="F215">
        <f t="shared" si="24"/>
        <v>0.50925700999212187</v>
      </c>
      <c r="G215">
        <f t="shared" si="25"/>
        <v>1</v>
      </c>
      <c r="H215">
        <f t="shared" si="26"/>
        <v>3699.0865596445992</v>
      </c>
      <c r="K215">
        <v>0.187</v>
      </c>
      <c r="L215">
        <f t="shared" si="22"/>
        <v>-11694.208853697872</v>
      </c>
      <c r="M215">
        <f t="shared" si="23"/>
        <v>6483.2559392009607</v>
      </c>
      <c r="N215">
        <f t="shared" si="27"/>
        <v>0.50394054966317192</v>
      </c>
      <c r="O215">
        <f t="shared" si="28"/>
        <v>1</v>
      </c>
      <c r="P215">
        <f t="shared" si="29"/>
        <v>4602.3836611268098</v>
      </c>
    </row>
    <row r="216" spans="3:16" x14ac:dyDescent="0.25">
      <c r="C216">
        <v>0.188</v>
      </c>
      <c r="D216">
        <f t="shared" si="20"/>
        <v>-10242.357018289469</v>
      </c>
      <c r="E216">
        <f t="shared" si="21"/>
        <v>5180.857573784504</v>
      </c>
      <c r="F216">
        <f t="shared" si="24"/>
        <v>0.51149816212827126</v>
      </c>
      <c r="G216">
        <f t="shared" si="25"/>
        <v>1</v>
      </c>
      <c r="H216">
        <f t="shared" si="26"/>
        <v>3705.3026932868875</v>
      </c>
      <c r="K216">
        <v>0.188</v>
      </c>
      <c r="L216">
        <f t="shared" si="22"/>
        <v>-11678.357018289469</v>
      </c>
      <c r="M216">
        <f t="shared" si="23"/>
        <v>6479.9542461497522</v>
      </c>
      <c r="N216">
        <f t="shared" si="27"/>
        <v>0.50616538025721347</v>
      </c>
      <c r="O216">
        <f t="shared" si="28"/>
        <v>1</v>
      </c>
      <c r="P216">
        <f t="shared" si="29"/>
        <v>4610.1829294917998</v>
      </c>
    </row>
    <row r="217" spans="3:16" x14ac:dyDescent="0.25">
      <c r="C217">
        <v>0.189</v>
      </c>
      <c r="D217">
        <f t="shared" si="20"/>
        <v>-10229.505182881067</v>
      </c>
      <c r="E217">
        <f t="shared" si="21"/>
        <v>5178.1807345056468</v>
      </c>
      <c r="F217">
        <f t="shared" si="24"/>
        <v>0.51373418503694701</v>
      </c>
      <c r="G217">
        <f t="shared" si="25"/>
        <v>1</v>
      </c>
      <c r="H217">
        <f t="shared" si="26"/>
        <v>3711.4741269943906</v>
      </c>
      <c r="K217">
        <v>0.189</v>
      </c>
      <c r="L217">
        <f t="shared" si="22"/>
        <v>-11662.505182881067</v>
      </c>
      <c r="M217">
        <f t="shared" si="23"/>
        <v>6476.6525530985436</v>
      </c>
      <c r="N217">
        <f t="shared" si="27"/>
        <v>0.50838521044002638</v>
      </c>
      <c r="O217">
        <f t="shared" si="28"/>
        <v>1</v>
      </c>
      <c r="P217">
        <f t="shared" si="29"/>
        <v>4617.9268948689696</v>
      </c>
    </row>
    <row r="218" spans="3:16" x14ac:dyDescent="0.25">
      <c r="C218">
        <v>0.19</v>
      </c>
      <c r="D218">
        <f t="shared" si="20"/>
        <v>-10216.653347472664</v>
      </c>
      <c r="E218">
        <f t="shared" si="21"/>
        <v>5175.5038952267896</v>
      </c>
      <c r="F218">
        <f t="shared" si="24"/>
        <v>0.5159650787181489</v>
      </c>
      <c r="G218">
        <f t="shared" si="25"/>
        <v>1</v>
      </c>
      <c r="H218">
        <f t="shared" si="26"/>
        <v>3717.6011536981496</v>
      </c>
      <c r="K218">
        <v>0.19</v>
      </c>
      <c r="L218">
        <f t="shared" si="22"/>
        <v>-11646.653347472664</v>
      </c>
      <c r="M218">
        <f t="shared" si="23"/>
        <v>6473.350860047336</v>
      </c>
      <c r="N218">
        <f t="shared" si="27"/>
        <v>0.51060004021161054</v>
      </c>
      <c r="O218">
        <f t="shared" si="28"/>
        <v>1</v>
      </c>
      <c r="P218">
        <f t="shared" si="29"/>
        <v>4625.6159200762822</v>
      </c>
    </row>
    <row r="219" spans="3:16" x14ac:dyDescent="0.25">
      <c r="C219">
        <v>0.191</v>
      </c>
      <c r="D219">
        <f t="shared" si="20"/>
        <v>-10203.801512064261</v>
      </c>
      <c r="E219">
        <f t="shared" si="21"/>
        <v>5172.8270559479315</v>
      </c>
      <c r="F219">
        <f t="shared" si="24"/>
        <v>0.51819084317187736</v>
      </c>
      <c r="G219">
        <f t="shared" si="25"/>
        <v>1</v>
      </c>
      <c r="H219">
        <f t="shared" si="26"/>
        <v>3723.6840627462593</v>
      </c>
      <c r="K219">
        <v>0.191</v>
      </c>
      <c r="L219">
        <f t="shared" si="22"/>
        <v>-11630.801512064261</v>
      </c>
      <c r="M219">
        <f t="shared" si="23"/>
        <v>6470.0491669961284</v>
      </c>
      <c r="N219">
        <f t="shared" si="27"/>
        <v>0.51280986957196606</v>
      </c>
      <c r="O219">
        <f t="shared" si="28"/>
        <v>1</v>
      </c>
      <c r="P219">
        <f t="shared" si="29"/>
        <v>4633.2503634896375</v>
      </c>
    </row>
    <row r="220" spans="3:16" x14ac:dyDescent="0.25">
      <c r="C220">
        <v>0.192</v>
      </c>
      <c r="D220">
        <f t="shared" ref="D220:D283" si="30">-$J$23+($J$15+$J$23)*C220</f>
        <v>-10190.949676655859</v>
      </c>
      <c r="E220">
        <f t="shared" ref="E220:E283" si="31">$J$12-$J$11*D220</f>
        <v>5170.1502166690752</v>
      </c>
      <c r="F220">
        <f t="shared" si="24"/>
        <v>0.52041147839813207</v>
      </c>
      <c r="G220">
        <f t="shared" si="25"/>
        <v>1</v>
      </c>
      <c r="H220">
        <f t="shared" si="26"/>
        <v>3729.7231399676411</v>
      </c>
      <c r="K220">
        <v>0.192</v>
      </c>
      <c r="L220">
        <f t="shared" ref="L220:L283" si="32">-$M$23+($M$15+$M$23)*K220</f>
        <v>-11614.949676655859</v>
      </c>
      <c r="M220">
        <f t="shared" ref="M220:M283" si="33">$J$12-$J$11*L220+$E$18</f>
        <v>6466.7474739449199</v>
      </c>
      <c r="N220">
        <f t="shared" si="27"/>
        <v>0.51501469852109305</v>
      </c>
      <c r="O220">
        <f t="shared" si="28"/>
        <v>1</v>
      </c>
      <c r="P220">
        <f t="shared" si="29"/>
        <v>4640.8305791219591</v>
      </c>
    </row>
    <row r="221" spans="3:16" x14ac:dyDescent="0.25">
      <c r="C221">
        <v>0.193</v>
      </c>
      <c r="D221">
        <f t="shared" si="30"/>
        <v>-10178.097841247456</v>
      </c>
      <c r="E221">
        <f t="shared" si="31"/>
        <v>5167.4733773902171</v>
      </c>
      <c r="F221">
        <f t="shared" ref="F221:F284" si="34">IF(D221&lt;$J$20,MAX(1-(D221-$J$20)^2/$J$22^2,0),1)</f>
        <v>0.52262698439691313</v>
      </c>
      <c r="G221">
        <f t="shared" ref="G221:G284" si="35">IF(D221&gt;$J$17,MAX(1-(D221-$J$17)^2/($J$15-$J$17)^2,0),1)</f>
        <v>1</v>
      </c>
      <c r="H221">
        <f t="shared" ref="H221:H284" si="36">SQRT(E221^2*F221*G221)</f>
        <v>3735.7186677343366</v>
      </c>
      <c r="K221">
        <v>0.193</v>
      </c>
      <c r="L221">
        <f t="shared" si="32"/>
        <v>-11599.097841247456</v>
      </c>
      <c r="M221">
        <f t="shared" si="33"/>
        <v>6463.4457808937113</v>
      </c>
      <c r="N221">
        <f t="shared" ref="N221:N284" si="37">IF(L221&lt;$J$20,MAX(1-(L221-$J$20)^2/$M$22^2,0),1)</f>
        <v>0.51721452705899129</v>
      </c>
      <c r="O221">
        <f t="shared" ref="O221:O284" si="38">IF(L221&gt;$J$17,MAX(1-(L221-$J$17)^2/($M$15-$J$17)^2,0),1)</f>
        <v>1</v>
      </c>
      <c r="P221">
        <f t="shared" ref="P221:P284" si="39">SQRT(M221^2*N221*O221)</f>
        <v>4648.3569167004589</v>
      </c>
    </row>
    <row r="222" spans="3:16" x14ac:dyDescent="0.25">
      <c r="C222">
        <v>0.19400000000000001</v>
      </c>
      <c r="D222">
        <f t="shared" si="30"/>
        <v>-10165.246005839053</v>
      </c>
      <c r="E222">
        <f t="shared" si="31"/>
        <v>5164.79653811136</v>
      </c>
      <c r="F222">
        <f t="shared" si="34"/>
        <v>0.52483736116822044</v>
      </c>
      <c r="G222">
        <f t="shared" si="35"/>
        <v>1</v>
      </c>
      <c r="H222">
        <f t="shared" si="36"/>
        <v>3741.6709250223853</v>
      </c>
      <c r="K222">
        <v>0.19400000000000001</v>
      </c>
      <c r="L222">
        <f t="shared" si="32"/>
        <v>-11583.246005839053</v>
      </c>
      <c r="M222">
        <f t="shared" si="33"/>
        <v>6460.1440878425037</v>
      </c>
      <c r="N222">
        <f t="shared" si="37"/>
        <v>0.51940935518566089</v>
      </c>
      <c r="O222">
        <f t="shared" si="38"/>
        <v>1</v>
      </c>
      <c r="P222">
        <f t="shared" si="39"/>
        <v>4655.8297217421323</v>
      </c>
    </row>
    <row r="223" spans="3:16" x14ac:dyDescent="0.25">
      <c r="C223">
        <v>0.19500000000000001</v>
      </c>
      <c r="D223">
        <f t="shared" si="30"/>
        <v>-10152.394170430653</v>
      </c>
      <c r="E223">
        <f t="shared" si="31"/>
        <v>5162.1196988325028</v>
      </c>
      <c r="F223">
        <f t="shared" si="34"/>
        <v>0.52704260871205377</v>
      </c>
      <c r="G223">
        <f t="shared" si="35"/>
        <v>1</v>
      </c>
      <c r="H223">
        <f t="shared" si="36"/>
        <v>3747.5801874712993</v>
      </c>
      <c r="K223">
        <v>0.19500000000000001</v>
      </c>
      <c r="L223">
        <f t="shared" si="32"/>
        <v>-11567.394170430653</v>
      </c>
      <c r="M223">
        <f t="shared" si="33"/>
        <v>6456.8423947912961</v>
      </c>
      <c r="N223">
        <f t="shared" si="37"/>
        <v>0.52159918290110152</v>
      </c>
      <c r="O223">
        <f t="shared" si="38"/>
        <v>1</v>
      </c>
      <c r="P223">
        <f t="shared" si="39"/>
        <v>4663.2493356275199</v>
      </c>
    </row>
    <row r="224" spans="3:16" x14ac:dyDescent="0.25">
      <c r="C224">
        <v>0.19600000000000001</v>
      </c>
      <c r="D224">
        <f t="shared" si="30"/>
        <v>-10139.542335022248</v>
      </c>
      <c r="E224">
        <f t="shared" si="31"/>
        <v>5159.4428595536456</v>
      </c>
      <c r="F224">
        <f t="shared" si="34"/>
        <v>0.52924272702841413</v>
      </c>
      <c r="G224">
        <f t="shared" si="35"/>
        <v>1</v>
      </c>
      <c r="H224">
        <f t="shared" si="36"/>
        <v>3753.4467274422036</v>
      </c>
      <c r="K224">
        <v>0.19600000000000001</v>
      </c>
      <c r="L224">
        <f t="shared" si="32"/>
        <v>-11551.542335022248</v>
      </c>
      <c r="M224">
        <f t="shared" si="33"/>
        <v>6453.5407017400876</v>
      </c>
      <c r="N224">
        <f t="shared" si="37"/>
        <v>0.52378401020531395</v>
      </c>
      <c r="O224">
        <f t="shared" si="38"/>
        <v>1</v>
      </c>
      <c r="P224">
        <f t="shared" si="39"/>
        <v>4670.6160956728136</v>
      </c>
    </row>
    <row r="225" spans="3:16" x14ac:dyDescent="0.25">
      <c r="C225">
        <v>0.19700000000000001</v>
      </c>
      <c r="D225">
        <f t="shared" si="30"/>
        <v>-10126.690499613847</v>
      </c>
      <c r="E225">
        <f t="shared" si="31"/>
        <v>5156.7660202747884</v>
      </c>
      <c r="F225">
        <f t="shared" si="34"/>
        <v>0.53143771611730017</v>
      </c>
      <c r="G225">
        <f t="shared" si="35"/>
        <v>1</v>
      </c>
      <c r="H225">
        <f t="shared" si="36"/>
        <v>3759.2708140746408</v>
      </c>
      <c r="K225">
        <v>0.19700000000000001</v>
      </c>
      <c r="L225">
        <f t="shared" si="32"/>
        <v>-11535.690499613847</v>
      </c>
      <c r="M225">
        <f t="shared" si="33"/>
        <v>6450.2390086888799</v>
      </c>
      <c r="N225">
        <f t="shared" si="37"/>
        <v>0.5259638370982973</v>
      </c>
      <c r="O225">
        <f t="shared" si="38"/>
        <v>1</v>
      </c>
      <c r="P225">
        <f t="shared" si="39"/>
        <v>4677.9303352003126</v>
      </c>
    </row>
    <row r="226" spans="3:16" x14ac:dyDescent="0.25">
      <c r="C226">
        <v>0.19800000000000001</v>
      </c>
      <c r="D226">
        <f t="shared" si="30"/>
        <v>-10113.838664205445</v>
      </c>
      <c r="E226">
        <f t="shared" si="31"/>
        <v>5154.0891809959312</v>
      </c>
      <c r="F226">
        <f t="shared" si="34"/>
        <v>0.5336275759787128</v>
      </c>
      <c r="G226">
        <f t="shared" si="35"/>
        <v>1</v>
      </c>
      <c r="H226">
        <f t="shared" si="36"/>
        <v>3765.0527133421333</v>
      </c>
      <c r="K226">
        <v>0.19800000000000001</v>
      </c>
      <c r="L226">
        <f t="shared" si="32"/>
        <v>-11519.838664205445</v>
      </c>
      <c r="M226">
        <f t="shared" si="33"/>
        <v>6446.9373156376714</v>
      </c>
      <c r="N226">
        <f t="shared" si="37"/>
        <v>0.52813866358005224</v>
      </c>
      <c r="O226">
        <f t="shared" si="38"/>
        <v>1</v>
      </c>
      <c r="P226">
        <f t="shared" si="39"/>
        <v>4685.1923836073165</v>
      </c>
    </row>
    <row r="227" spans="3:16" x14ac:dyDescent="0.25">
      <c r="C227">
        <v>0.19900000000000001</v>
      </c>
      <c r="D227">
        <f t="shared" si="30"/>
        <v>-10100.986828797042</v>
      </c>
      <c r="E227">
        <f t="shared" si="31"/>
        <v>5151.412341717074</v>
      </c>
      <c r="F227">
        <f t="shared" si="34"/>
        <v>0.53581230661265189</v>
      </c>
      <c r="G227">
        <f t="shared" si="35"/>
        <v>1</v>
      </c>
      <c r="H227">
        <f t="shared" si="36"/>
        <v>3770.7926881064691</v>
      </c>
      <c r="K227">
        <v>0.19900000000000001</v>
      </c>
      <c r="L227">
        <f t="shared" si="32"/>
        <v>-11503.986828797042</v>
      </c>
      <c r="M227">
        <f t="shared" si="33"/>
        <v>6443.6356225864638</v>
      </c>
      <c r="N227">
        <f t="shared" si="37"/>
        <v>0.53030848965057853</v>
      </c>
      <c r="O227">
        <f t="shared" si="38"/>
        <v>1</v>
      </c>
      <c r="P227">
        <f t="shared" si="39"/>
        <v>4692.402566433464</v>
      </c>
    </row>
    <row r="228" spans="3:16" x14ac:dyDescent="0.25">
      <c r="C228">
        <v>0.2</v>
      </c>
      <c r="D228">
        <f t="shared" si="30"/>
        <v>-10088.134993388639</v>
      </c>
      <c r="E228">
        <f t="shared" si="31"/>
        <v>5148.7355024382159</v>
      </c>
      <c r="F228">
        <f t="shared" si="34"/>
        <v>0.53799190801911712</v>
      </c>
      <c r="G228">
        <f t="shared" si="35"/>
        <v>1</v>
      </c>
      <c r="H228">
        <f t="shared" si="36"/>
        <v>3776.4909981708033</v>
      </c>
      <c r="K228">
        <v>0.2</v>
      </c>
      <c r="L228">
        <f t="shared" si="32"/>
        <v>-11488.134993388639</v>
      </c>
      <c r="M228">
        <f t="shared" si="33"/>
        <v>6440.3339295352553</v>
      </c>
      <c r="N228">
        <f t="shared" si="37"/>
        <v>0.53247331530987618</v>
      </c>
      <c r="O228">
        <f t="shared" si="38"/>
        <v>1</v>
      </c>
      <c r="P228">
        <f t="shared" si="39"/>
        <v>4699.5612054265803</v>
      </c>
    </row>
    <row r="229" spans="3:16" x14ac:dyDescent="0.25">
      <c r="C229">
        <v>0.20100000000000001</v>
      </c>
      <c r="D229">
        <f t="shared" si="30"/>
        <v>-10075.283157980237</v>
      </c>
      <c r="E229">
        <f t="shared" si="31"/>
        <v>5146.0586631593596</v>
      </c>
      <c r="F229">
        <f t="shared" si="34"/>
        <v>0.54016638019810892</v>
      </c>
      <c r="G229">
        <f t="shared" si="35"/>
        <v>1</v>
      </c>
      <c r="H229">
        <f t="shared" si="36"/>
        <v>3782.1479003315826</v>
      </c>
      <c r="K229">
        <v>0.20100000000000001</v>
      </c>
      <c r="L229">
        <f t="shared" si="32"/>
        <v>-11472.283157980237</v>
      </c>
      <c r="M229">
        <f t="shared" si="33"/>
        <v>6437.0322364840467</v>
      </c>
      <c r="N229">
        <f t="shared" si="37"/>
        <v>0.53463314055794497</v>
      </c>
      <c r="O229">
        <f t="shared" si="38"/>
        <v>1</v>
      </c>
      <c r="P229">
        <f t="shared" si="39"/>
        <v>4706.6686186070692</v>
      </c>
    </row>
    <row r="230" spans="3:16" x14ac:dyDescent="0.25">
      <c r="C230">
        <v>0.20200000000000001</v>
      </c>
      <c r="D230">
        <f t="shared" si="30"/>
        <v>-10062.431322571834</v>
      </c>
      <c r="E230">
        <f t="shared" si="31"/>
        <v>5143.3818238805015</v>
      </c>
      <c r="F230">
        <f t="shared" si="34"/>
        <v>0.54233572314962686</v>
      </c>
      <c r="G230">
        <f t="shared" si="35"/>
        <v>1</v>
      </c>
      <c r="H230">
        <f t="shared" si="36"/>
        <v>3787.7636484293103</v>
      </c>
      <c r="K230">
        <v>0.20200000000000001</v>
      </c>
      <c r="L230">
        <f t="shared" si="32"/>
        <v>-11456.431322571834</v>
      </c>
      <c r="M230">
        <f t="shared" si="33"/>
        <v>6433.7305434328391</v>
      </c>
      <c r="N230">
        <f t="shared" si="37"/>
        <v>0.53678796539478535</v>
      </c>
      <c r="O230">
        <f t="shared" si="38"/>
        <v>1</v>
      </c>
      <c r="P230">
        <f t="shared" si="39"/>
        <v>4713.7251203308906</v>
      </c>
    </row>
    <row r="231" spans="3:16" x14ac:dyDescent="0.25">
      <c r="C231">
        <v>0.20300000000000001</v>
      </c>
      <c r="D231">
        <f t="shared" si="30"/>
        <v>-10049.579487163432</v>
      </c>
      <c r="E231">
        <f t="shared" si="31"/>
        <v>5140.7049846016453</v>
      </c>
      <c r="F231">
        <f t="shared" si="34"/>
        <v>0.54449993687367115</v>
      </c>
      <c r="G231">
        <f t="shared" si="35"/>
        <v>1</v>
      </c>
      <c r="H231">
        <f t="shared" si="36"/>
        <v>3793.3384933982275</v>
      </c>
      <c r="K231">
        <v>0.20300000000000001</v>
      </c>
      <c r="L231">
        <f t="shared" si="32"/>
        <v>-11440.579487163432</v>
      </c>
      <c r="M231">
        <f t="shared" si="33"/>
        <v>6430.4288503816315</v>
      </c>
      <c r="N231">
        <f t="shared" si="37"/>
        <v>0.53893778982039697</v>
      </c>
      <c r="O231">
        <f t="shared" si="38"/>
        <v>1</v>
      </c>
      <c r="P231">
        <f t="shared" si="39"/>
        <v>4720.7310213511391</v>
      </c>
    </row>
    <row r="232" spans="3:16" x14ac:dyDescent="0.25">
      <c r="C232">
        <v>0.20399999999999999</v>
      </c>
      <c r="D232">
        <f t="shared" si="30"/>
        <v>-10036.727651755031</v>
      </c>
      <c r="E232">
        <f t="shared" si="31"/>
        <v>5138.0281453227872</v>
      </c>
      <c r="F232">
        <f t="shared" si="34"/>
        <v>0.54665902137024158</v>
      </c>
      <c r="G232">
        <f t="shared" si="35"/>
        <v>1</v>
      </c>
      <c r="H232">
        <f t="shared" si="36"/>
        <v>3798.8726833148821</v>
      </c>
      <c r="K232">
        <v>0.20399999999999999</v>
      </c>
      <c r="L232">
        <f t="shared" si="32"/>
        <v>-11424.727651755031</v>
      </c>
      <c r="M232">
        <f t="shared" si="33"/>
        <v>6427.1271573304239</v>
      </c>
      <c r="N232">
        <f t="shared" si="37"/>
        <v>0.54108261383477974</v>
      </c>
      <c r="O232">
        <f t="shared" si="38"/>
        <v>1</v>
      </c>
      <c r="P232">
        <f t="shared" si="39"/>
        <v>4727.6866288783121</v>
      </c>
    </row>
    <row r="233" spans="3:16" x14ac:dyDescent="0.25">
      <c r="C233">
        <v>0.20499999999999999</v>
      </c>
      <c r="D233">
        <f t="shared" si="30"/>
        <v>-10023.875816346626</v>
      </c>
      <c r="E233">
        <f t="shared" si="31"/>
        <v>5135.35130604393</v>
      </c>
      <c r="F233">
        <f t="shared" si="34"/>
        <v>0.54881297663933881</v>
      </c>
      <c r="G233">
        <f t="shared" si="35"/>
        <v>1</v>
      </c>
      <c r="H233">
        <f t="shared" si="36"/>
        <v>3804.3664634456732</v>
      </c>
      <c r="K233">
        <v>0.20499999999999999</v>
      </c>
      <c r="L233">
        <f t="shared" si="32"/>
        <v>-11408.875816346626</v>
      </c>
      <c r="M233">
        <f t="shared" si="33"/>
        <v>6423.8254642792144</v>
      </c>
      <c r="N233">
        <f t="shared" si="37"/>
        <v>0.54322243743793419</v>
      </c>
      <c r="O233">
        <f t="shared" si="38"/>
        <v>1</v>
      </c>
      <c r="P233">
        <f t="shared" si="39"/>
        <v>4734.5922466392458</v>
      </c>
    </row>
    <row r="234" spans="3:16" x14ac:dyDescent="0.25">
      <c r="C234">
        <v>0.20599999999999999</v>
      </c>
      <c r="D234">
        <f t="shared" si="30"/>
        <v>-10011.023980938226</v>
      </c>
      <c r="E234">
        <f t="shared" si="31"/>
        <v>5132.6744667650728</v>
      </c>
      <c r="F234">
        <f t="shared" si="34"/>
        <v>0.55096180268096173</v>
      </c>
      <c r="G234">
        <f t="shared" si="35"/>
        <v>1</v>
      </c>
      <c r="H234">
        <f t="shared" si="36"/>
        <v>3809.8200762933402</v>
      </c>
      <c r="K234">
        <v>0.20599999999999999</v>
      </c>
      <c r="L234">
        <f t="shared" si="32"/>
        <v>-11393.023980938226</v>
      </c>
      <c r="M234">
        <f t="shared" si="33"/>
        <v>6420.5237712280068</v>
      </c>
      <c r="N234">
        <f t="shared" si="37"/>
        <v>0.54535726062985967</v>
      </c>
      <c r="O234">
        <f t="shared" si="38"/>
        <v>1</v>
      </c>
      <c r="P234">
        <f t="shared" si="39"/>
        <v>4741.4481749347879</v>
      </c>
    </row>
    <row r="235" spans="3:16" x14ac:dyDescent="0.25">
      <c r="C235">
        <v>0.20699999999999999</v>
      </c>
      <c r="D235">
        <f t="shared" si="30"/>
        <v>-9998.172145529823</v>
      </c>
      <c r="E235">
        <f t="shared" si="31"/>
        <v>5129.9976274862156</v>
      </c>
      <c r="F235">
        <f t="shared" si="34"/>
        <v>0.55310549949511145</v>
      </c>
      <c r="G235">
        <f t="shared" si="35"/>
        <v>1</v>
      </c>
      <c r="H235">
        <f t="shared" si="36"/>
        <v>3815.2337616424875</v>
      </c>
      <c r="K235">
        <v>0.20699999999999999</v>
      </c>
      <c r="L235">
        <f t="shared" si="32"/>
        <v>-11377.172145529823</v>
      </c>
      <c r="M235">
        <f t="shared" si="33"/>
        <v>6417.2220781767992</v>
      </c>
      <c r="N235">
        <f t="shared" si="37"/>
        <v>0.54748708341055674</v>
      </c>
      <c r="O235">
        <f t="shared" si="38"/>
        <v>1</v>
      </c>
      <c r="P235">
        <f t="shared" si="39"/>
        <v>4748.2547106962411</v>
      </c>
    </row>
    <row r="236" spans="3:16" x14ac:dyDescent="0.25">
      <c r="C236">
        <v>0.20799999999999999</v>
      </c>
      <c r="D236">
        <f t="shared" si="30"/>
        <v>-9985.3203101214203</v>
      </c>
      <c r="E236">
        <f t="shared" si="31"/>
        <v>5127.3207882073584</v>
      </c>
      <c r="F236">
        <f t="shared" si="34"/>
        <v>0.55524406708178731</v>
      </c>
      <c r="G236">
        <f t="shared" si="35"/>
        <v>1</v>
      </c>
      <c r="H236">
        <f t="shared" si="36"/>
        <v>3820.6077566041022</v>
      </c>
      <c r="K236">
        <v>0.20799999999999999</v>
      </c>
      <c r="L236">
        <f t="shared" si="32"/>
        <v>-11361.32031012142</v>
      </c>
      <c r="M236">
        <f t="shared" si="33"/>
        <v>6413.9203851255916</v>
      </c>
      <c r="N236">
        <f t="shared" si="37"/>
        <v>0.54961190578002495</v>
      </c>
      <c r="O236">
        <f t="shared" si="38"/>
        <v>1</v>
      </c>
      <c r="P236">
        <f t="shared" si="39"/>
        <v>4755.0121475405758</v>
      </c>
    </row>
    <row r="237" spans="3:16" x14ac:dyDescent="0.25">
      <c r="C237">
        <v>0.20899999999999999</v>
      </c>
      <c r="D237">
        <f t="shared" si="30"/>
        <v>-9972.4684747130177</v>
      </c>
      <c r="E237">
        <f t="shared" si="31"/>
        <v>5124.6439489285012</v>
      </c>
      <c r="F237">
        <f t="shared" si="34"/>
        <v>0.55737750544098974</v>
      </c>
      <c r="G237">
        <f t="shared" si="35"/>
        <v>1</v>
      </c>
      <c r="H237">
        <f t="shared" si="36"/>
        <v>3825.9422956591534</v>
      </c>
      <c r="K237">
        <v>0.20899999999999999</v>
      </c>
      <c r="L237">
        <f t="shared" si="32"/>
        <v>-11345.468474713018</v>
      </c>
      <c r="M237">
        <f t="shared" si="33"/>
        <v>6410.618692074383</v>
      </c>
      <c r="N237">
        <f t="shared" si="37"/>
        <v>0.55173172773826462</v>
      </c>
      <c r="O237">
        <f t="shared" si="38"/>
        <v>1</v>
      </c>
      <c r="P237">
        <f t="shared" si="39"/>
        <v>4761.7207758245022</v>
      </c>
    </row>
    <row r="238" spans="3:16" x14ac:dyDescent="0.25">
      <c r="C238">
        <v>0.21</v>
      </c>
      <c r="D238">
        <f t="shared" si="30"/>
        <v>-9959.6166393046151</v>
      </c>
      <c r="E238">
        <f t="shared" si="31"/>
        <v>5121.967109649644</v>
      </c>
      <c r="F238">
        <f t="shared" si="34"/>
        <v>0.55950581457271831</v>
      </c>
      <c r="G238">
        <f t="shared" si="35"/>
        <v>1</v>
      </c>
      <c r="H238">
        <f t="shared" si="36"/>
        <v>3831.2376107012533</v>
      </c>
      <c r="K238">
        <v>0.21</v>
      </c>
      <c r="L238">
        <f t="shared" si="32"/>
        <v>-11329.616639304615</v>
      </c>
      <c r="M238">
        <f t="shared" si="33"/>
        <v>6407.3169990231745</v>
      </c>
      <c r="N238">
        <f t="shared" si="37"/>
        <v>0.55384654928527566</v>
      </c>
      <c r="O238">
        <f t="shared" si="38"/>
        <v>1</v>
      </c>
      <c r="P238">
        <f t="shared" si="39"/>
        <v>4768.3808826973709</v>
      </c>
    </row>
    <row r="239" spans="3:16" x14ac:dyDescent="0.25">
      <c r="C239">
        <v>0.21099999999999999</v>
      </c>
      <c r="D239">
        <f t="shared" si="30"/>
        <v>-9946.7648038962125</v>
      </c>
      <c r="E239">
        <f t="shared" si="31"/>
        <v>5119.2902703707859</v>
      </c>
      <c r="F239">
        <f t="shared" si="34"/>
        <v>0.56162899447697323</v>
      </c>
      <c r="G239">
        <f t="shared" si="35"/>
        <v>1</v>
      </c>
      <c r="H239">
        <f t="shared" si="36"/>
        <v>3836.4939310784239</v>
      </c>
      <c r="K239">
        <v>0.21099999999999999</v>
      </c>
      <c r="L239">
        <f t="shared" si="32"/>
        <v>-11313.764803896212</v>
      </c>
      <c r="M239">
        <f t="shared" si="33"/>
        <v>6404.0153059719669</v>
      </c>
      <c r="N239">
        <f t="shared" si="37"/>
        <v>0.55595637042105794</v>
      </c>
      <c r="O239">
        <f t="shared" si="38"/>
        <v>1</v>
      </c>
      <c r="P239">
        <f t="shared" si="39"/>
        <v>4774.9927521529735</v>
      </c>
    </row>
    <row r="240" spans="3:16" x14ac:dyDescent="0.25">
      <c r="C240">
        <v>0.21199999999999999</v>
      </c>
      <c r="D240">
        <f t="shared" si="30"/>
        <v>-9933.9129684878098</v>
      </c>
      <c r="E240">
        <f t="shared" si="31"/>
        <v>5116.6134310919297</v>
      </c>
      <c r="F240">
        <f t="shared" si="34"/>
        <v>0.56374704515375451</v>
      </c>
      <c r="G240">
        <f t="shared" si="35"/>
        <v>1</v>
      </c>
      <c r="H240">
        <f t="shared" si="36"/>
        <v>3841.711483633997</v>
      </c>
      <c r="K240">
        <v>0.21199999999999999</v>
      </c>
      <c r="L240">
        <f t="shared" si="32"/>
        <v>-11297.91296848781</v>
      </c>
      <c r="M240">
        <f t="shared" si="33"/>
        <v>6400.7136129207584</v>
      </c>
      <c r="N240">
        <f t="shared" si="37"/>
        <v>0.5580611911456117</v>
      </c>
      <c r="O240">
        <f t="shared" si="38"/>
        <v>1</v>
      </c>
      <c r="P240">
        <f t="shared" si="39"/>
        <v>4781.5566650802539</v>
      </c>
    </row>
    <row r="241" spans="3:16" x14ac:dyDescent="0.25">
      <c r="C241">
        <v>0.21299999999999999</v>
      </c>
      <c r="D241">
        <f t="shared" si="30"/>
        <v>-9921.0611330794072</v>
      </c>
      <c r="E241">
        <f t="shared" si="31"/>
        <v>5113.9365918130716</v>
      </c>
      <c r="F241">
        <f t="shared" si="34"/>
        <v>0.56585996660306215</v>
      </c>
      <c r="G241">
        <f t="shared" si="35"/>
        <v>1</v>
      </c>
      <c r="H241">
        <f t="shared" si="36"/>
        <v>3846.8904927466419</v>
      </c>
      <c r="K241">
        <v>0.21299999999999999</v>
      </c>
      <c r="L241">
        <f t="shared" si="32"/>
        <v>-11282.061133079407</v>
      </c>
      <c r="M241">
        <f t="shared" si="33"/>
        <v>6397.4119198695498</v>
      </c>
      <c r="N241">
        <f t="shared" si="37"/>
        <v>0.5601610114589366</v>
      </c>
      <c r="O241">
        <f t="shared" si="38"/>
        <v>1</v>
      </c>
      <c r="P241">
        <f t="shared" si="39"/>
        <v>4788.0728993129605</v>
      </c>
    </row>
    <row r="242" spans="3:16" x14ac:dyDescent="0.25">
      <c r="C242">
        <v>0.214</v>
      </c>
      <c r="D242">
        <f t="shared" si="30"/>
        <v>-9908.2092976710046</v>
      </c>
      <c r="E242">
        <f t="shared" si="31"/>
        <v>5111.2597525342144</v>
      </c>
      <c r="F242">
        <f t="shared" si="34"/>
        <v>0.56796775882489603</v>
      </c>
      <c r="G242">
        <f t="shared" si="35"/>
        <v>1</v>
      </c>
      <c r="H242">
        <f t="shared" si="36"/>
        <v>3852.0311803695872</v>
      </c>
      <c r="K242">
        <v>0.214</v>
      </c>
      <c r="L242">
        <f t="shared" si="32"/>
        <v>-11266.209297671005</v>
      </c>
      <c r="M242">
        <f t="shared" si="33"/>
        <v>6394.1102268183422</v>
      </c>
      <c r="N242">
        <f t="shared" si="37"/>
        <v>0.56225583136103308</v>
      </c>
      <c r="O242">
        <f t="shared" si="38"/>
        <v>1</v>
      </c>
      <c r="P242">
        <f t="shared" si="39"/>
        <v>4794.541729678278</v>
      </c>
    </row>
    <row r="243" spans="3:16" x14ac:dyDescent="0.25">
      <c r="C243">
        <v>0.215</v>
      </c>
      <c r="D243">
        <f t="shared" si="30"/>
        <v>-9895.357462262602</v>
      </c>
      <c r="E243">
        <f t="shared" si="31"/>
        <v>5108.5829132553572</v>
      </c>
      <c r="F243">
        <f t="shared" si="34"/>
        <v>0.57007042181925638</v>
      </c>
      <c r="G243">
        <f t="shared" si="35"/>
        <v>1</v>
      </c>
      <c r="H243">
        <f t="shared" si="36"/>
        <v>3857.1337660690133</v>
      </c>
      <c r="K243">
        <v>0.215</v>
      </c>
      <c r="L243">
        <f t="shared" si="32"/>
        <v>-11250.357462262602</v>
      </c>
      <c r="M243">
        <f t="shared" si="33"/>
        <v>6390.8085337671346</v>
      </c>
      <c r="N243">
        <f t="shared" si="37"/>
        <v>0.56434565085190069</v>
      </c>
      <c r="O243">
        <f t="shared" si="38"/>
        <v>1</v>
      </c>
      <c r="P243">
        <f t="shared" si="39"/>
        <v>4800.9634280444307</v>
      </c>
    </row>
    <row r="244" spans="3:16" x14ac:dyDescent="0.25">
      <c r="C244">
        <v>0.216</v>
      </c>
      <c r="D244">
        <f t="shared" si="30"/>
        <v>-9882.5056268541994</v>
      </c>
      <c r="E244">
        <f t="shared" si="31"/>
        <v>5105.9060739765</v>
      </c>
      <c r="F244">
        <f t="shared" si="34"/>
        <v>0.57216795558614297</v>
      </c>
      <c r="G244">
        <f t="shared" si="35"/>
        <v>1</v>
      </c>
      <c r="H244">
        <f t="shared" si="36"/>
        <v>3862.1984670616621</v>
      </c>
      <c r="K244">
        <v>0.216</v>
      </c>
      <c r="L244">
        <f t="shared" si="32"/>
        <v>-11234.505626854199</v>
      </c>
      <c r="M244">
        <f t="shared" si="33"/>
        <v>6387.506840715926</v>
      </c>
      <c r="N244">
        <f t="shared" si="37"/>
        <v>0.56643046993153967</v>
      </c>
      <c r="O244">
        <f t="shared" si="38"/>
        <v>1</v>
      </c>
      <c r="P244">
        <f t="shared" si="39"/>
        <v>4807.3382633673382</v>
      </c>
    </row>
    <row r="245" spans="3:16" x14ac:dyDescent="0.25">
      <c r="C245">
        <v>0.217</v>
      </c>
      <c r="D245">
        <f t="shared" si="30"/>
        <v>-9869.6537914457986</v>
      </c>
      <c r="E245">
        <f t="shared" si="31"/>
        <v>5103.2292346976428</v>
      </c>
      <c r="F245">
        <f t="shared" si="34"/>
        <v>0.57426036012555559</v>
      </c>
      <c r="G245">
        <f t="shared" si="35"/>
        <v>1</v>
      </c>
      <c r="H245">
        <f t="shared" si="36"/>
        <v>3867.2254982516797</v>
      </c>
      <c r="K245">
        <v>0.217</v>
      </c>
      <c r="L245">
        <f t="shared" si="32"/>
        <v>-11218.653791445799</v>
      </c>
      <c r="M245">
        <f t="shared" si="33"/>
        <v>6384.2051476647184</v>
      </c>
      <c r="N245">
        <f t="shared" si="37"/>
        <v>0.56851028859994979</v>
      </c>
      <c r="O245">
        <f t="shared" si="38"/>
        <v>1</v>
      </c>
      <c r="P245">
        <f t="shared" si="39"/>
        <v>4813.6665017362939</v>
      </c>
    </row>
    <row r="246" spans="3:16" x14ac:dyDescent="0.25">
      <c r="C246">
        <v>0.218</v>
      </c>
      <c r="D246">
        <f t="shared" si="30"/>
        <v>-9856.8019560373941</v>
      </c>
      <c r="E246">
        <f t="shared" si="31"/>
        <v>5100.5523954187847</v>
      </c>
      <c r="F246">
        <f t="shared" si="34"/>
        <v>0.57634763543749501</v>
      </c>
      <c r="G246">
        <f t="shared" si="35"/>
        <v>1</v>
      </c>
      <c r="H246">
        <f t="shared" si="36"/>
        <v>3872.2150722667102</v>
      </c>
      <c r="K246">
        <v>0.218</v>
      </c>
      <c r="L246">
        <f t="shared" si="32"/>
        <v>-11202.801956037394</v>
      </c>
      <c r="M246">
        <f t="shared" si="33"/>
        <v>6380.9034546135099</v>
      </c>
      <c r="N246">
        <f t="shared" si="37"/>
        <v>0.57058510685713182</v>
      </c>
      <c r="O246">
        <f t="shared" si="38"/>
        <v>1</v>
      </c>
      <c r="P246">
        <f t="shared" si="39"/>
        <v>4819.9484064187245</v>
      </c>
    </row>
    <row r="247" spans="3:16" x14ac:dyDescent="0.25">
      <c r="C247">
        <v>0.219</v>
      </c>
      <c r="D247">
        <f t="shared" si="30"/>
        <v>-9843.9501206289933</v>
      </c>
      <c r="E247">
        <f t="shared" si="31"/>
        <v>5097.8755561399284</v>
      </c>
      <c r="F247">
        <f t="shared" si="34"/>
        <v>0.57842978152196034</v>
      </c>
      <c r="G247">
        <f t="shared" si="35"/>
        <v>1</v>
      </c>
      <c r="H247">
        <f t="shared" si="36"/>
        <v>3877.1673994932485</v>
      </c>
      <c r="K247">
        <v>0.219</v>
      </c>
      <c r="L247">
        <f t="shared" si="32"/>
        <v>-11186.950120628993</v>
      </c>
      <c r="M247">
        <f t="shared" si="33"/>
        <v>6377.6017615623023</v>
      </c>
      <c r="N247">
        <f t="shared" si="37"/>
        <v>0.57265492470308454</v>
      </c>
      <c r="O247">
        <f t="shared" si="38"/>
        <v>1</v>
      </c>
      <c r="P247">
        <f t="shared" si="39"/>
        <v>4826.184237904029</v>
      </c>
    </row>
    <row r="248" spans="3:16" x14ac:dyDescent="0.25">
      <c r="C248">
        <v>0.22</v>
      </c>
      <c r="D248">
        <f t="shared" si="30"/>
        <v>-9831.0982852205907</v>
      </c>
      <c r="E248">
        <f t="shared" si="31"/>
        <v>5095.1987168610713</v>
      </c>
      <c r="F248">
        <f t="shared" si="34"/>
        <v>0.58050679837895225</v>
      </c>
      <c r="G248">
        <f t="shared" si="35"/>
        <v>1</v>
      </c>
      <c r="H248">
        <f t="shared" si="36"/>
        <v>3882.0826881112898</v>
      </c>
      <c r="K248">
        <v>0.22</v>
      </c>
      <c r="L248">
        <f t="shared" si="32"/>
        <v>-11171.098285220591</v>
      </c>
      <c r="M248">
        <f t="shared" si="33"/>
        <v>6374.3000685110947</v>
      </c>
      <c r="N248">
        <f t="shared" si="37"/>
        <v>0.57471974213780896</v>
      </c>
      <c r="O248">
        <f t="shared" si="38"/>
        <v>1</v>
      </c>
      <c r="P248">
        <f t="shared" si="39"/>
        <v>4832.3742539465538</v>
      </c>
    </row>
    <row r="249" spans="3:16" x14ac:dyDescent="0.25">
      <c r="C249">
        <v>0.221</v>
      </c>
      <c r="D249">
        <f t="shared" si="30"/>
        <v>-9818.2464498121881</v>
      </c>
      <c r="E249">
        <f t="shared" si="31"/>
        <v>5092.5218775822141</v>
      </c>
      <c r="F249">
        <f t="shared" si="34"/>
        <v>0.58257868600847051</v>
      </c>
      <c r="G249">
        <f t="shared" si="35"/>
        <v>1</v>
      </c>
      <c r="H249">
        <f t="shared" si="36"/>
        <v>3886.9611441282782</v>
      </c>
      <c r="K249">
        <v>0.221</v>
      </c>
      <c r="L249">
        <f t="shared" si="32"/>
        <v>-11155.246449812188</v>
      </c>
      <c r="M249">
        <f t="shared" si="33"/>
        <v>6370.9983754598861</v>
      </c>
      <c r="N249">
        <f t="shared" si="37"/>
        <v>0.57677955916130474</v>
      </c>
      <c r="O249">
        <f t="shared" si="38"/>
        <v>1</v>
      </c>
      <c r="P249">
        <f t="shared" si="39"/>
        <v>4838.518709607687</v>
      </c>
    </row>
    <row r="250" spans="3:16" x14ac:dyDescent="0.25">
      <c r="C250">
        <v>0.222</v>
      </c>
      <c r="D250">
        <f t="shared" si="30"/>
        <v>-9805.3946144037855</v>
      </c>
      <c r="E250">
        <f t="shared" si="31"/>
        <v>5089.845038303356</v>
      </c>
      <c r="F250">
        <f t="shared" si="34"/>
        <v>0.58464544441051514</v>
      </c>
      <c r="G250">
        <f t="shared" si="35"/>
        <v>1</v>
      </c>
      <c r="H250">
        <f t="shared" si="36"/>
        <v>3891.8029714123791</v>
      </c>
      <c r="K250">
        <v>0.222</v>
      </c>
      <c r="L250">
        <f t="shared" si="32"/>
        <v>-11139.394614403785</v>
      </c>
      <c r="M250">
        <f t="shared" si="33"/>
        <v>6367.6966824086776</v>
      </c>
      <c r="N250">
        <f t="shared" si="37"/>
        <v>0.57883437577357166</v>
      </c>
      <c r="O250">
        <f t="shared" si="38"/>
        <v>1</v>
      </c>
      <c r="P250">
        <f t="shared" si="39"/>
        <v>4844.6178572971157</v>
      </c>
    </row>
    <row r="251" spans="3:16" x14ac:dyDescent="0.25">
      <c r="C251">
        <v>0.223</v>
      </c>
      <c r="D251">
        <f t="shared" si="30"/>
        <v>-9792.5427789953828</v>
      </c>
      <c r="E251">
        <f t="shared" si="31"/>
        <v>5087.1681990244997</v>
      </c>
      <c r="F251">
        <f t="shared" si="34"/>
        <v>0.586707073585086</v>
      </c>
      <c r="G251">
        <f t="shared" si="35"/>
        <v>1</v>
      </c>
      <c r="H251">
        <f t="shared" si="36"/>
        <v>3896.6083717250895</v>
      </c>
      <c r="K251">
        <v>0.223</v>
      </c>
      <c r="L251">
        <f t="shared" si="32"/>
        <v>-11123.542778995383</v>
      </c>
      <c r="M251">
        <f t="shared" si="33"/>
        <v>6364.39498935747</v>
      </c>
      <c r="N251">
        <f t="shared" si="37"/>
        <v>0.58088419197461016</v>
      </c>
      <c r="O251">
        <f t="shared" si="38"/>
        <v>1</v>
      </c>
      <c r="P251">
        <f t="shared" si="39"/>
        <v>4850.6719468132687</v>
      </c>
    </row>
    <row r="252" spans="3:16" x14ac:dyDescent="0.25">
      <c r="C252">
        <v>0.224</v>
      </c>
      <c r="D252">
        <f t="shared" si="30"/>
        <v>-9779.6909435869802</v>
      </c>
      <c r="E252">
        <f t="shared" si="31"/>
        <v>5084.4913597456416</v>
      </c>
      <c r="F252">
        <f t="shared" si="34"/>
        <v>0.58876357353218323</v>
      </c>
      <c r="G252">
        <f t="shared" si="35"/>
        <v>1</v>
      </c>
      <c r="H252">
        <f t="shared" si="36"/>
        <v>3901.377544753198</v>
      </c>
      <c r="K252">
        <v>0.224</v>
      </c>
      <c r="L252">
        <f t="shared" si="32"/>
        <v>-11107.69094358698</v>
      </c>
      <c r="M252">
        <f t="shared" si="33"/>
        <v>6361.0932963062614</v>
      </c>
      <c r="N252">
        <f t="shared" si="37"/>
        <v>0.58292900776441992</v>
      </c>
      <c r="O252">
        <f t="shared" si="38"/>
        <v>1</v>
      </c>
      <c r="P252">
        <f t="shared" si="39"/>
        <v>4856.6812253829466</v>
      </c>
    </row>
    <row r="253" spans="3:16" x14ac:dyDescent="0.25">
      <c r="C253">
        <v>0.22500000000000001</v>
      </c>
      <c r="D253">
        <f t="shared" si="30"/>
        <v>-9766.8391081785776</v>
      </c>
      <c r="E253">
        <f t="shared" si="31"/>
        <v>5081.8145204667844</v>
      </c>
      <c r="F253">
        <f t="shared" si="34"/>
        <v>0.59081494425180681</v>
      </c>
      <c r="G253">
        <f t="shared" si="35"/>
        <v>1</v>
      </c>
      <c r="H253">
        <f t="shared" si="36"/>
        <v>3906.1106881401229</v>
      </c>
      <c r="K253">
        <v>0.22500000000000001</v>
      </c>
      <c r="L253">
        <f t="shared" si="32"/>
        <v>-11091.839108178578</v>
      </c>
      <c r="M253">
        <f t="shared" si="33"/>
        <v>6357.7916032550529</v>
      </c>
      <c r="N253">
        <f t="shared" si="37"/>
        <v>0.58496882314300103</v>
      </c>
      <c r="O253">
        <f t="shared" si="38"/>
        <v>1</v>
      </c>
      <c r="P253">
        <f t="shared" si="39"/>
        <v>4862.6459377001847</v>
      </c>
    </row>
    <row r="254" spans="3:16" x14ac:dyDescent="0.25">
      <c r="C254">
        <v>0.22600000000000001</v>
      </c>
      <c r="D254">
        <f t="shared" si="30"/>
        <v>-9753.987272770175</v>
      </c>
      <c r="E254">
        <f t="shared" si="31"/>
        <v>5079.1376811879272</v>
      </c>
      <c r="F254">
        <f t="shared" si="34"/>
        <v>0.59286118574395674</v>
      </c>
      <c r="G254">
        <f t="shared" si="35"/>
        <v>1</v>
      </c>
      <c r="H254">
        <f t="shared" si="36"/>
        <v>3910.8079975166274</v>
      </c>
      <c r="K254">
        <v>0.22600000000000001</v>
      </c>
      <c r="L254">
        <f t="shared" si="32"/>
        <v>-11075.987272770175</v>
      </c>
      <c r="M254">
        <f t="shared" si="33"/>
        <v>6354.4899102038453</v>
      </c>
      <c r="N254">
        <f t="shared" si="37"/>
        <v>0.58700363811035339</v>
      </c>
      <c r="O254">
        <f t="shared" si="38"/>
        <v>1</v>
      </c>
      <c r="P254">
        <f t="shared" si="39"/>
        <v>4868.5663259643388</v>
      </c>
    </row>
    <row r="255" spans="3:16" x14ac:dyDescent="0.25">
      <c r="C255">
        <v>0.22700000000000001</v>
      </c>
      <c r="D255">
        <f t="shared" si="30"/>
        <v>-9741.1354373617723</v>
      </c>
      <c r="E255">
        <f t="shared" si="31"/>
        <v>5076.46084190907</v>
      </c>
      <c r="F255">
        <f t="shared" si="34"/>
        <v>0.59490229800863292</v>
      </c>
      <c r="G255">
        <f t="shared" si="35"/>
        <v>1</v>
      </c>
      <c r="H255">
        <f t="shared" si="36"/>
        <v>3915.4696665309375</v>
      </c>
      <c r="K255">
        <v>0.22700000000000001</v>
      </c>
      <c r="L255">
        <f t="shared" si="32"/>
        <v>-11060.135437361772</v>
      </c>
      <c r="M255">
        <f t="shared" si="33"/>
        <v>6351.1882171526377</v>
      </c>
      <c r="N255">
        <f t="shared" si="37"/>
        <v>0.58903345266647711</v>
      </c>
      <c r="O255">
        <f t="shared" si="38"/>
        <v>1</v>
      </c>
      <c r="P255">
        <f t="shared" si="39"/>
        <v>4874.4426299174329</v>
      </c>
    </row>
    <row r="256" spans="3:16" x14ac:dyDescent="0.25">
      <c r="C256">
        <v>0.22800000000000001</v>
      </c>
      <c r="D256">
        <f t="shared" si="30"/>
        <v>-9728.2836019533697</v>
      </c>
      <c r="E256">
        <f t="shared" si="31"/>
        <v>5073.7840026302129</v>
      </c>
      <c r="F256">
        <f t="shared" si="34"/>
        <v>0.59693828104583546</v>
      </c>
      <c r="G256">
        <f t="shared" si="35"/>
        <v>1</v>
      </c>
      <c r="H256">
        <f t="shared" si="36"/>
        <v>3920.0958868782759</v>
      </c>
      <c r="K256">
        <v>0.22800000000000001</v>
      </c>
      <c r="L256">
        <f t="shared" si="32"/>
        <v>-11044.28360195337</v>
      </c>
      <c r="M256">
        <f t="shared" si="33"/>
        <v>6347.8865241014291</v>
      </c>
      <c r="N256">
        <f t="shared" si="37"/>
        <v>0.5910582668113723</v>
      </c>
      <c r="O256">
        <f t="shared" si="38"/>
        <v>1</v>
      </c>
      <c r="P256">
        <f t="shared" si="39"/>
        <v>4880.2750868807852</v>
      </c>
    </row>
    <row r="257" spans="3:16" x14ac:dyDescent="0.25">
      <c r="C257">
        <v>0.22900000000000001</v>
      </c>
      <c r="D257">
        <f t="shared" si="30"/>
        <v>-9715.4317665449671</v>
      </c>
      <c r="E257">
        <f t="shared" si="31"/>
        <v>5071.1071633513557</v>
      </c>
      <c r="F257">
        <f t="shared" si="34"/>
        <v>0.59896913485556424</v>
      </c>
      <c r="G257">
        <f t="shared" si="35"/>
        <v>1</v>
      </c>
      <c r="H257">
        <f t="shared" si="36"/>
        <v>3924.6868483298217</v>
      </c>
      <c r="K257">
        <v>0.22900000000000001</v>
      </c>
      <c r="L257">
        <f t="shared" si="32"/>
        <v>-11028.431766544967</v>
      </c>
      <c r="M257">
        <f t="shared" si="33"/>
        <v>6344.5848310502206</v>
      </c>
      <c r="N257">
        <f t="shared" si="37"/>
        <v>0.59307808054503863</v>
      </c>
      <c r="O257">
        <f t="shared" si="38"/>
        <v>1</v>
      </c>
      <c r="P257">
        <f t="shared" si="39"/>
        <v>4886.0639317909145</v>
      </c>
    </row>
    <row r="258" spans="3:16" x14ac:dyDescent="0.25">
      <c r="C258">
        <v>0.23</v>
      </c>
      <c r="D258">
        <f t="shared" si="30"/>
        <v>-9702.5799311365663</v>
      </c>
      <c r="E258">
        <f t="shared" si="31"/>
        <v>5068.4303240724985</v>
      </c>
      <c r="F258">
        <f t="shared" si="34"/>
        <v>0.60099485943781916</v>
      </c>
      <c r="G258">
        <f t="shared" si="35"/>
        <v>1</v>
      </c>
      <c r="H258">
        <f t="shared" si="36"/>
        <v>3929.2427387611128</v>
      </c>
      <c r="K258">
        <v>0.23</v>
      </c>
      <c r="L258">
        <f t="shared" si="32"/>
        <v>-11012.579931136566</v>
      </c>
      <c r="M258">
        <f t="shared" si="33"/>
        <v>6341.283137999013</v>
      </c>
      <c r="N258">
        <f t="shared" si="37"/>
        <v>0.59509289386747621</v>
      </c>
      <c r="O258">
        <f t="shared" si="38"/>
        <v>1</v>
      </c>
      <c r="P258">
        <f t="shared" si="39"/>
        <v>4891.8093972347633</v>
      </c>
    </row>
    <row r="259" spans="3:16" x14ac:dyDescent="0.25">
      <c r="C259">
        <v>0.23100000000000001</v>
      </c>
      <c r="D259">
        <f t="shared" si="30"/>
        <v>-9689.7280957281619</v>
      </c>
      <c r="E259">
        <f t="shared" si="31"/>
        <v>5065.7534847936404</v>
      </c>
      <c r="F259">
        <f t="shared" si="34"/>
        <v>0.60301545479260099</v>
      </c>
      <c r="G259">
        <f t="shared" si="35"/>
        <v>1</v>
      </c>
      <c r="H259">
        <f t="shared" si="36"/>
        <v>3933.7637441799029</v>
      </c>
      <c r="K259">
        <v>0.23100000000000001</v>
      </c>
      <c r="L259">
        <f t="shared" si="32"/>
        <v>-10996.728095728162</v>
      </c>
      <c r="M259">
        <f t="shared" si="33"/>
        <v>6337.9814449478054</v>
      </c>
      <c r="N259">
        <f t="shared" si="37"/>
        <v>0.5971027067786856</v>
      </c>
      <c r="O259">
        <f t="shared" si="38"/>
        <v>1</v>
      </c>
      <c r="P259">
        <f t="shared" si="39"/>
        <v>4897.5117134842421</v>
      </c>
    </row>
    <row r="260" spans="3:16" x14ac:dyDescent="0.25">
      <c r="C260">
        <v>0.23200000000000001</v>
      </c>
      <c r="D260">
        <f t="shared" si="30"/>
        <v>-9676.8762603197611</v>
      </c>
      <c r="E260">
        <f t="shared" si="31"/>
        <v>5063.0766455147841</v>
      </c>
      <c r="F260">
        <f t="shared" si="34"/>
        <v>0.60503092091990851</v>
      </c>
      <c r="G260">
        <f t="shared" si="35"/>
        <v>1</v>
      </c>
      <c r="H260">
        <f t="shared" si="36"/>
        <v>3938.2500487534826</v>
      </c>
      <c r="K260">
        <v>0.23200000000000001</v>
      </c>
      <c r="L260">
        <f t="shared" si="32"/>
        <v>-10980.876260319761</v>
      </c>
      <c r="M260">
        <f t="shared" si="33"/>
        <v>6334.6797518965977</v>
      </c>
      <c r="N260">
        <f t="shared" si="37"/>
        <v>0.59910751927866579</v>
      </c>
      <c r="O260">
        <f t="shared" si="38"/>
        <v>1</v>
      </c>
      <c r="P260">
        <f t="shared" si="39"/>
        <v>4903.1711085301004</v>
      </c>
    </row>
    <row r="261" spans="3:16" x14ac:dyDescent="0.25">
      <c r="C261">
        <v>0.23300000000000001</v>
      </c>
      <c r="D261">
        <f t="shared" si="30"/>
        <v>-9664.0244249113584</v>
      </c>
      <c r="E261">
        <f t="shared" si="31"/>
        <v>5060.399806235926</v>
      </c>
      <c r="F261">
        <f t="shared" si="34"/>
        <v>0.60704125781974272</v>
      </c>
      <c r="G261">
        <f t="shared" si="35"/>
        <v>1</v>
      </c>
      <c r="H261">
        <f t="shared" si="36"/>
        <v>3942.70183483549</v>
      </c>
      <c r="K261">
        <v>0.23300000000000001</v>
      </c>
      <c r="L261">
        <f t="shared" si="32"/>
        <v>-10965.024424911358</v>
      </c>
      <c r="M261">
        <f t="shared" si="33"/>
        <v>6331.3780588453892</v>
      </c>
      <c r="N261">
        <f t="shared" si="37"/>
        <v>0.60110733136741756</v>
      </c>
      <c r="O261">
        <f t="shared" si="38"/>
        <v>1</v>
      </c>
      <c r="P261">
        <f t="shared" si="39"/>
        <v>4908.7878081151812</v>
      </c>
    </row>
    <row r="262" spans="3:16" x14ac:dyDescent="0.25">
      <c r="C262">
        <v>0.23400000000000001</v>
      </c>
      <c r="D262">
        <f t="shared" si="30"/>
        <v>-9651.1725895029558</v>
      </c>
      <c r="E262">
        <f t="shared" si="31"/>
        <v>5057.7229669570688</v>
      </c>
      <c r="F262">
        <f t="shared" si="34"/>
        <v>0.60904646549210328</v>
      </c>
      <c r="G262">
        <f t="shared" si="35"/>
        <v>1</v>
      </c>
      <c r="H262">
        <f t="shared" si="36"/>
        <v>3947.1192829922029</v>
      </c>
      <c r="K262">
        <v>0.23400000000000001</v>
      </c>
      <c r="L262">
        <f t="shared" si="32"/>
        <v>-10949.172589502956</v>
      </c>
      <c r="M262">
        <f t="shared" si="33"/>
        <v>6328.0763657941807</v>
      </c>
      <c r="N262">
        <f t="shared" si="37"/>
        <v>0.6031021430449407</v>
      </c>
      <c r="O262">
        <f t="shared" si="38"/>
        <v>1</v>
      </c>
      <c r="P262">
        <f t="shared" si="39"/>
        <v>4914.3620357670197</v>
      </c>
    </row>
    <row r="263" spans="3:16" x14ac:dyDescent="0.25">
      <c r="C263">
        <v>0.23499999999999999</v>
      </c>
      <c r="D263">
        <f t="shared" si="30"/>
        <v>-9638.3207540945532</v>
      </c>
      <c r="E263">
        <f t="shared" si="31"/>
        <v>5055.0461276782116</v>
      </c>
      <c r="F263">
        <f t="shared" si="34"/>
        <v>0.61104654393699009</v>
      </c>
      <c r="G263">
        <f t="shared" si="35"/>
        <v>1</v>
      </c>
      <c r="H263">
        <f t="shared" si="36"/>
        <v>3951.5025720283411</v>
      </c>
      <c r="K263">
        <v>0.23499999999999999</v>
      </c>
      <c r="L263">
        <f t="shared" si="32"/>
        <v>-10933.320754094553</v>
      </c>
      <c r="M263">
        <f t="shared" si="33"/>
        <v>6324.7746727429731</v>
      </c>
      <c r="N263">
        <f t="shared" si="37"/>
        <v>0.60509195431123519</v>
      </c>
      <c r="O263">
        <f t="shared" si="38"/>
        <v>1</v>
      </c>
      <c r="P263">
        <f t="shared" si="39"/>
        <v>4919.8940128298382</v>
      </c>
    </row>
    <row r="264" spans="3:16" x14ac:dyDescent="0.25">
      <c r="C264">
        <v>0.23599999999999999</v>
      </c>
      <c r="D264">
        <f t="shared" si="30"/>
        <v>-9625.4689186861506</v>
      </c>
      <c r="E264">
        <f t="shared" si="31"/>
        <v>5052.3692883993544</v>
      </c>
      <c r="F264">
        <f t="shared" si="34"/>
        <v>0.61304149315440326</v>
      </c>
      <c r="G264">
        <f t="shared" si="35"/>
        <v>1</v>
      </c>
      <c r="H264">
        <f t="shared" si="36"/>
        <v>3955.8518790123831</v>
      </c>
      <c r="K264">
        <v>0.23599999999999999</v>
      </c>
      <c r="L264">
        <f t="shared" si="32"/>
        <v>-10917.468918686151</v>
      </c>
      <c r="M264">
        <f t="shared" si="33"/>
        <v>6321.4729796917645</v>
      </c>
      <c r="N264">
        <f t="shared" si="37"/>
        <v>0.60707676516630094</v>
      </c>
      <c r="O264">
        <f t="shared" si="38"/>
        <v>1</v>
      </c>
      <c r="P264">
        <f t="shared" si="39"/>
        <v>4925.383958495936</v>
      </c>
    </row>
    <row r="265" spans="3:16" x14ac:dyDescent="0.25">
      <c r="C265">
        <v>0.23699999999999999</v>
      </c>
      <c r="D265">
        <f t="shared" si="30"/>
        <v>-9612.617083277748</v>
      </c>
      <c r="E265">
        <f t="shared" si="31"/>
        <v>5049.6924491204973</v>
      </c>
      <c r="F265">
        <f t="shared" si="34"/>
        <v>0.61503131314434278</v>
      </c>
      <c r="G265">
        <f t="shared" si="35"/>
        <v>1</v>
      </c>
      <c r="H265">
        <f t="shared" si="36"/>
        <v>3960.1673793014083</v>
      </c>
      <c r="K265">
        <v>0.23699999999999999</v>
      </c>
      <c r="L265">
        <f t="shared" si="32"/>
        <v>-10901.617083277748</v>
      </c>
      <c r="M265">
        <f t="shared" si="33"/>
        <v>6318.171286640556</v>
      </c>
      <c r="N265">
        <f t="shared" si="37"/>
        <v>0.60905657561013804</v>
      </c>
      <c r="O265">
        <f t="shared" si="38"/>
        <v>1</v>
      </c>
      <c r="P265">
        <f t="shared" si="39"/>
        <v>4930.8320898365009</v>
      </c>
    </row>
    <row r="266" spans="3:16" x14ac:dyDescent="0.25">
      <c r="C266">
        <v>0.23799999999999999</v>
      </c>
      <c r="D266">
        <f t="shared" si="30"/>
        <v>-9599.7652478693453</v>
      </c>
      <c r="E266">
        <f t="shared" si="31"/>
        <v>5047.0156098416401</v>
      </c>
      <c r="F266">
        <f t="shared" si="34"/>
        <v>0.61701600390680866</v>
      </c>
      <c r="G266">
        <f t="shared" si="35"/>
        <v>1</v>
      </c>
      <c r="H266">
        <f t="shared" si="36"/>
        <v>3964.4492465654766</v>
      </c>
      <c r="K266">
        <v>0.23799999999999999</v>
      </c>
      <c r="L266">
        <f t="shared" si="32"/>
        <v>-10885.765247869345</v>
      </c>
      <c r="M266">
        <f t="shared" si="33"/>
        <v>6314.8695935893484</v>
      </c>
      <c r="N266">
        <f t="shared" si="37"/>
        <v>0.61103138564274662</v>
      </c>
      <c r="O266">
        <f t="shared" si="38"/>
        <v>1</v>
      </c>
      <c r="P266">
        <f t="shared" si="39"/>
        <v>4936.2386218318316</v>
      </c>
    </row>
    <row r="267" spans="3:16" x14ac:dyDescent="0.25">
      <c r="C267">
        <v>0.23899999999999999</v>
      </c>
      <c r="D267">
        <f t="shared" si="30"/>
        <v>-9586.9134124609445</v>
      </c>
      <c r="E267">
        <f t="shared" si="31"/>
        <v>5044.3387705627829</v>
      </c>
      <c r="F267">
        <f t="shared" si="34"/>
        <v>0.61899556544180045</v>
      </c>
      <c r="G267">
        <f t="shared" si="35"/>
        <v>1</v>
      </c>
      <c r="H267">
        <f t="shared" si="36"/>
        <v>3968.6976528115583</v>
      </c>
      <c r="K267">
        <v>0.23899999999999999</v>
      </c>
      <c r="L267">
        <f t="shared" si="32"/>
        <v>-10869.913412460945</v>
      </c>
      <c r="M267">
        <f t="shared" si="33"/>
        <v>6311.5679005381407</v>
      </c>
      <c r="N267">
        <f t="shared" si="37"/>
        <v>0.61300119526412622</v>
      </c>
      <c r="O267">
        <f t="shared" si="38"/>
        <v>1</v>
      </c>
      <c r="P267">
        <f t="shared" si="39"/>
        <v>4941.603767401014</v>
      </c>
    </row>
    <row r="268" spans="3:16" x14ac:dyDescent="0.25">
      <c r="C268">
        <v>0.24</v>
      </c>
      <c r="D268">
        <f t="shared" si="30"/>
        <v>-9574.0615770525401</v>
      </c>
      <c r="E268">
        <f t="shared" si="31"/>
        <v>5041.6619312839248</v>
      </c>
      <c r="F268">
        <f t="shared" si="34"/>
        <v>0.62096999774931927</v>
      </c>
      <c r="G268">
        <f t="shared" si="35"/>
        <v>1</v>
      </c>
      <c r="H268">
        <f t="shared" si="36"/>
        <v>3972.9127684070231</v>
      </c>
      <c r="K268">
        <v>0.24</v>
      </c>
      <c r="L268">
        <f t="shared" si="32"/>
        <v>-10854.06157705254</v>
      </c>
      <c r="M268">
        <f t="shared" si="33"/>
        <v>6308.2662074869322</v>
      </c>
      <c r="N268">
        <f t="shared" si="37"/>
        <v>0.61496600447427752</v>
      </c>
      <c r="O268">
        <f t="shared" si="38"/>
        <v>1</v>
      </c>
      <c r="P268">
        <f t="shared" si="39"/>
        <v>4946.9277374310459</v>
      </c>
    </row>
    <row r="269" spans="3:16" x14ac:dyDescent="0.25">
      <c r="C269">
        <v>0.24099999999999999</v>
      </c>
      <c r="D269">
        <f t="shared" si="30"/>
        <v>-9561.2097416441393</v>
      </c>
      <c r="E269">
        <f t="shared" si="31"/>
        <v>5038.9850920050685</v>
      </c>
      <c r="F269">
        <f t="shared" si="34"/>
        <v>0.62293930082936377</v>
      </c>
      <c r="G269">
        <f t="shared" si="35"/>
        <v>1</v>
      </c>
      <c r="H269">
        <f t="shared" si="36"/>
        <v>3977.094762102688</v>
      </c>
      <c r="K269">
        <v>0.24099999999999999</v>
      </c>
      <c r="L269">
        <f t="shared" si="32"/>
        <v>-10838.209741644139</v>
      </c>
      <c r="M269">
        <f t="shared" si="33"/>
        <v>6304.9645144357246</v>
      </c>
      <c r="N269">
        <f t="shared" si="37"/>
        <v>0.61692581327319984</v>
      </c>
      <c r="O269">
        <f t="shared" si="38"/>
        <v>1</v>
      </c>
      <c r="P269">
        <f t="shared" si="39"/>
        <v>4952.2107408054162</v>
      </c>
    </row>
    <row r="270" spans="3:16" x14ac:dyDescent="0.25">
      <c r="C270">
        <v>0.24199999999999999</v>
      </c>
      <c r="D270">
        <f t="shared" si="30"/>
        <v>-9548.3579062357348</v>
      </c>
      <c r="E270">
        <f t="shared" si="31"/>
        <v>5036.3082527262104</v>
      </c>
      <c r="F270">
        <f t="shared" si="34"/>
        <v>0.62490347468193519</v>
      </c>
      <c r="G270">
        <f t="shared" si="35"/>
        <v>1</v>
      </c>
      <c r="H270">
        <f t="shared" si="36"/>
        <v>3981.2438010554565</v>
      </c>
      <c r="K270">
        <v>0.24199999999999999</v>
      </c>
      <c r="L270">
        <f t="shared" si="32"/>
        <v>-10822.357906235737</v>
      </c>
      <c r="M270">
        <f t="shared" si="33"/>
        <v>6301.6628213845161</v>
      </c>
      <c r="N270">
        <f t="shared" si="37"/>
        <v>0.61888062166089364</v>
      </c>
      <c r="O270">
        <f t="shared" si="38"/>
        <v>1</v>
      </c>
      <c r="P270">
        <f t="shared" si="39"/>
        <v>4957.4529844321778</v>
      </c>
    </row>
    <row r="271" spans="3:16" x14ac:dyDescent="0.25">
      <c r="C271">
        <v>0.24299999999999999</v>
      </c>
      <c r="D271">
        <f t="shared" si="30"/>
        <v>-9535.506070827334</v>
      </c>
      <c r="E271">
        <f t="shared" si="31"/>
        <v>5033.6314134473541</v>
      </c>
      <c r="F271">
        <f t="shared" si="34"/>
        <v>0.62686251930703241</v>
      </c>
      <c r="G271">
        <f t="shared" si="35"/>
        <v>1</v>
      </c>
      <c r="H271">
        <f t="shared" si="36"/>
        <v>3985.3600508505351</v>
      </c>
      <c r="K271">
        <v>0.24299999999999999</v>
      </c>
      <c r="L271">
        <f t="shared" si="32"/>
        <v>-10806.506070827334</v>
      </c>
      <c r="M271">
        <f t="shared" si="33"/>
        <v>6298.3611283333084</v>
      </c>
      <c r="N271">
        <f t="shared" si="37"/>
        <v>0.62083042963735879</v>
      </c>
      <c r="O271">
        <f t="shared" si="38"/>
        <v>1</v>
      </c>
      <c r="P271">
        <f t="shared" si="39"/>
        <v>4962.6546732714969</v>
      </c>
    </row>
    <row r="272" spans="3:16" x14ac:dyDescent="0.25">
      <c r="C272">
        <v>0.24399999999999999</v>
      </c>
      <c r="D272">
        <f t="shared" si="30"/>
        <v>-9522.6542354189314</v>
      </c>
      <c r="E272">
        <f t="shared" si="31"/>
        <v>5030.954574168496</v>
      </c>
      <c r="F272">
        <f t="shared" si="34"/>
        <v>0.6288164347046562</v>
      </c>
      <c r="G272">
        <f t="shared" si="35"/>
        <v>1</v>
      </c>
      <c r="H272">
        <f t="shared" si="36"/>
        <v>3989.4436755232537</v>
      </c>
      <c r="K272">
        <v>0.24399999999999999</v>
      </c>
      <c r="L272">
        <f t="shared" si="32"/>
        <v>-10790.654235418931</v>
      </c>
      <c r="M272">
        <f t="shared" si="33"/>
        <v>6295.0594352821008</v>
      </c>
      <c r="N272">
        <f t="shared" si="37"/>
        <v>0.62277523720259542</v>
      </c>
      <c r="O272">
        <f t="shared" si="38"/>
        <v>1</v>
      </c>
      <c r="P272">
        <f t="shared" si="39"/>
        <v>4967.8160103627015</v>
      </c>
    </row>
    <row r="273" spans="3:16" x14ac:dyDescent="0.25">
      <c r="C273">
        <v>0.245</v>
      </c>
      <c r="D273">
        <f t="shared" si="30"/>
        <v>-9509.8024000105288</v>
      </c>
      <c r="E273">
        <f t="shared" si="31"/>
        <v>5028.2777348896389</v>
      </c>
      <c r="F273">
        <f t="shared" si="34"/>
        <v>0.63076522087480624</v>
      </c>
      <c r="G273">
        <f t="shared" si="35"/>
        <v>1</v>
      </c>
      <c r="H273">
        <f t="shared" si="36"/>
        <v>3993.4948375804838</v>
      </c>
      <c r="K273">
        <v>0.245</v>
      </c>
      <c r="L273">
        <f t="shared" si="32"/>
        <v>-10774.802400010529</v>
      </c>
      <c r="M273">
        <f t="shared" si="33"/>
        <v>6291.7577422308923</v>
      </c>
      <c r="N273">
        <f t="shared" si="37"/>
        <v>0.62471504435660319</v>
      </c>
      <c r="O273">
        <f t="shared" si="38"/>
        <v>1</v>
      </c>
      <c r="P273">
        <f t="shared" si="39"/>
        <v>4972.9371968508476</v>
      </c>
    </row>
    <row r="274" spans="3:16" x14ac:dyDescent="0.25">
      <c r="C274">
        <v>0.246</v>
      </c>
      <c r="D274">
        <f t="shared" si="30"/>
        <v>-9496.9505646021262</v>
      </c>
      <c r="E274">
        <f t="shared" si="31"/>
        <v>5025.6008956107817</v>
      </c>
      <c r="F274">
        <f t="shared" si="34"/>
        <v>0.63270887781748275</v>
      </c>
      <c r="G274">
        <f t="shared" si="35"/>
        <v>1</v>
      </c>
      <c r="H274">
        <f t="shared" si="36"/>
        <v>3997.5136980216821</v>
      </c>
      <c r="K274">
        <v>0.246</v>
      </c>
      <c r="L274">
        <f t="shared" si="32"/>
        <v>-10758.950564602126</v>
      </c>
      <c r="M274">
        <f t="shared" si="33"/>
        <v>6288.4560491796838</v>
      </c>
      <c r="N274">
        <f t="shared" si="37"/>
        <v>0.62664985109938243</v>
      </c>
      <c r="O274">
        <f t="shared" si="38"/>
        <v>1</v>
      </c>
      <c r="P274">
        <f t="shared" si="39"/>
        <v>4978.0184320128046</v>
      </c>
    </row>
    <row r="275" spans="3:16" x14ac:dyDescent="0.25">
      <c r="C275">
        <v>0.247</v>
      </c>
      <c r="D275">
        <f t="shared" si="30"/>
        <v>-9484.0987291937236</v>
      </c>
      <c r="E275">
        <f t="shared" si="31"/>
        <v>5022.9240563319245</v>
      </c>
      <c r="F275">
        <f t="shared" si="34"/>
        <v>0.63464740553268562</v>
      </c>
      <c r="G275">
        <f t="shared" si="35"/>
        <v>1</v>
      </c>
      <c r="H275">
        <f t="shared" si="36"/>
        <v>4001.5004163595408</v>
      </c>
      <c r="K275">
        <v>0.247</v>
      </c>
      <c r="L275">
        <f t="shared" si="32"/>
        <v>-10743.098729193724</v>
      </c>
      <c r="M275">
        <f t="shared" si="33"/>
        <v>6285.1543561284761</v>
      </c>
      <c r="N275">
        <f t="shared" si="37"/>
        <v>0.62857965743093303</v>
      </c>
      <c r="O275">
        <f t="shared" si="38"/>
        <v>1</v>
      </c>
      <c r="P275">
        <f t="shared" si="39"/>
        <v>4983.0599132828711</v>
      </c>
    </row>
    <row r="276" spans="3:16" x14ac:dyDescent="0.25">
      <c r="C276">
        <v>0.248</v>
      </c>
      <c r="D276">
        <f t="shared" si="30"/>
        <v>-9471.2468937853209</v>
      </c>
      <c r="E276">
        <f t="shared" si="31"/>
        <v>5020.2472170530673</v>
      </c>
      <c r="F276">
        <f t="shared" si="34"/>
        <v>0.63658080402041461</v>
      </c>
      <c r="G276">
        <f t="shared" si="35"/>
        <v>1</v>
      </c>
      <c r="H276">
        <f t="shared" si="36"/>
        <v>4005.4551506402877</v>
      </c>
      <c r="K276">
        <v>0.248</v>
      </c>
      <c r="L276">
        <f t="shared" si="32"/>
        <v>-10727.246893785321</v>
      </c>
      <c r="M276">
        <f t="shared" si="33"/>
        <v>6281.8526630772676</v>
      </c>
      <c r="N276">
        <f t="shared" si="37"/>
        <v>0.63050446335125487</v>
      </c>
      <c r="O276">
        <f t="shared" si="38"/>
        <v>1</v>
      </c>
      <c r="P276">
        <f t="shared" si="39"/>
        <v>4988.0618362779323</v>
      </c>
    </row>
    <row r="277" spans="3:16" x14ac:dyDescent="0.25">
      <c r="C277">
        <v>0.249</v>
      </c>
      <c r="D277">
        <f t="shared" si="30"/>
        <v>-9458.3950583769183</v>
      </c>
      <c r="E277">
        <f t="shared" si="31"/>
        <v>5017.5703777742101</v>
      </c>
      <c r="F277">
        <f t="shared" si="34"/>
        <v>0.63850907328067019</v>
      </c>
      <c r="G277">
        <f t="shared" si="35"/>
        <v>1</v>
      </c>
      <c r="H277">
        <f t="shared" si="36"/>
        <v>4009.3780574636116</v>
      </c>
      <c r="K277">
        <v>0.249</v>
      </c>
      <c r="L277">
        <f t="shared" si="32"/>
        <v>-10711.395058376918</v>
      </c>
      <c r="M277">
        <f t="shared" si="33"/>
        <v>6278.5509700260591</v>
      </c>
      <c r="N277">
        <f t="shared" si="37"/>
        <v>0.63242426886034808</v>
      </c>
      <c r="O277">
        <f t="shared" si="38"/>
        <v>1</v>
      </c>
      <c r="P277">
        <f t="shared" si="39"/>
        <v>4993.0243948221778</v>
      </c>
    </row>
    <row r="278" spans="3:16" x14ac:dyDescent="0.25">
      <c r="C278">
        <v>0.25</v>
      </c>
      <c r="D278">
        <f t="shared" si="30"/>
        <v>-9445.5432229685157</v>
      </c>
      <c r="E278">
        <f t="shared" si="31"/>
        <v>5014.8935384953529</v>
      </c>
      <c r="F278">
        <f t="shared" si="34"/>
        <v>0.6404322133134519</v>
      </c>
      <c r="G278">
        <f t="shared" si="35"/>
        <v>1</v>
      </c>
      <c r="H278">
        <f t="shared" si="36"/>
        <v>4013.2692920022391</v>
      </c>
      <c r="K278">
        <v>0.25</v>
      </c>
      <c r="L278">
        <f t="shared" si="32"/>
        <v>-10695.543222968516</v>
      </c>
      <c r="M278">
        <f t="shared" si="33"/>
        <v>6275.2492769748515</v>
      </c>
      <c r="N278">
        <f t="shared" si="37"/>
        <v>0.63433907395821265</v>
      </c>
      <c r="O278">
        <f t="shared" si="38"/>
        <v>1</v>
      </c>
      <c r="P278">
        <f t="shared" si="39"/>
        <v>4997.9477809713708</v>
      </c>
    </row>
    <row r="279" spans="3:16" x14ac:dyDescent="0.25">
      <c r="C279">
        <v>0.251</v>
      </c>
      <c r="D279">
        <f t="shared" si="30"/>
        <v>-9432.6913875601131</v>
      </c>
      <c r="E279">
        <f t="shared" si="31"/>
        <v>5012.2166992164948</v>
      </c>
      <c r="F279">
        <f t="shared" si="34"/>
        <v>0.64235022411875997</v>
      </c>
      <c r="G279">
        <f t="shared" si="35"/>
        <v>1</v>
      </c>
      <c r="H279">
        <f t="shared" si="36"/>
        <v>4017.1290080211693</v>
      </c>
      <c r="K279">
        <v>0.251</v>
      </c>
      <c r="L279">
        <f t="shared" si="32"/>
        <v>-10679.691387560113</v>
      </c>
      <c r="M279">
        <f t="shared" si="33"/>
        <v>6271.9475839236438</v>
      </c>
      <c r="N279">
        <f t="shared" si="37"/>
        <v>0.63624887864484847</v>
      </c>
      <c r="O279">
        <f t="shared" si="38"/>
        <v>1</v>
      </c>
      <c r="P279">
        <f t="shared" si="39"/>
        <v>5002.8321850366938</v>
      </c>
    </row>
    <row r="280" spans="3:16" x14ac:dyDescent="0.25">
      <c r="C280">
        <v>0.252</v>
      </c>
      <c r="D280">
        <f t="shared" si="30"/>
        <v>-9419.8395521517123</v>
      </c>
      <c r="E280">
        <f t="shared" si="31"/>
        <v>5009.5398599376385</v>
      </c>
      <c r="F280">
        <f t="shared" si="34"/>
        <v>0.64426310569659417</v>
      </c>
      <c r="G280">
        <f t="shared" si="35"/>
        <v>1</v>
      </c>
      <c r="H280">
        <f t="shared" si="36"/>
        <v>4020.9573578965683</v>
      </c>
      <c r="K280">
        <v>0.252</v>
      </c>
      <c r="L280">
        <f t="shared" si="32"/>
        <v>-10663.839552151712</v>
      </c>
      <c r="M280">
        <f t="shared" si="33"/>
        <v>6268.6458908724362</v>
      </c>
      <c r="N280">
        <f t="shared" si="37"/>
        <v>0.63815368292025543</v>
      </c>
      <c r="O280">
        <f t="shared" si="38"/>
        <v>1</v>
      </c>
      <c r="P280">
        <f t="shared" si="39"/>
        <v>5007.6777956081805</v>
      </c>
    </row>
    <row r="281" spans="3:16" x14ac:dyDescent="0.25">
      <c r="C281">
        <v>0.253</v>
      </c>
      <c r="D281">
        <f t="shared" si="30"/>
        <v>-9406.9877167433078</v>
      </c>
      <c r="E281">
        <f t="shared" si="31"/>
        <v>5006.8630206587804</v>
      </c>
      <c r="F281">
        <f t="shared" si="34"/>
        <v>0.64617085804695518</v>
      </c>
      <c r="G281">
        <f t="shared" si="35"/>
        <v>1</v>
      </c>
      <c r="H281">
        <f t="shared" si="36"/>
        <v>4024.7544926343285</v>
      </c>
      <c r="K281">
        <v>0.253</v>
      </c>
      <c r="L281">
        <f t="shared" si="32"/>
        <v>-10647.987716743308</v>
      </c>
      <c r="M281">
        <f t="shared" si="33"/>
        <v>6265.3441978212268</v>
      </c>
      <c r="N281">
        <f t="shared" si="37"/>
        <v>0.6400534867844343</v>
      </c>
      <c r="O281">
        <f t="shared" si="38"/>
        <v>1</v>
      </c>
      <c r="P281">
        <f t="shared" si="39"/>
        <v>5012.48479957773</v>
      </c>
    </row>
    <row r="282" spans="3:16" x14ac:dyDescent="0.25">
      <c r="C282">
        <v>0.254</v>
      </c>
      <c r="D282">
        <f t="shared" si="30"/>
        <v>-9394.135881334907</v>
      </c>
      <c r="E282">
        <f t="shared" si="31"/>
        <v>5004.1861813799242</v>
      </c>
      <c r="F282">
        <f t="shared" si="34"/>
        <v>0.64807348116984198</v>
      </c>
      <c r="G282">
        <f t="shared" si="35"/>
        <v>1</v>
      </c>
      <c r="H282">
        <f t="shared" si="36"/>
        <v>4028.5205618883128</v>
      </c>
      <c r="K282">
        <v>0.254</v>
      </c>
      <c r="L282">
        <f t="shared" si="32"/>
        <v>-10632.135881334907</v>
      </c>
      <c r="M282">
        <f t="shared" si="33"/>
        <v>6262.0425047700191</v>
      </c>
      <c r="N282">
        <f t="shared" si="37"/>
        <v>0.64194829023738387</v>
      </c>
      <c r="O282">
        <f t="shared" si="38"/>
        <v>1</v>
      </c>
      <c r="P282">
        <f t="shared" si="39"/>
        <v>5017.2533821617226</v>
      </c>
    </row>
    <row r="283" spans="3:16" x14ac:dyDescent="0.25">
      <c r="C283">
        <v>0.255</v>
      </c>
      <c r="D283">
        <f t="shared" si="30"/>
        <v>-9381.2840459265044</v>
      </c>
      <c r="E283">
        <f t="shared" si="31"/>
        <v>5001.5093421010661</v>
      </c>
      <c r="F283">
        <f t="shared" si="34"/>
        <v>0.64997097506525536</v>
      </c>
      <c r="G283">
        <f t="shared" si="35"/>
        <v>1</v>
      </c>
      <c r="H283">
        <f t="shared" si="36"/>
        <v>4032.2557139782762</v>
      </c>
      <c r="K283">
        <v>0.255</v>
      </c>
      <c r="L283">
        <f t="shared" si="32"/>
        <v>-10616.284045926504</v>
      </c>
      <c r="M283">
        <f t="shared" si="33"/>
        <v>6258.7408117188115</v>
      </c>
      <c r="N283">
        <f t="shared" si="37"/>
        <v>0.64383809327910513</v>
      </c>
      <c r="O283">
        <f t="shared" si="38"/>
        <v>1</v>
      </c>
      <c r="P283">
        <f t="shared" si="39"/>
        <v>5021.9837269232476</v>
      </c>
    </row>
    <row r="284" spans="3:16" x14ac:dyDescent="0.25">
      <c r="C284">
        <v>0.25600000000000001</v>
      </c>
      <c r="D284">
        <f t="shared" ref="D284:D347" si="40">-$J$23+($J$15+$J$23)*C284</f>
        <v>-9368.4322105181018</v>
      </c>
      <c r="E284">
        <f t="shared" ref="E284:E347" si="41">$J$12-$J$11*D284</f>
        <v>4998.8325028222089</v>
      </c>
      <c r="F284">
        <f t="shared" si="34"/>
        <v>0.65186333973319521</v>
      </c>
      <c r="G284">
        <f t="shared" si="35"/>
        <v>1</v>
      </c>
      <c r="H284">
        <f t="shared" si="36"/>
        <v>4035.9600959074833</v>
      </c>
      <c r="K284">
        <v>0.25600000000000001</v>
      </c>
      <c r="L284">
        <f t="shared" ref="L284:L347" si="42">-$M$23+($M$15+$M$23)*K284</f>
        <v>-10600.432210518102</v>
      </c>
      <c r="M284">
        <f t="shared" ref="M284:M347" si="43">$J$12-$J$11*L284+$E$18</f>
        <v>6255.4391186676039</v>
      </c>
      <c r="N284">
        <f t="shared" si="37"/>
        <v>0.64572289590959775</v>
      </c>
      <c r="O284">
        <f t="shared" si="38"/>
        <v>1</v>
      </c>
      <c r="P284">
        <f t="shared" si="39"/>
        <v>5026.6760157939361</v>
      </c>
    </row>
    <row r="285" spans="3:16" x14ac:dyDescent="0.25">
      <c r="C285">
        <v>0.25700000000000001</v>
      </c>
      <c r="D285">
        <f t="shared" si="40"/>
        <v>-9355.5803751096992</v>
      </c>
      <c r="E285">
        <f t="shared" si="41"/>
        <v>4996.1556635433517</v>
      </c>
      <c r="F285">
        <f t="shared" ref="F285:F348" si="44">IF(D285&lt;$J$20,MAX(1-(D285-$J$20)^2/$J$22^2,0),1)</f>
        <v>0.6537505751736612</v>
      </c>
      <c r="G285">
        <f t="shared" ref="G285:G348" si="45">IF(D285&gt;$J$17,MAX(1-(D285-$J$17)^2/($J$15-$J$17)^2,0),1)</f>
        <v>1</v>
      </c>
      <c r="H285">
        <f t="shared" ref="H285:H348" si="46">SQRT(E285^2*F285*G285)</f>
        <v>4039.6338533800135</v>
      </c>
      <c r="K285">
        <v>0.25700000000000001</v>
      </c>
      <c r="L285">
        <f t="shared" si="42"/>
        <v>-10584.580375109699</v>
      </c>
      <c r="M285">
        <f t="shared" si="43"/>
        <v>6252.1374256163954</v>
      </c>
      <c r="N285">
        <f t="shared" ref="N285:N348" si="47">IF(L285&lt;$J$20,MAX(1-(L285-$J$20)^2/$M$22^2,0),1)</f>
        <v>0.64760269812886162</v>
      </c>
      <c r="O285">
        <f t="shared" ref="O285:O348" si="48">IF(L285&gt;$J$17,MAX(1-(L285-$J$17)^2/($M$15-$J$17)^2,0),1)</f>
        <v>1</v>
      </c>
      <c r="P285">
        <f t="shared" ref="P285:P348" si="49">SQRT(M285^2*N285*O285)</f>
        <v>5031.3304290954284</v>
      </c>
    </row>
    <row r="286" spans="3:16" x14ac:dyDescent="0.25">
      <c r="C286">
        <v>0.25800000000000001</v>
      </c>
      <c r="D286">
        <f t="shared" si="40"/>
        <v>-9342.7285397012965</v>
      </c>
      <c r="E286">
        <f t="shared" si="41"/>
        <v>4993.4788242644945</v>
      </c>
      <c r="F286">
        <f t="shared" si="44"/>
        <v>0.65563268138665365</v>
      </c>
      <c r="G286">
        <f t="shared" si="45"/>
        <v>1</v>
      </c>
      <c r="H286">
        <f t="shared" si="46"/>
        <v>4043.2771308177785</v>
      </c>
      <c r="K286">
        <v>0.25800000000000001</v>
      </c>
      <c r="L286">
        <f t="shared" si="42"/>
        <v>-10568.728539701297</v>
      </c>
      <c r="M286">
        <f t="shared" si="43"/>
        <v>6248.8357325651868</v>
      </c>
      <c r="N286">
        <f t="shared" si="47"/>
        <v>0.64947749993689685</v>
      </c>
      <c r="O286">
        <f t="shared" si="48"/>
        <v>1</v>
      </c>
      <c r="P286">
        <f t="shared" si="49"/>
        <v>5035.9471455604707</v>
      </c>
    </row>
    <row r="287" spans="3:16" x14ac:dyDescent="0.25">
      <c r="C287">
        <v>0.25900000000000001</v>
      </c>
      <c r="D287">
        <f t="shared" si="40"/>
        <v>-9329.8767042928939</v>
      </c>
      <c r="E287">
        <f t="shared" si="41"/>
        <v>4990.8019849856373</v>
      </c>
      <c r="F287">
        <f t="shared" si="44"/>
        <v>0.65750965837217246</v>
      </c>
      <c r="G287">
        <f t="shared" si="45"/>
        <v>1</v>
      </c>
      <c r="H287">
        <f t="shared" si="46"/>
        <v>4046.8900713772446</v>
      </c>
      <c r="K287">
        <v>0.25900000000000001</v>
      </c>
      <c r="L287">
        <f t="shared" si="42"/>
        <v>-10552.876704292894</v>
      </c>
      <c r="M287">
        <f t="shared" si="43"/>
        <v>6245.5340395139792</v>
      </c>
      <c r="N287">
        <f t="shared" si="47"/>
        <v>0.65134730133370344</v>
      </c>
      <c r="O287">
        <f t="shared" si="48"/>
        <v>1</v>
      </c>
      <c r="P287">
        <f t="shared" si="49"/>
        <v>5040.5263423536471</v>
      </c>
    </row>
    <row r="288" spans="3:16" x14ac:dyDescent="0.25">
      <c r="C288">
        <v>0.26</v>
      </c>
      <c r="D288">
        <f t="shared" si="40"/>
        <v>-9317.0248688844913</v>
      </c>
      <c r="E288">
        <f t="shared" si="41"/>
        <v>4988.1251457067801</v>
      </c>
      <c r="F288">
        <f t="shared" si="44"/>
        <v>0.6593815061302174</v>
      </c>
      <c r="G288">
        <f t="shared" si="45"/>
        <v>1</v>
      </c>
      <c r="H288">
        <f t="shared" si="46"/>
        <v>4050.4728169658706</v>
      </c>
      <c r="K288">
        <v>0.26</v>
      </c>
      <c r="L288">
        <f t="shared" si="42"/>
        <v>-10537.024868884491</v>
      </c>
      <c r="M288">
        <f t="shared" si="43"/>
        <v>6242.2323464627707</v>
      </c>
      <c r="N288">
        <f t="shared" si="47"/>
        <v>0.6532121023192814</v>
      </c>
      <c r="O288">
        <f t="shared" si="48"/>
        <v>1</v>
      </c>
      <c r="P288">
        <f t="shared" si="49"/>
        <v>5045.0681950917615</v>
      </c>
    </row>
    <row r="289" spans="3:16" x14ac:dyDescent="0.25">
      <c r="C289">
        <v>0.26100000000000001</v>
      </c>
      <c r="D289">
        <f t="shared" si="40"/>
        <v>-9304.1730334760887</v>
      </c>
      <c r="E289">
        <f t="shared" si="41"/>
        <v>4985.4483064279229</v>
      </c>
      <c r="F289">
        <f t="shared" si="44"/>
        <v>0.66124822466078881</v>
      </c>
      <c r="G289">
        <f t="shared" si="45"/>
        <v>1</v>
      </c>
      <c r="H289">
        <f t="shared" si="46"/>
        <v>4054.0255082582694</v>
      </c>
      <c r="K289">
        <v>0.26100000000000001</v>
      </c>
      <c r="L289">
        <f t="shared" si="42"/>
        <v>-10521.173033476089</v>
      </c>
      <c r="M289">
        <f t="shared" si="43"/>
        <v>6238.9306534115622</v>
      </c>
      <c r="N289">
        <f t="shared" si="47"/>
        <v>0.65507190289363071</v>
      </c>
      <c r="O289">
        <f t="shared" si="48"/>
        <v>1</v>
      </c>
      <c r="P289">
        <f t="shared" si="49"/>
        <v>5049.5728778638777</v>
      </c>
    </row>
    <row r="290" spans="3:16" x14ac:dyDescent="0.25">
      <c r="C290">
        <v>0.26200000000000001</v>
      </c>
      <c r="D290">
        <f t="shared" si="40"/>
        <v>-9291.3211980676861</v>
      </c>
      <c r="E290">
        <f t="shared" si="41"/>
        <v>4982.7714671490648</v>
      </c>
      <c r="F290">
        <f t="shared" si="44"/>
        <v>0.66310981396388646</v>
      </c>
      <c r="G290">
        <f t="shared" si="45"/>
        <v>1</v>
      </c>
      <c r="H290">
        <f t="shared" si="46"/>
        <v>4057.5482847120943</v>
      </c>
      <c r="K290">
        <v>0.26200000000000001</v>
      </c>
      <c r="L290">
        <f t="shared" si="42"/>
        <v>-10505.321198067686</v>
      </c>
      <c r="M290">
        <f t="shared" si="43"/>
        <v>6235.6289603603545</v>
      </c>
      <c r="N290">
        <f t="shared" si="47"/>
        <v>0.65692670305675138</v>
      </c>
      <c r="O290">
        <f t="shared" si="48"/>
        <v>1</v>
      </c>
      <c r="P290">
        <f t="shared" si="49"/>
        <v>5054.0405632510128</v>
      </c>
    </row>
    <row r="291" spans="3:16" x14ac:dyDescent="0.25">
      <c r="C291">
        <v>0.26300000000000001</v>
      </c>
      <c r="D291">
        <f t="shared" si="40"/>
        <v>-9278.4693626592834</v>
      </c>
      <c r="E291">
        <f t="shared" si="41"/>
        <v>4980.0946278702077</v>
      </c>
      <c r="F291">
        <f t="shared" si="44"/>
        <v>0.66496627403951059</v>
      </c>
      <c r="G291">
        <f t="shared" si="45"/>
        <v>1</v>
      </c>
      <c r="H291">
        <f t="shared" si="46"/>
        <v>4061.0412845836604</v>
      </c>
      <c r="K291">
        <v>0.26300000000000001</v>
      </c>
      <c r="L291">
        <f t="shared" si="42"/>
        <v>-10489.469362659285</v>
      </c>
      <c r="M291">
        <f t="shared" si="43"/>
        <v>6232.3272673091469</v>
      </c>
      <c r="N291">
        <f t="shared" si="47"/>
        <v>0.65877650280864297</v>
      </c>
      <c r="O291">
        <f t="shared" si="48"/>
        <v>1</v>
      </c>
      <c r="P291">
        <f t="shared" si="49"/>
        <v>5058.4714223455057</v>
      </c>
    </row>
    <row r="292" spans="3:16" x14ac:dyDescent="0.25">
      <c r="C292">
        <v>0.26400000000000001</v>
      </c>
      <c r="D292">
        <f t="shared" si="40"/>
        <v>-9265.6175272508808</v>
      </c>
      <c r="E292">
        <f t="shared" si="41"/>
        <v>4977.4177885913505</v>
      </c>
      <c r="F292">
        <f t="shared" si="44"/>
        <v>0.66681760488766095</v>
      </c>
      <c r="G292">
        <f t="shared" si="45"/>
        <v>1</v>
      </c>
      <c r="H292">
        <f t="shared" si="46"/>
        <v>4064.5046449432998</v>
      </c>
      <c r="K292">
        <v>0.26400000000000001</v>
      </c>
      <c r="L292">
        <f t="shared" si="42"/>
        <v>-10473.617527250881</v>
      </c>
      <c r="M292">
        <f t="shared" si="43"/>
        <v>6229.0255742579384</v>
      </c>
      <c r="N292">
        <f t="shared" si="47"/>
        <v>0.66062130214930659</v>
      </c>
      <c r="O292">
        <f t="shared" si="48"/>
        <v>1</v>
      </c>
      <c r="P292">
        <f t="shared" si="49"/>
        <v>5062.8656247700665</v>
      </c>
    </row>
    <row r="293" spans="3:16" x14ac:dyDescent="0.25">
      <c r="C293">
        <v>0.26500000000000001</v>
      </c>
      <c r="D293">
        <f t="shared" si="40"/>
        <v>-9252.76569184248</v>
      </c>
      <c r="E293">
        <f t="shared" si="41"/>
        <v>4974.7409493124942</v>
      </c>
      <c r="F293">
        <f t="shared" si="44"/>
        <v>0.66866380650833745</v>
      </c>
      <c r="G293">
        <f t="shared" si="45"/>
        <v>1</v>
      </c>
      <c r="H293">
        <f t="shared" si="46"/>
        <v>4067.9385016904685</v>
      </c>
      <c r="K293">
        <v>0.26500000000000001</v>
      </c>
      <c r="L293">
        <f t="shared" si="42"/>
        <v>-10457.76569184248</v>
      </c>
      <c r="M293">
        <f t="shared" si="43"/>
        <v>6225.7238812067308</v>
      </c>
      <c r="N293">
        <f t="shared" si="47"/>
        <v>0.6624611010787409</v>
      </c>
      <c r="O293">
        <f t="shared" si="48"/>
        <v>1</v>
      </c>
      <c r="P293">
        <f t="shared" si="49"/>
        <v>5067.2233386964845</v>
      </c>
    </row>
    <row r="294" spans="3:16" x14ac:dyDescent="0.25">
      <c r="C294">
        <v>0.26600000000000001</v>
      </c>
      <c r="D294">
        <f t="shared" si="40"/>
        <v>-9239.9138564340756</v>
      </c>
      <c r="E294">
        <f t="shared" si="41"/>
        <v>4972.0641100336361</v>
      </c>
      <c r="F294">
        <f t="shared" si="44"/>
        <v>0.67050487890154065</v>
      </c>
      <c r="G294">
        <f t="shared" si="45"/>
        <v>1</v>
      </c>
      <c r="H294">
        <f t="shared" si="46"/>
        <v>4071.3429895685917</v>
      </c>
      <c r="K294">
        <v>0.26600000000000001</v>
      </c>
      <c r="L294">
        <f t="shared" si="42"/>
        <v>-10441.913856434076</v>
      </c>
      <c r="M294">
        <f t="shared" si="43"/>
        <v>6222.4221881555222</v>
      </c>
      <c r="N294">
        <f t="shared" si="47"/>
        <v>0.66429589959694724</v>
      </c>
      <c r="O294">
        <f t="shared" si="48"/>
        <v>1</v>
      </c>
      <c r="P294">
        <f t="shared" si="49"/>
        <v>5071.5447308640632</v>
      </c>
    </row>
    <row r="295" spans="3:16" x14ac:dyDescent="0.25">
      <c r="C295">
        <v>0.26700000000000002</v>
      </c>
      <c r="D295">
        <f t="shared" si="40"/>
        <v>-9227.0620210256748</v>
      </c>
      <c r="E295">
        <f t="shared" si="41"/>
        <v>4969.3872707547789</v>
      </c>
      <c r="F295">
        <f t="shared" si="44"/>
        <v>0.67234082206726975</v>
      </c>
      <c r="G295">
        <f t="shared" si="45"/>
        <v>1</v>
      </c>
      <c r="H295">
        <f t="shared" si="46"/>
        <v>4074.7182421796765</v>
      </c>
      <c r="K295">
        <v>0.26700000000000002</v>
      </c>
      <c r="L295">
        <f t="shared" si="42"/>
        <v>-10426.062021025675</v>
      </c>
      <c r="M295">
        <f t="shared" si="43"/>
        <v>6219.1204951043146</v>
      </c>
      <c r="N295">
        <f t="shared" si="47"/>
        <v>0.66612569770392427</v>
      </c>
      <c r="O295">
        <f t="shared" si="48"/>
        <v>1</v>
      </c>
      <c r="P295">
        <f t="shared" si="49"/>
        <v>5075.8299665977074</v>
      </c>
    </row>
    <row r="296" spans="3:16" x14ac:dyDescent="0.25">
      <c r="C296">
        <v>0.26800000000000002</v>
      </c>
      <c r="D296">
        <f t="shared" si="40"/>
        <v>-9214.2101856172721</v>
      </c>
      <c r="E296">
        <f t="shared" si="41"/>
        <v>4966.7104314759217</v>
      </c>
      <c r="F296">
        <f t="shared" si="44"/>
        <v>0.67417163600552543</v>
      </c>
      <c r="G296">
        <f t="shared" si="45"/>
        <v>1</v>
      </c>
      <c r="H296">
        <f t="shared" si="46"/>
        <v>4078.0643919986701</v>
      </c>
      <c r="K296">
        <v>0.26800000000000002</v>
      </c>
      <c r="L296">
        <f t="shared" si="42"/>
        <v>-10410.21018561727</v>
      </c>
      <c r="M296">
        <f t="shared" si="43"/>
        <v>6215.8188020531061</v>
      </c>
      <c r="N296">
        <f t="shared" si="47"/>
        <v>0.66795049539967311</v>
      </c>
      <c r="O296">
        <f t="shared" si="48"/>
        <v>1</v>
      </c>
      <c r="P296">
        <f t="shared" si="49"/>
        <v>5080.0792098257507</v>
      </c>
    </row>
    <row r="297" spans="3:16" x14ac:dyDescent="0.25">
      <c r="C297">
        <v>0.26900000000000002</v>
      </c>
      <c r="D297">
        <f t="shared" si="40"/>
        <v>-9201.3583502088695</v>
      </c>
      <c r="E297">
        <f t="shared" si="41"/>
        <v>4964.0335921970645</v>
      </c>
      <c r="F297">
        <f t="shared" si="44"/>
        <v>0.67599732071630747</v>
      </c>
      <c r="G297">
        <f t="shared" si="45"/>
        <v>1</v>
      </c>
      <c r="H297">
        <f t="shared" si="46"/>
        <v>4081.3815703875907</v>
      </c>
      <c r="K297">
        <v>0.26900000000000002</v>
      </c>
      <c r="L297">
        <f t="shared" si="42"/>
        <v>-10394.35835020887</v>
      </c>
      <c r="M297">
        <f t="shared" si="43"/>
        <v>6212.5171090018985</v>
      </c>
      <c r="N297">
        <f t="shared" si="47"/>
        <v>0.66977029268419286</v>
      </c>
      <c r="O297">
        <f t="shared" si="48"/>
        <v>1</v>
      </c>
      <c r="P297">
        <f t="shared" si="49"/>
        <v>5084.2926230974581</v>
      </c>
    </row>
    <row r="298" spans="3:16" x14ac:dyDescent="0.25">
      <c r="C298">
        <v>0.27</v>
      </c>
      <c r="D298">
        <f t="shared" si="40"/>
        <v>-9188.5065148004669</v>
      </c>
      <c r="E298">
        <f t="shared" si="41"/>
        <v>4961.3567529182073</v>
      </c>
      <c r="F298">
        <f t="shared" si="44"/>
        <v>0.67781787619961587</v>
      </c>
      <c r="G298">
        <f t="shared" si="45"/>
        <v>1</v>
      </c>
      <c r="H298">
        <f t="shared" si="46"/>
        <v>4084.6699076094233</v>
      </c>
      <c r="K298">
        <v>0.27</v>
      </c>
      <c r="L298">
        <f t="shared" si="42"/>
        <v>-10378.506514800467</v>
      </c>
      <c r="M298">
        <f t="shared" si="43"/>
        <v>6209.2154159506899</v>
      </c>
      <c r="N298">
        <f t="shared" si="47"/>
        <v>0.67158508955748419</v>
      </c>
      <c r="O298">
        <f t="shared" si="48"/>
        <v>1</v>
      </c>
      <c r="P298">
        <f t="shared" si="49"/>
        <v>5088.4703676002673</v>
      </c>
    </row>
    <row r="299" spans="3:16" x14ac:dyDescent="0.25">
      <c r="C299">
        <v>0.27100000000000002</v>
      </c>
      <c r="D299">
        <f t="shared" si="40"/>
        <v>-9175.6546793920643</v>
      </c>
      <c r="E299">
        <f t="shared" si="41"/>
        <v>4958.6799136393493</v>
      </c>
      <c r="F299">
        <f t="shared" si="44"/>
        <v>0.67963330245545062</v>
      </c>
      <c r="G299">
        <f t="shared" si="45"/>
        <v>1</v>
      </c>
      <c r="H299">
        <f t="shared" si="46"/>
        <v>4087.9295328417916</v>
      </c>
      <c r="K299">
        <v>0.27100000000000002</v>
      </c>
      <c r="L299">
        <f t="shared" si="42"/>
        <v>-10362.654679392064</v>
      </c>
      <c r="M299">
        <f t="shared" si="43"/>
        <v>6205.9137228994823</v>
      </c>
      <c r="N299">
        <f t="shared" si="47"/>
        <v>0.67339488601954689</v>
      </c>
      <c r="O299">
        <f t="shared" si="48"/>
        <v>1</v>
      </c>
      <c r="P299">
        <f t="shared" si="49"/>
        <v>5092.6126031767299</v>
      </c>
    </row>
    <row r="300" spans="3:16" x14ac:dyDescent="0.25">
      <c r="C300">
        <v>0.27200000000000002</v>
      </c>
      <c r="D300">
        <f t="shared" si="40"/>
        <v>-9162.8028439836617</v>
      </c>
      <c r="E300">
        <f t="shared" si="41"/>
        <v>4956.003074360493</v>
      </c>
      <c r="F300">
        <f t="shared" si="44"/>
        <v>0.6814435994838115</v>
      </c>
      <c r="G300">
        <f t="shared" si="45"/>
        <v>1</v>
      </c>
      <c r="H300">
        <f t="shared" si="46"/>
        <v>4091.1605741904054</v>
      </c>
      <c r="K300">
        <v>0.27200000000000002</v>
      </c>
      <c r="L300">
        <f t="shared" si="42"/>
        <v>-10346.802843983662</v>
      </c>
      <c r="M300">
        <f t="shared" si="43"/>
        <v>6202.6120298482738</v>
      </c>
      <c r="N300">
        <f t="shared" si="47"/>
        <v>0.67519968207038084</v>
      </c>
      <c r="O300">
        <f t="shared" si="48"/>
        <v>1</v>
      </c>
      <c r="P300">
        <f t="shared" si="49"/>
        <v>5096.7194883411876</v>
      </c>
    </row>
    <row r="301" spans="3:16" x14ac:dyDescent="0.25">
      <c r="C301">
        <v>0.27300000000000002</v>
      </c>
      <c r="D301">
        <f t="shared" si="40"/>
        <v>-9149.951008575259</v>
      </c>
      <c r="E301">
        <f t="shared" si="41"/>
        <v>4953.3262350816349</v>
      </c>
      <c r="F301">
        <f t="shared" si="44"/>
        <v>0.68324876728469897</v>
      </c>
      <c r="G301">
        <f t="shared" si="45"/>
        <v>1</v>
      </c>
      <c r="H301">
        <f t="shared" si="46"/>
        <v>4094.3631587022896</v>
      </c>
      <c r="K301">
        <v>0.27300000000000002</v>
      </c>
      <c r="L301">
        <f t="shared" si="42"/>
        <v>-10330.951008575259</v>
      </c>
      <c r="M301">
        <f t="shared" si="43"/>
        <v>6199.3103367970652</v>
      </c>
      <c r="N301">
        <f t="shared" si="47"/>
        <v>0.67699947770998614</v>
      </c>
      <c r="O301">
        <f t="shared" si="48"/>
        <v>1</v>
      </c>
      <c r="P301">
        <f t="shared" si="49"/>
        <v>5100.791180296178</v>
      </c>
    </row>
    <row r="302" spans="3:16" x14ac:dyDescent="0.25">
      <c r="C302">
        <v>0.27400000000000002</v>
      </c>
      <c r="D302">
        <f t="shared" si="40"/>
        <v>-9137.0991731668564</v>
      </c>
      <c r="E302">
        <f t="shared" si="41"/>
        <v>4950.6493958027777</v>
      </c>
      <c r="F302">
        <f t="shared" si="44"/>
        <v>0.68504880585811256</v>
      </c>
      <c r="G302">
        <f t="shared" si="45"/>
        <v>1</v>
      </c>
      <c r="H302">
        <f t="shared" si="46"/>
        <v>4097.5374123788051</v>
      </c>
      <c r="K302">
        <v>0.27400000000000002</v>
      </c>
      <c r="L302">
        <f t="shared" si="42"/>
        <v>-10315.099173166856</v>
      </c>
      <c r="M302">
        <f t="shared" si="43"/>
        <v>6196.0086437458576</v>
      </c>
      <c r="N302">
        <f t="shared" si="47"/>
        <v>0.67879427293836292</v>
      </c>
      <c r="O302">
        <f t="shared" si="48"/>
        <v>1</v>
      </c>
      <c r="P302">
        <f t="shared" si="49"/>
        <v>5104.8278349485699</v>
      </c>
    </row>
    <row r="303" spans="3:16" x14ac:dyDescent="0.25">
      <c r="C303">
        <v>0.27500000000000002</v>
      </c>
      <c r="D303">
        <f t="shared" si="40"/>
        <v>-9124.2473377584538</v>
      </c>
      <c r="E303">
        <f t="shared" si="41"/>
        <v>4947.9725565239205</v>
      </c>
      <c r="F303">
        <f t="shared" si="44"/>
        <v>0.68684371520405252</v>
      </c>
      <c r="G303">
        <f t="shared" si="45"/>
        <v>1</v>
      </c>
      <c r="H303">
        <f t="shared" si="46"/>
        <v>4100.683460188453</v>
      </c>
      <c r="K303">
        <v>0.27500000000000002</v>
      </c>
      <c r="L303">
        <f t="shared" si="42"/>
        <v>-10299.247337758454</v>
      </c>
      <c r="M303">
        <f t="shared" si="43"/>
        <v>6192.70695069465</v>
      </c>
      <c r="N303">
        <f t="shared" si="47"/>
        <v>0.68058406775551084</v>
      </c>
      <c r="O303">
        <f t="shared" si="48"/>
        <v>1</v>
      </c>
      <c r="P303">
        <f t="shared" si="49"/>
        <v>5108.829606925442</v>
      </c>
    </row>
    <row r="304" spans="3:16" x14ac:dyDescent="0.25">
      <c r="C304">
        <v>0.27600000000000002</v>
      </c>
      <c r="D304">
        <f t="shared" si="40"/>
        <v>-9111.3955023500512</v>
      </c>
      <c r="E304">
        <f t="shared" si="41"/>
        <v>4945.2957172450633</v>
      </c>
      <c r="F304">
        <f t="shared" si="44"/>
        <v>0.68863349532251883</v>
      </c>
      <c r="G304">
        <f t="shared" si="45"/>
        <v>1</v>
      </c>
      <c r="H304">
        <f t="shared" si="46"/>
        <v>4103.8014260794798</v>
      </c>
      <c r="K304">
        <v>0.27600000000000002</v>
      </c>
      <c r="L304">
        <f t="shared" si="42"/>
        <v>-10283.395502350053</v>
      </c>
      <c r="M304">
        <f t="shared" si="43"/>
        <v>6189.4052576434424</v>
      </c>
      <c r="N304">
        <f t="shared" si="47"/>
        <v>0.68236886216143</v>
      </c>
      <c r="O304">
        <f t="shared" si="48"/>
        <v>1</v>
      </c>
      <c r="P304">
        <f t="shared" si="49"/>
        <v>5112.7966495897144</v>
      </c>
    </row>
    <row r="305" spans="3:16" x14ac:dyDescent="0.25">
      <c r="C305">
        <v>0.27700000000000002</v>
      </c>
      <c r="D305">
        <f t="shared" si="40"/>
        <v>-9098.5436669416486</v>
      </c>
      <c r="E305">
        <f t="shared" si="41"/>
        <v>4942.6188779662061</v>
      </c>
      <c r="F305">
        <f t="shared" si="44"/>
        <v>0.6904181462135115</v>
      </c>
      <c r="G305">
        <f t="shared" si="45"/>
        <v>1</v>
      </c>
      <c r="H305">
        <f t="shared" si="46"/>
        <v>4106.8914329922773</v>
      </c>
      <c r="K305">
        <v>0.27700000000000002</v>
      </c>
      <c r="L305">
        <f t="shared" si="42"/>
        <v>-10267.543666941649</v>
      </c>
      <c r="M305">
        <f t="shared" si="43"/>
        <v>6186.1035645922329</v>
      </c>
      <c r="N305">
        <f t="shared" si="47"/>
        <v>0.68414865615612097</v>
      </c>
      <c r="O305">
        <f t="shared" si="48"/>
        <v>1</v>
      </c>
      <c r="P305">
        <f t="shared" si="49"/>
        <v>5116.7291150555184</v>
      </c>
    </row>
    <row r="306" spans="3:16" x14ac:dyDescent="0.25">
      <c r="C306">
        <v>0.27800000000000002</v>
      </c>
      <c r="D306">
        <f t="shared" si="40"/>
        <v>-9085.6918315332478</v>
      </c>
      <c r="E306">
        <f t="shared" si="41"/>
        <v>4939.9420386873489</v>
      </c>
      <c r="F306">
        <f t="shared" si="44"/>
        <v>0.6921976678770303</v>
      </c>
      <c r="G306">
        <f t="shared" si="45"/>
        <v>1</v>
      </c>
      <c r="H306">
        <f t="shared" si="46"/>
        <v>4109.9536028715893</v>
      </c>
      <c r="K306">
        <v>0.27800000000000002</v>
      </c>
      <c r="L306">
        <f t="shared" si="42"/>
        <v>-10251.691831533248</v>
      </c>
      <c r="M306">
        <f t="shared" si="43"/>
        <v>6182.8018715410253</v>
      </c>
      <c r="N306">
        <f t="shared" si="47"/>
        <v>0.68592344973958275</v>
      </c>
      <c r="O306">
        <f t="shared" si="48"/>
        <v>1</v>
      </c>
      <c r="P306">
        <f t="shared" si="49"/>
        <v>5120.627154203331</v>
      </c>
    </row>
    <row r="307" spans="3:16" x14ac:dyDescent="0.25">
      <c r="C307">
        <v>0.27900000000000003</v>
      </c>
      <c r="D307">
        <f t="shared" si="40"/>
        <v>-9072.8399961248433</v>
      </c>
      <c r="E307">
        <f t="shared" si="41"/>
        <v>4937.2651994084918</v>
      </c>
      <c r="F307">
        <f t="shared" si="44"/>
        <v>0.69397206031307568</v>
      </c>
      <c r="G307">
        <f t="shared" si="45"/>
        <v>1</v>
      </c>
      <c r="H307">
        <f t="shared" si="46"/>
        <v>4112.9880566785232</v>
      </c>
      <c r="K307">
        <v>0.27900000000000003</v>
      </c>
      <c r="L307">
        <f t="shared" si="42"/>
        <v>-10235.839996124843</v>
      </c>
      <c r="M307">
        <f t="shared" si="43"/>
        <v>6179.5001784898177</v>
      </c>
      <c r="N307">
        <f t="shared" si="47"/>
        <v>0.68769324291181633</v>
      </c>
      <c r="O307">
        <f t="shared" si="48"/>
        <v>1</v>
      </c>
      <c r="P307">
        <f t="shared" si="49"/>
        <v>5124.4909166948664</v>
      </c>
    </row>
    <row r="308" spans="3:16" x14ac:dyDescent="0.25">
      <c r="C308">
        <v>0.28000000000000003</v>
      </c>
      <c r="D308">
        <f t="shared" si="40"/>
        <v>-9059.9881607164425</v>
      </c>
      <c r="E308">
        <f t="shared" si="41"/>
        <v>4934.5883601296346</v>
      </c>
      <c r="F308">
        <f t="shared" si="44"/>
        <v>0.69574132352164719</v>
      </c>
      <c r="G308">
        <f t="shared" si="45"/>
        <v>1</v>
      </c>
      <c r="H308">
        <f t="shared" si="46"/>
        <v>4115.9949144023713</v>
      </c>
      <c r="K308">
        <v>0.28000000000000003</v>
      </c>
      <c r="L308">
        <f t="shared" si="42"/>
        <v>-10219.988160716443</v>
      </c>
      <c r="M308">
        <f t="shared" si="43"/>
        <v>6176.1984854386101</v>
      </c>
      <c r="N308">
        <f t="shared" si="47"/>
        <v>0.68945803567282082</v>
      </c>
      <c r="O308">
        <f t="shared" si="48"/>
        <v>1</v>
      </c>
      <c r="P308">
        <f t="shared" si="49"/>
        <v>5128.3205509877307</v>
      </c>
    </row>
    <row r="309" spans="3:16" x14ac:dyDescent="0.25">
      <c r="C309">
        <v>0.28100000000000003</v>
      </c>
      <c r="D309">
        <f t="shared" si="40"/>
        <v>-9047.1363253080399</v>
      </c>
      <c r="E309">
        <f t="shared" si="41"/>
        <v>4931.9115208507774</v>
      </c>
      <c r="F309">
        <f t="shared" si="44"/>
        <v>0.69750545750274517</v>
      </c>
      <c r="G309">
        <f t="shared" si="45"/>
        <v>1</v>
      </c>
      <c r="H309">
        <f t="shared" si="46"/>
        <v>4118.9742950722457</v>
      </c>
      <c r="K309">
        <v>0.28100000000000003</v>
      </c>
      <c r="L309">
        <f t="shared" si="42"/>
        <v>-10204.136325308038</v>
      </c>
      <c r="M309">
        <f t="shared" si="43"/>
        <v>6172.8967923874006</v>
      </c>
      <c r="N309">
        <f t="shared" si="47"/>
        <v>0.69121782802259712</v>
      </c>
      <c r="O309">
        <f t="shared" si="48"/>
        <v>1</v>
      </c>
      <c r="P309">
        <f t="shared" si="49"/>
        <v>5132.1162043498543</v>
      </c>
    </row>
    <row r="310" spans="3:16" x14ac:dyDescent="0.25">
      <c r="C310">
        <v>0.28199999999999997</v>
      </c>
      <c r="D310">
        <f t="shared" si="40"/>
        <v>-9034.2844898996373</v>
      </c>
      <c r="E310">
        <f t="shared" si="41"/>
        <v>4929.2346815719193</v>
      </c>
      <c r="F310">
        <f t="shared" si="44"/>
        <v>0.69926446225636951</v>
      </c>
      <c r="G310">
        <f t="shared" si="45"/>
        <v>1</v>
      </c>
      <c r="H310">
        <f t="shared" si="46"/>
        <v>4121.9263167685358</v>
      </c>
      <c r="K310">
        <v>0.28199999999999997</v>
      </c>
      <c r="L310">
        <f t="shared" si="42"/>
        <v>-10188.284489899637</v>
      </c>
      <c r="M310">
        <f t="shared" si="43"/>
        <v>6169.595099336193</v>
      </c>
      <c r="N310">
        <f t="shared" si="47"/>
        <v>0.69297261996114423</v>
      </c>
      <c r="O310">
        <f t="shared" si="48"/>
        <v>1</v>
      </c>
      <c r="P310">
        <f t="shared" si="49"/>
        <v>5135.8780228736859</v>
      </c>
    </row>
    <row r="311" spans="3:16" x14ac:dyDescent="0.25">
      <c r="C311">
        <v>0.28299999999999997</v>
      </c>
      <c r="D311">
        <f t="shared" si="40"/>
        <v>-9021.4326544912346</v>
      </c>
      <c r="E311">
        <f t="shared" si="41"/>
        <v>4926.557842293063</v>
      </c>
      <c r="F311">
        <f t="shared" si="44"/>
        <v>0.7010183377825201</v>
      </c>
      <c r="G311">
        <f t="shared" si="45"/>
        <v>1</v>
      </c>
      <c r="H311">
        <f t="shared" si="46"/>
        <v>4124.8510966341828</v>
      </c>
      <c r="K311">
        <v>0.28299999999999997</v>
      </c>
      <c r="L311">
        <f t="shared" si="42"/>
        <v>-10172.432654491236</v>
      </c>
      <c r="M311">
        <f t="shared" si="43"/>
        <v>6166.2934062849854</v>
      </c>
      <c r="N311">
        <f t="shared" si="47"/>
        <v>0.6947224114884627</v>
      </c>
      <c r="O311">
        <f t="shared" si="48"/>
        <v>1</v>
      </c>
      <c r="P311">
        <f t="shared" si="49"/>
        <v>5139.6061514901758</v>
      </c>
    </row>
    <row r="312" spans="3:16" x14ac:dyDescent="0.25">
      <c r="C312">
        <v>0.28399999999999997</v>
      </c>
      <c r="D312">
        <f t="shared" si="40"/>
        <v>-9008.580819082832</v>
      </c>
      <c r="E312">
        <f t="shared" si="41"/>
        <v>4923.8810030142049</v>
      </c>
      <c r="F312">
        <f t="shared" si="44"/>
        <v>0.70276708408119704</v>
      </c>
      <c r="G312">
        <f t="shared" si="45"/>
        <v>1</v>
      </c>
      <c r="H312">
        <f t="shared" si="46"/>
        <v>4127.7487508857739</v>
      </c>
      <c r="K312">
        <v>0.28399999999999997</v>
      </c>
      <c r="L312">
        <f t="shared" si="42"/>
        <v>-10156.580819082832</v>
      </c>
      <c r="M312">
        <f t="shared" si="43"/>
        <v>6162.9917132337769</v>
      </c>
      <c r="N312">
        <f t="shared" si="47"/>
        <v>0.69646720260455308</v>
      </c>
      <c r="O312">
        <f t="shared" si="48"/>
        <v>1</v>
      </c>
      <c r="P312">
        <f t="shared" si="49"/>
        <v>5143.3007339825381</v>
      </c>
    </row>
    <row r="313" spans="3:16" x14ac:dyDescent="0.25">
      <c r="C313">
        <v>0.28499999999999998</v>
      </c>
      <c r="D313">
        <f t="shared" si="40"/>
        <v>-8995.7289836744312</v>
      </c>
      <c r="E313">
        <f t="shared" si="41"/>
        <v>4921.2041637353486</v>
      </c>
      <c r="F313">
        <f t="shared" si="44"/>
        <v>0.70451070115240011</v>
      </c>
      <c r="G313">
        <f t="shared" si="45"/>
        <v>1</v>
      </c>
      <c r="H313">
        <f t="shared" si="46"/>
        <v>4130.6193948244809</v>
      </c>
      <c r="K313">
        <v>0.28499999999999998</v>
      </c>
      <c r="L313">
        <f t="shared" si="42"/>
        <v>-10140.728983674431</v>
      </c>
      <c r="M313">
        <f t="shared" si="43"/>
        <v>6159.6900201825692</v>
      </c>
      <c r="N313">
        <f t="shared" si="47"/>
        <v>0.69820699330941427</v>
      </c>
      <c r="O313">
        <f t="shared" si="48"/>
        <v>1</v>
      </c>
      <c r="P313">
        <f t="shared" si="49"/>
        <v>5146.9619129997909</v>
      </c>
    </row>
    <row r="314" spans="3:16" x14ac:dyDescent="0.25">
      <c r="C314">
        <v>0.28599999999999998</v>
      </c>
      <c r="D314">
        <f t="shared" si="40"/>
        <v>-8982.8771482660268</v>
      </c>
      <c r="E314">
        <f t="shared" si="41"/>
        <v>4918.5273244564905</v>
      </c>
      <c r="F314">
        <f t="shared" si="44"/>
        <v>0.70624918899612987</v>
      </c>
      <c r="G314">
        <f t="shared" si="45"/>
        <v>1</v>
      </c>
      <c r="H314">
        <f t="shared" si="46"/>
        <v>4133.4631428468083</v>
      </c>
      <c r="K314">
        <v>0.28599999999999998</v>
      </c>
      <c r="L314">
        <f t="shared" si="42"/>
        <v>-10124.877148266027</v>
      </c>
      <c r="M314">
        <f t="shared" si="43"/>
        <v>6156.3883271313607</v>
      </c>
      <c r="N314">
        <f t="shared" si="47"/>
        <v>0.69994178360304715</v>
      </c>
      <c r="O314">
        <f t="shared" si="48"/>
        <v>1</v>
      </c>
      <c r="P314">
        <f t="shared" si="49"/>
        <v>5150.5898300701074</v>
      </c>
    </row>
    <row r="315" spans="3:16" x14ac:dyDescent="0.25">
      <c r="C315">
        <v>0.28699999999999998</v>
      </c>
      <c r="D315">
        <f t="shared" si="40"/>
        <v>-8970.025312857626</v>
      </c>
      <c r="E315">
        <f t="shared" si="41"/>
        <v>4915.8504851776333</v>
      </c>
      <c r="F315">
        <f t="shared" si="44"/>
        <v>0.70798254761238555</v>
      </c>
      <c r="G315">
        <f t="shared" si="45"/>
        <v>1</v>
      </c>
      <c r="H315">
        <f t="shared" si="46"/>
        <v>4136.2801084551947</v>
      </c>
      <c r="K315">
        <v>0.28699999999999998</v>
      </c>
      <c r="L315">
        <f t="shared" si="42"/>
        <v>-10109.025312857626</v>
      </c>
      <c r="M315">
        <f t="shared" si="43"/>
        <v>6153.0866340801531</v>
      </c>
      <c r="N315">
        <f t="shared" si="47"/>
        <v>0.70167157348545106</v>
      </c>
      <c r="O315">
        <f t="shared" si="48"/>
        <v>1</v>
      </c>
      <c r="P315">
        <f t="shared" si="49"/>
        <v>5154.1846256139406</v>
      </c>
    </row>
    <row r="316" spans="3:16" x14ac:dyDescent="0.25">
      <c r="C316">
        <v>0.28799999999999998</v>
      </c>
      <c r="D316">
        <f t="shared" si="40"/>
        <v>-8957.1734774492234</v>
      </c>
      <c r="E316">
        <f t="shared" si="41"/>
        <v>4913.1736458987762</v>
      </c>
      <c r="F316">
        <f t="shared" si="44"/>
        <v>0.7097107770011678</v>
      </c>
      <c r="G316">
        <f t="shared" si="45"/>
        <v>1</v>
      </c>
      <c r="H316">
        <f t="shared" si="46"/>
        <v>4139.0704042684429</v>
      </c>
      <c r="K316">
        <v>0.28799999999999998</v>
      </c>
      <c r="L316">
        <f t="shared" si="42"/>
        <v>-10093.173477449222</v>
      </c>
      <c r="M316">
        <f t="shared" si="43"/>
        <v>6149.7849410289446</v>
      </c>
      <c r="N316">
        <f t="shared" si="47"/>
        <v>0.70339636295662666</v>
      </c>
      <c r="O316">
        <f t="shared" si="48"/>
        <v>1</v>
      </c>
      <c r="P316">
        <f t="shared" si="49"/>
        <v>5157.7464389569586</v>
      </c>
    </row>
    <row r="317" spans="3:16" x14ac:dyDescent="0.25">
      <c r="C317">
        <v>0.28899999999999998</v>
      </c>
      <c r="D317">
        <f t="shared" si="40"/>
        <v>-8944.3216420408207</v>
      </c>
      <c r="E317">
        <f t="shared" si="41"/>
        <v>4910.496806619919</v>
      </c>
      <c r="F317">
        <f t="shared" si="44"/>
        <v>0.71143387716247641</v>
      </c>
      <c r="G317">
        <f t="shared" si="45"/>
        <v>1</v>
      </c>
      <c r="H317">
        <f t="shared" si="46"/>
        <v>4141.8341420319894</v>
      </c>
      <c r="K317">
        <v>0.28899999999999998</v>
      </c>
      <c r="L317">
        <f t="shared" si="42"/>
        <v>-10077.321642040821</v>
      </c>
      <c r="M317">
        <f t="shared" si="43"/>
        <v>6146.4832479777369</v>
      </c>
      <c r="N317">
        <f t="shared" si="47"/>
        <v>0.70511615201657318</v>
      </c>
      <c r="O317">
        <f t="shared" si="48"/>
        <v>1</v>
      </c>
      <c r="P317">
        <f t="shared" si="49"/>
        <v>5161.2754083427817</v>
      </c>
    </row>
    <row r="318" spans="3:16" x14ac:dyDescent="0.25">
      <c r="C318">
        <v>0.28999999999999998</v>
      </c>
      <c r="D318">
        <f t="shared" si="40"/>
        <v>-8931.4698066324181</v>
      </c>
      <c r="E318">
        <f t="shared" si="41"/>
        <v>4907.8199673410618</v>
      </c>
      <c r="F318">
        <f t="shared" si="44"/>
        <v>0.71315184809631127</v>
      </c>
      <c r="G318">
        <f t="shared" si="45"/>
        <v>1</v>
      </c>
      <c r="H318">
        <f t="shared" si="46"/>
        <v>4144.5714326280213</v>
      </c>
      <c r="K318">
        <v>0.28999999999999998</v>
      </c>
      <c r="L318">
        <f t="shared" si="42"/>
        <v>-10061.469806632418</v>
      </c>
      <c r="M318">
        <f t="shared" si="43"/>
        <v>6143.1815549265284</v>
      </c>
      <c r="N318">
        <f t="shared" si="47"/>
        <v>0.70683094066529129</v>
      </c>
      <c r="O318">
        <f t="shared" si="48"/>
        <v>1</v>
      </c>
      <c r="P318">
        <f t="shared" si="49"/>
        <v>5164.7716709455217</v>
      </c>
    </row>
    <row r="319" spans="3:16" x14ac:dyDescent="0.25">
      <c r="C319">
        <v>0.29099999999999998</v>
      </c>
      <c r="D319">
        <f t="shared" si="40"/>
        <v>-8918.6179712240155</v>
      </c>
      <c r="E319">
        <f t="shared" si="41"/>
        <v>4905.1431280622046</v>
      </c>
      <c r="F319">
        <f t="shared" si="44"/>
        <v>0.71486468980267259</v>
      </c>
      <c r="G319">
        <f t="shared" si="45"/>
        <v>1</v>
      </c>
      <c r="H319">
        <f t="shared" si="46"/>
        <v>4147.2823860854378</v>
      </c>
      <c r="K319">
        <v>0.29099999999999998</v>
      </c>
      <c r="L319">
        <f t="shared" si="42"/>
        <v>-10045.617971224015</v>
      </c>
      <c r="M319">
        <f t="shared" si="43"/>
        <v>6139.8798618753208</v>
      </c>
      <c r="N319">
        <f t="shared" si="47"/>
        <v>0.70854072890278075</v>
      </c>
      <c r="O319">
        <f t="shared" si="48"/>
        <v>1</v>
      </c>
      <c r="P319">
        <f t="shared" si="49"/>
        <v>5168.2353628821284</v>
      </c>
    </row>
    <row r="320" spans="3:16" x14ac:dyDescent="0.25">
      <c r="C320">
        <v>0.29199999999999998</v>
      </c>
      <c r="D320">
        <f t="shared" si="40"/>
        <v>-8905.7661358156129</v>
      </c>
      <c r="E320">
        <f t="shared" si="41"/>
        <v>4902.4662887833474</v>
      </c>
      <c r="F320">
        <f t="shared" si="44"/>
        <v>0.71657240228156027</v>
      </c>
      <c r="G320">
        <f t="shared" si="45"/>
        <v>1</v>
      </c>
      <c r="H320">
        <f t="shared" si="46"/>
        <v>4149.9671115896663</v>
      </c>
      <c r="K320">
        <v>0.29199999999999998</v>
      </c>
      <c r="L320">
        <f t="shared" si="42"/>
        <v>-10029.766135815613</v>
      </c>
      <c r="M320">
        <f t="shared" si="43"/>
        <v>6136.5781688241132</v>
      </c>
      <c r="N320">
        <f t="shared" si="47"/>
        <v>0.71024551672904157</v>
      </c>
      <c r="O320">
        <f t="shared" si="48"/>
        <v>1</v>
      </c>
      <c r="P320">
        <f t="shared" si="49"/>
        <v>5171.666619224563</v>
      </c>
    </row>
    <row r="321" spans="3:16" x14ac:dyDescent="0.25">
      <c r="C321">
        <v>0.29299999999999998</v>
      </c>
      <c r="D321">
        <f t="shared" si="40"/>
        <v>-8892.9143004072102</v>
      </c>
      <c r="E321">
        <f t="shared" si="41"/>
        <v>4899.7894495044893</v>
      </c>
      <c r="F321">
        <f t="shared" si="44"/>
        <v>0.7182749855329742</v>
      </c>
      <c r="G321">
        <f t="shared" si="45"/>
        <v>1</v>
      </c>
      <c r="H321">
        <f t="shared" si="46"/>
        <v>4152.6257174923176</v>
      </c>
      <c r="K321">
        <v>0.29299999999999998</v>
      </c>
      <c r="L321">
        <f t="shared" si="42"/>
        <v>-10013.91430040721</v>
      </c>
      <c r="M321">
        <f t="shared" si="43"/>
        <v>6133.2764757729046</v>
      </c>
      <c r="N321">
        <f t="shared" si="47"/>
        <v>0.71194530414407364</v>
      </c>
      <c r="O321">
        <f t="shared" si="48"/>
        <v>1</v>
      </c>
      <c r="P321">
        <f t="shared" si="49"/>
        <v>5175.0655740117672</v>
      </c>
    </row>
    <row r="322" spans="3:16" x14ac:dyDescent="0.25">
      <c r="C322">
        <v>0.29399999999999998</v>
      </c>
      <c r="D322">
        <f t="shared" si="40"/>
        <v>-8880.0624649988076</v>
      </c>
      <c r="E322">
        <f t="shared" si="41"/>
        <v>4897.1126102256321</v>
      </c>
      <c r="F322">
        <f t="shared" si="44"/>
        <v>0.71997243955691426</v>
      </c>
      <c r="G322">
        <f t="shared" si="45"/>
        <v>1</v>
      </c>
      <c r="H322">
        <f t="shared" si="46"/>
        <v>4155.258311320712</v>
      </c>
      <c r="K322">
        <v>0.29399999999999998</v>
      </c>
      <c r="L322">
        <f t="shared" si="42"/>
        <v>-9998.0624649988076</v>
      </c>
      <c r="M322">
        <f t="shared" si="43"/>
        <v>6129.9747827216961</v>
      </c>
      <c r="N322">
        <f t="shared" si="47"/>
        <v>0.71364009114787708</v>
      </c>
      <c r="O322">
        <f t="shared" si="48"/>
        <v>1</v>
      </c>
      <c r="P322">
        <f t="shared" si="49"/>
        <v>5178.4323602614741</v>
      </c>
    </row>
    <row r="323" spans="3:16" x14ac:dyDescent="0.25">
      <c r="C323">
        <v>0.29499999999999998</v>
      </c>
      <c r="D323">
        <f t="shared" si="40"/>
        <v>-8867.210629590405</v>
      </c>
      <c r="E323">
        <f t="shared" si="41"/>
        <v>4894.4357709467749</v>
      </c>
      <c r="F323">
        <f t="shared" si="44"/>
        <v>0.72166476435338089</v>
      </c>
      <c r="G323">
        <f t="shared" si="45"/>
        <v>1</v>
      </c>
      <c r="H323">
        <f t="shared" si="46"/>
        <v>4157.8649997872571</v>
      </c>
      <c r="K323">
        <v>0.29499999999999998</v>
      </c>
      <c r="L323">
        <f t="shared" si="42"/>
        <v>-9982.210629590405</v>
      </c>
      <c r="M323">
        <f t="shared" si="43"/>
        <v>6126.6730896704885</v>
      </c>
      <c r="N323">
        <f t="shared" si="47"/>
        <v>0.71532987774045187</v>
      </c>
      <c r="O323">
        <f t="shared" si="48"/>
        <v>1</v>
      </c>
      <c r="P323">
        <f t="shared" si="49"/>
        <v>5181.7671099818299</v>
      </c>
    </row>
    <row r="324" spans="3:16" x14ac:dyDescent="0.25">
      <c r="C324">
        <v>0.29599999999999999</v>
      </c>
      <c r="D324">
        <f t="shared" si="40"/>
        <v>-8854.3587941820024</v>
      </c>
      <c r="E324">
        <f t="shared" si="41"/>
        <v>4891.7589316679178</v>
      </c>
      <c r="F324">
        <f t="shared" si="44"/>
        <v>0.72335195992237389</v>
      </c>
      <c r="G324">
        <f t="shared" si="45"/>
        <v>1</v>
      </c>
      <c r="H324">
        <f t="shared" si="46"/>
        <v>4160.4458887986739</v>
      </c>
      <c r="K324">
        <v>0.29599999999999999</v>
      </c>
      <c r="L324">
        <f t="shared" si="42"/>
        <v>-9966.3587941820042</v>
      </c>
      <c r="M324">
        <f t="shared" si="43"/>
        <v>6123.3713966192809</v>
      </c>
      <c r="N324">
        <f t="shared" si="47"/>
        <v>0.7170146639217978</v>
      </c>
      <c r="O324">
        <f t="shared" si="48"/>
        <v>1</v>
      </c>
      <c r="P324">
        <f t="shared" si="49"/>
        <v>5185.069954182839</v>
      </c>
    </row>
    <row r="325" spans="3:16" x14ac:dyDescent="0.25">
      <c r="C325">
        <v>0.29699999999999999</v>
      </c>
      <c r="D325">
        <f t="shared" si="40"/>
        <v>-8841.5069587735998</v>
      </c>
      <c r="E325">
        <f t="shared" si="41"/>
        <v>4889.0820923890606</v>
      </c>
      <c r="F325">
        <f t="shared" si="44"/>
        <v>0.72503402626389302</v>
      </c>
      <c r="G325">
        <f t="shared" si="45"/>
        <v>1</v>
      </c>
      <c r="H325">
        <f t="shared" si="46"/>
        <v>4163.0010834651066</v>
      </c>
      <c r="K325">
        <v>0.29699999999999999</v>
      </c>
      <c r="L325">
        <f t="shared" si="42"/>
        <v>-9950.5069587735998</v>
      </c>
      <c r="M325">
        <f t="shared" si="43"/>
        <v>6120.0697035680714</v>
      </c>
      <c r="N325">
        <f t="shared" si="47"/>
        <v>0.71869444969191543</v>
      </c>
      <c r="O325">
        <f t="shared" si="48"/>
        <v>1</v>
      </c>
      <c r="P325">
        <f t="shared" si="49"/>
        <v>5188.341022887651</v>
      </c>
    </row>
    <row r="326" spans="3:16" x14ac:dyDescent="0.25">
      <c r="C326">
        <v>0.29799999999999999</v>
      </c>
      <c r="D326">
        <f t="shared" si="40"/>
        <v>-8828.655123365199</v>
      </c>
      <c r="E326">
        <f t="shared" si="41"/>
        <v>4886.4052531102034</v>
      </c>
      <c r="F326">
        <f t="shared" si="44"/>
        <v>0.72671096337793828</v>
      </c>
      <c r="G326">
        <f t="shared" si="45"/>
        <v>1</v>
      </c>
      <c r="H326">
        <f t="shared" si="46"/>
        <v>4165.5306881090828</v>
      </c>
      <c r="K326">
        <v>0.29799999999999999</v>
      </c>
      <c r="L326">
        <f t="shared" si="42"/>
        <v>-9934.655123365199</v>
      </c>
      <c r="M326">
        <f t="shared" si="43"/>
        <v>6116.7680105168638</v>
      </c>
      <c r="N326">
        <f t="shared" si="47"/>
        <v>0.72036923505080408</v>
      </c>
      <c r="O326">
        <f t="shared" si="48"/>
        <v>1</v>
      </c>
      <c r="P326">
        <f t="shared" si="49"/>
        <v>5191.5804451436752</v>
      </c>
    </row>
    <row r="327" spans="3:16" x14ac:dyDescent="0.25">
      <c r="C327">
        <v>0.29899999999999999</v>
      </c>
      <c r="D327">
        <f t="shared" si="40"/>
        <v>-8815.8032879567945</v>
      </c>
      <c r="E327">
        <f t="shared" si="41"/>
        <v>4883.7284138313462</v>
      </c>
      <c r="F327">
        <f t="shared" si="44"/>
        <v>0.72838277126451056</v>
      </c>
      <c r="G327">
        <f t="shared" si="45"/>
        <v>1</v>
      </c>
      <c r="H327">
        <f t="shared" si="46"/>
        <v>4168.0348062743506</v>
      </c>
      <c r="K327">
        <v>0.29899999999999999</v>
      </c>
      <c r="L327">
        <f t="shared" si="42"/>
        <v>-9918.8032879567945</v>
      </c>
      <c r="M327">
        <f t="shared" si="43"/>
        <v>6113.4663174656562</v>
      </c>
      <c r="N327">
        <f t="shared" si="47"/>
        <v>0.72203901999846443</v>
      </c>
      <c r="O327">
        <f t="shared" si="48"/>
        <v>1</v>
      </c>
      <c r="P327">
        <f t="shared" si="49"/>
        <v>5194.7883490335271</v>
      </c>
    </row>
    <row r="328" spans="3:16" x14ac:dyDescent="0.25">
      <c r="C328">
        <v>0.3</v>
      </c>
      <c r="D328">
        <f t="shared" si="40"/>
        <v>-8802.9514525483937</v>
      </c>
      <c r="E328">
        <f t="shared" si="41"/>
        <v>4881.051574552489</v>
      </c>
      <c r="F328">
        <f t="shared" si="44"/>
        <v>0.73004944992360843</v>
      </c>
      <c r="G328">
        <f t="shared" si="45"/>
        <v>1</v>
      </c>
      <c r="H328">
        <f t="shared" si="46"/>
        <v>4170.5135407345679</v>
      </c>
      <c r="K328">
        <v>0.3</v>
      </c>
      <c r="L328">
        <f t="shared" si="42"/>
        <v>-9902.9514525483937</v>
      </c>
      <c r="M328">
        <f t="shared" si="43"/>
        <v>6110.1646244144486</v>
      </c>
      <c r="N328">
        <f t="shared" si="47"/>
        <v>0.72370380453489569</v>
      </c>
      <c r="O328">
        <f t="shared" si="48"/>
        <v>1</v>
      </c>
      <c r="P328">
        <f t="shared" si="49"/>
        <v>5197.9648616858112</v>
      </c>
    </row>
    <row r="329" spans="3:16" x14ac:dyDescent="0.25">
      <c r="C329">
        <v>0.30099999999999999</v>
      </c>
      <c r="D329">
        <f t="shared" si="40"/>
        <v>-8790.0996171399911</v>
      </c>
      <c r="E329">
        <f t="shared" si="41"/>
        <v>4878.3747352736318</v>
      </c>
      <c r="F329">
        <f t="shared" si="44"/>
        <v>0.73171099935523309</v>
      </c>
      <c r="G329">
        <f t="shared" si="45"/>
        <v>1</v>
      </c>
      <c r="H329">
        <f t="shared" si="46"/>
        <v>4172.9669935018956</v>
      </c>
      <c r="K329">
        <v>0.30099999999999999</v>
      </c>
      <c r="L329">
        <f t="shared" si="42"/>
        <v>-9887.0996171399893</v>
      </c>
      <c r="M329">
        <f t="shared" si="43"/>
        <v>6106.8629313632391</v>
      </c>
      <c r="N329">
        <f t="shared" si="47"/>
        <v>0.72536358866009876</v>
      </c>
      <c r="O329">
        <f t="shared" si="48"/>
        <v>1</v>
      </c>
      <c r="P329">
        <f t="shared" si="49"/>
        <v>5201.110109285768</v>
      </c>
    </row>
    <row r="330" spans="3:16" x14ac:dyDescent="0.25">
      <c r="C330">
        <v>0.30199999999999999</v>
      </c>
      <c r="D330">
        <f t="shared" si="40"/>
        <v>-8777.2477817315885</v>
      </c>
      <c r="E330">
        <f t="shared" si="41"/>
        <v>4875.6978959947746</v>
      </c>
      <c r="F330">
        <f t="shared" si="44"/>
        <v>0.73336741955938378</v>
      </c>
      <c r="G330">
        <f t="shared" si="45"/>
        <v>1</v>
      </c>
      <c r="H330">
        <f t="shared" si="46"/>
        <v>4175.3952658354319</v>
      </c>
      <c r="K330">
        <v>0.30199999999999999</v>
      </c>
      <c r="L330">
        <f t="shared" si="42"/>
        <v>-9871.2477817315885</v>
      </c>
      <c r="M330">
        <f t="shared" si="43"/>
        <v>6103.5612383120315</v>
      </c>
      <c r="N330">
        <f t="shared" si="47"/>
        <v>0.72701837237407263</v>
      </c>
      <c r="O330">
        <f t="shared" si="48"/>
        <v>1</v>
      </c>
      <c r="P330">
        <f t="shared" si="49"/>
        <v>5204.2242170857326</v>
      </c>
    </row>
    <row r="331" spans="3:16" x14ac:dyDescent="0.25">
      <c r="C331">
        <v>0.30299999999999999</v>
      </c>
      <c r="D331">
        <f t="shared" si="40"/>
        <v>-8764.3959463231859</v>
      </c>
      <c r="E331">
        <f t="shared" si="41"/>
        <v>4873.0210567159174</v>
      </c>
      <c r="F331">
        <f t="shared" si="44"/>
        <v>0.73501871053606105</v>
      </c>
      <c r="G331">
        <f t="shared" si="45"/>
        <v>1</v>
      </c>
      <c r="H331">
        <f t="shared" si="46"/>
        <v>4177.7984582495492</v>
      </c>
      <c r="K331">
        <v>0.30299999999999999</v>
      </c>
      <c r="L331">
        <f t="shared" si="42"/>
        <v>-9855.3959463231859</v>
      </c>
      <c r="M331">
        <f t="shared" si="43"/>
        <v>6100.2595452608239</v>
      </c>
      <c r="N331">
        <f t="shared" si="47"/>
        <v>0.7286681556768182</v>
      </c>
      <c r="O331">
        <f t="shared" si="48"/>
        <v>1</v>
      </c>
      <c r="P331">
        <f t="shared" si="49"/>
        <v>5207.307309415467</v>
      </c>
    </row>
    <row r="332" spans="3:16" x14ac:dyDescent="0.25">
      <c r="C332">
        <v>0.30399999999999999</v>
      </c>
      <c r="D332">
        <f t="shared" si="40"/>
        <v>-8751.5441109147832</v>
      </c>
      <c r="E332">
        <f t="shared" si="41"/>
        <v>4870.3442174370593</v>
      </c>
      <c r="F332">
        <f t="shared" si="44"/>
        <v>0.73666487228526456</v>
      </c>
      <c r="G332">
        <f t="shared" si="45"/>
        <v>1</v>
      </c>
      <c r="H332">
        <f t="shared" si="46"/>
        <v>4180.1766705220944</v>
      </c>
      <c r="K332">
        <v>0.30399999999999999</v>
      </c>
      <c r="L332">
        <f t="shared" si="42"/>
        <v>-9839.5441109147832</v>
      </c>
      <c r="M332">
        <f t="shared" si="43"/>
        <v>6096.9578522096162</v>
      </c>
      <c r="N332">
        <f t="shared" si="47"/>
        <v>0.73031293856833501</v>
      </c>
      <c r="O332">
        <f t="shared" si="48"/>
        <v>1</v>
      </c>
      <c r="P332">
        <f t="shared" si="49"/>
        <v>5210.3595096923291</v>
      </c>
    </row>
    <row r="333" spans="3:16" x14ac:dyDescent="0.25">
      <c r="C333">
        <v>0.30499999999999999</v>
      </c>
      <c r="D333">
        <f t="shared" si="40"/>
        <v>-8738.6922755063806</v>
      </c>
      <c r="E333">
        <f t="shared" si="41"/>
        <v>4867.6673781582022</v>
      </c>
      <c r="F333">
        <f t="shared" si="44"/>
        <v>0.73830590480699443</v>
      </c>
      <c r="G333">
        <f t="shared" si="45"/>
        <v>1</v>
      </c>
      <c r="H333">
        <f t="shared" si="46"/>
        <v>4182.5300017024774</v>
      </c>
      <c r="K333">
        <v>0.30499999999999999</v>
      </c>
      <c r="L333">
        <f t="shared" si="42"/>
        <v>-9823.6922755063806</v>
      </c>
      <c r="M333">
        <f t="shared" si="43"/>
        <v>6093.6561591584077</v>
      </c>
      <c r="N333">
        <f t="shared" si="47"/>
        <v>0.73195272104862319</v>
      </c>
      <c r="O333">
        <f t="shared" si="48"/>
        <v>1</v>
      </c>
      <c r="P333">
        <f t="shared" si="49"/>
        <v>5213.3809404312969</v>
      </c>
    </row>
    <row r="334" spans="3:16" x14ac:dyDescent="0.25">
      <c r="C334">
        <v>0.30599999999999999</v>
      </c>
      <c r="D334">
        <f t="shared" si="40"/>
        <v>-8725.840440097978</v>
      </c>
      <c r="E334">
        <f t="shared" si="41"/>
        <v>4864.990538879345</v>
      </c>
      <c r="F334">
        <f t="shared" si="44"/>
        <v>0.73994180810125054</v>
      </c>
      <c r="G334">
        <f t="shared" si="45"/>
        <v>1</v>
      </c>
      <c r="H334">
        <f t="shared" si="46"/>
        <v>4184.8585501196421</v>
      </c>
      <c r="K334">
        <v>0.30599999999999999</v>
      </c>
      <c r="L334">
        <f t="shared" si="42"/>
        <v>-9807.840440097978</v>
      </c>
      <c r="M334">
        <f t="shared" si="43"/>
        <v>6090.3544661071992</v>
      </c>
      <c r="N334">
        <f t="shared" si="47"/>
        <v>0.73358750311768273</v>
      </c>
      <c r="O334">
        <f t="shared" si="48"/>
        <v>1</v>
      </c>
      <c r="P334">
        <f t="shared" si="49"/>
        <v>5216.371723254857</v>
      </c>
    </row>
    <row r="335" spans="3:16" x14ac:dyDescent="0.25">
      <c r="C335">
        <v>0.307</v>
      </c>
      <c r="D335">
        <f t="shared" si="40"/>
        <v>-8712.9886046895754</v>
      </c>
      <c r="E335">
        <f t="shared" si="41"/>
        <v>4862.3136996004878</v>
      </c>
      <c r="F335">
        <f t="shared" si="44"/>
        <v>0.74157258216803312</v>
      </c>
      <c r="G335">
        <f t="shared" si="45"/>
        <v>1</v>
      </c>
      <c r="H335">
        <f t="shared" si="46"/>
        <v>4187.1624133899222</v>
      </c>
      <c r="K335">
        <v>0.307</v>
      </c>
      <c r="L335">
        <f t="shared" si="42"/>
        <v>-9791.9886046895754</v>
      </c>
      <c r="M335">
        <f t="shared" si="43"/>
        <v>6087.0527730559916</v>
      </c>
      <c r="N335">
        <f t="shared" si="47"/>
        <v>0.73521728477551362</v>
      </c>
      <c r="O335">
        <f t="shared" si="48"/>
        <v>1</v>
      </c>
      <c r="P335">
        <f t="shared" si="49"/>
        <v>5219.3319789027355</v>
      </c>
    </row>
    <row r="336" spans="3:16" x14ac:dyDescent="0.25">
      <c r="C336">
        <v>0.308</v>
      </c>
      <c r="D336">
        <f t="shared" si="40"/>
        <v>-8700.1367692811727</v>
      </c>
      <c r="E336">
        <f t="shared" si="41"/>
        <v>4859.6368603216306</v>
      </c>
      <c r="F336">
        <f t="shared" si="44"/>
        <v>0.74319822700734195</v>
      </c>
      <c r="G336">
        <f t="shared" si="45"/>
        <v>1</v>
      </c>
      <c r="H336">
        <f t="shared" si="46"/>
        <v>4189.4416884247848</v>
      </c>
      <c r="K336">
        <v>0.308</v>
      </c>
      <c r="L336">
        <f t="shared" si="42"/>
        <v>-9776.1367692811727</v>
      </c>
      <c r="M336">
        <f t="shared" si="43"/>
        <v>6083.751080004783</v>
      </c>
      <c r="N336">
        <f t="shared" si="47"/>
        <v>0.73684206602211577</v>
      </c>
      <c r="O336">
        <f t="shared" si="48"/>
        <v>1</v>
      </c>
      <c r="P336">
        <f t="shared" si="49"/>
        <v>5222.261827241502</v>
      </c>
    </row>
    <row r="337" spans="3:16" x14ac:dyDescent="0.25">
      <c r="C337">
        <v>0.309</v>
      </c>
      <c r="D337">
        <f t="shared" si="40"/>
        <v>-8687.2849338727701</v>
      </c>
      <c r="E337">
        <f t="shared" si="41"/>
        <v>4856.9600210427734</v>
      </c>
      <c r="F337">
        <f t="shared" si="44"/>
        <v>0.74481874261917713</v>
      </c>
      <c r="G337">
        <f t="shared" si="45"/>
        <v>1</v>
      </c>
      <c r="H337">
        <f t="shared" si="46"/>
        <v>4191.6964714384649</v>
      </c>
      <c r="K337">
        <v>0.309</v>
      </c>
      <c r="L337">
        <f t="shared" si="42"/>
        <v>-9760.2849338727719</v>
      </c>
      <c r="M337">
        <f t="shared" si="43"/>
        <v>6080.4493869535754</v>
      </c>
      <c r="N337">
        <f t="shared" si="47"/>
        <v>0.73846184685748906</v>
      </c>
      <c r="O337">
        <f t="shared" si="48"/>
        <v>1</v>
      </c>
      <c r="P337">
        <f t="shared" si="49"/>
        <v>5225.1613872740318</v>
      </c>
    </row>
    <row r="338" spans="3:16" x14ac:dyDescent="0.25">
      <c r="C338">
        <v>0.31</v>
      </c>
      <c r="D338">
        <f t="shared" si="40"/>
        <v>-8674.4330984643675</v>
      </c>
      <c r="E338">
        <f t="shared" si="41"/>
        <v>4854.2831817639162</v>
      </c>
      <c r="F338">
        <f t="shared" si="44"/>
        <v>0.74643412900353856</v>
      </c>
      <c r="G338">
        <f t="shared" si="45"/>
        <v>1</v>
      </c>
      <c r="H338">
        <f t="shared" si="46"/>
        <v>4193.9268579554864</v>
      </c>
      <c r="K338">
        <v>0.31</v>
      </c>
      <c r="L338">
        <f t="shared" si="42"/>
        <v>-9744.4330984643675</v>
      </c>
      <c r="M338">
        <f t="shared" si="43"/>
        <v>6077.1476939023669</v>
      </c>
      <c r="N338">
        <f t="shared" si="47"/>
        <v>0.74007662728163415</v>
      </c>
      <c r="O338">
        <f t="shared" si="48"/>
        <v>1</v>
      </c>
      <c r="P338">
        <f t="shared" si="49"/>
        <v>5228.030777148836</v>
      </c>
    </row>
    <row r="339" spans="3:16" x14ac:dyDescent="0.25">
      <c r="C339">
        <v>0.311</v>
      </c>
      <c r="D339">
        <f t="shared" si="40"/>
        <v>-8661.5812630559667</v>
      </c>
      <c r="E339">
        <f t="shared" si="41"/>
        <v>4851.606342485059</v>
      </c>
      <c r="F339">
        <f t="shared" si="44"/>
        <v>0.74804438616042623</v>
      </c>
      <c r="G339">
        <f t="shared" si="45"/>
        <v>1</v>
      </c>
      <c r="H339">
        <f t="shared" si="46"/>
        <v>4196.1329428180843</v>
      </c>
      <c r="K339">
        <v>0.311</v>
      </c>
      <c r="L339">
        <f t="shared" si="42"/>
        <v>-9728.5812630559667</v>
      </c>
      <c r="M339">
        <f t="shared" si="43"/>
        <v>6073.8460008511593</v>
      </c>
      <c r="N339">
        <f t="shared" si="47"/>
        <v>0.74168640729455015</v>
      </c>
      <c r="O339">
        <f t="shared" si="48"/>
        <v>1</v>
      </c>
      <c r="P339">
        <f t="shared" si="49"/>
        <v>5230.87011416925</v>
      </c>
    </row>
    <row r="340" spans="3:16" x14ac:dyDescent="0.25">
      <c r="C340">
        <v>0.312</v>
      </c>
      <c r="D340">
        <f t="shared" si="40"/>
        <v>-8648.7294276475623</v>
      </c>
      <c r="E340">
        <f t="shared" si="41"/>
        <v>4848.9295032062009</v>
      </c>
      <c r="F340">
        <f t="shared" si="44"/>
        <v>0.74964951408984071</v>
      </c>
      <c r="G340">
        <f t="shared" si="45"/>
        <v>1</v>
      </c>
      <c r="H340">
        <f t="shared" si="46"/>
        <v>4198.3148201935146</v>
      </c>
      <c r="K340">
        <v>0.312</v>
      </c>
      <c r="L340">
        <f t="shared" si="42"/>
        <v>-9712.7294276475623</v>
      </c>
      <c r="M340">
        <f t="shared" si="43"/>
        <v>6070.5443077999507</v>
      </c>
      <c r="N340">
        <f t="shared" si="47"/>
        <v>0.74329118689623797</v>
      </c>
      <c r="O340">
        <f t="shared" si="48"/>
        <v>1</v>
      </c>
      <c r="P340">
        <f t="shared" si="49"/>
        <v>5233.6795148025112</v>
      </c>
    </row>
    <row r="341" spans="3:16" x14ac:dyDescent="0.25">
      <c r="C341">
        <v>0.313</v>
      </c>
      <c r="D341">
        <f t="shared" si="40"/>
        <v>-8635.8775922391615</v>
      </c>
      <c r="E341">
        <f t="shared" si="41"/>
        <v>4846.2526639273437</v>
      </c>
      <c r="F341">
        <f t="shared" si="44"/>
        <v>0.75124951279178087</v>
      </c>
      <c r="G341">
        <f t="shared" si="45"/>
        <v>1</v>
      </c>
      <c r="H341">
        <f t="shared" si="46"/>
        <v>4200.4725835812651</v>
      </c>
      <c r="K341">
        <v>0.313</v>
      </c>
      <c r="L341">
        <f t="shared" si="42"/>
        <v>-9696.8775922391615</v>
      </c>
      <c r="M341">
        <f t="shared" si="43"/>
        <v>6067.2426147487431</v>
      </c>
      <c r="N341">
        <f t="shared" si="47"/>
        <v>0.74489096608669669</v>
      </c>
      <c r="O341">
        <f t="shared" si="48"/>
        <v>1</v>
      </c>
      <c r="P341">
        <f t="shared" si="49"/>
        <v>5236.4590946886838</v>
      </c>
    </row>
    <row r="342" spans="3:16" x14ac:dyDescent="0.25">
      <c r="C342">
        <v>0.314</v>
      </c>
      <c r="D342">
        <f t="shared" si="40"/>
        <v>-8623.0257568307588</v>
      </c>
      <c r="E342">
        <f t="shared" si="41"/>
        <v>4843.5758246484875</v>
      </c>
      <c r="F342">
        <f t="shared" si="44"/>
        <v>0.75284438226624772</v>
      </c>
      <c r="G342">
        <f t="shared" si="45"/>
        <v>1</v>
      </c>
      <c r="H342">
        <f t="shared" si="46"/>
        <v>4202.6063258201675</v>
      </c>
      <c r="K342">
        <v>0.314</v>
      </c>
      <c r="L342">
        <f t="shared" si="42"/>
        <v>-9681.025756830757</v>
      </c>
      <c r="M342">
        <f t="shared" si="43"/>
        <v>6063.9409216975346</v>
      </c>
      <c r="N342">
        <f t="shared" si="47"/>
        <v>0.746485744865927</v>
      </c>
      <c r="O342">
        <f t="shared" si="48"/>
        <v>1</v>
      </c>
      <c r="P342">
        <f t="shared" si="49"/>
        <v>5239.2089686494828</v>
      </c>
    </row>
    <row r="343" spans="3:16" x14ac:dyDescent="0.25">
      <c r="C343">
        <v>0.315</v>
      </c>
      <c r="D343">
        <f t="shared" si="40"/>
        <v>-8610.1739214223562</v>
      </c>
      <c r="E343">
        <f t="shared" si="41"/>
        <v>4840.8989853696294</v>
      </c>
      <c r="F343">
        <f t="shared" si="44"/>
        <v>0.75443412251324082</v>
      </c>
      <c r="G343">
        <f t="shared" si="45"/>
        <v>1</v>
      </c>
      <c r="H343">
        <f t="shared" si="46"/>
        <v>4204.7161390953979</v>
      </c>
      <c r="K343">
        <v>0.315</v>
      </c>
      <c r="L343">
        <f t="shared" si="42"/>
        <v>-9665.1739214223562</v>
      </c>
      <c r="M343">
        <f t="shared" si="43"/>
        <v>6060.639228646327</v>
      </c>
      <c r="N343">
        <f t="shared" si="47"/>
        <v>0.74807552323392845</v>
      </c>
      <c r="O343">
        <f t="shared" si="48"/>
        <v>1</v>
      </c>
      <c r="P343">
        <f t="shared" si="49"/>
        <v>5241.9292506969578</v>
      </c>
    </row>
    <row r="344" spans="3:16" x14ac:dyDescent="0.25">
      <c r="C344">
        <v>0.316</v>
      </c>
      <c r="D344">
        <f t="shared" si="40"/>
        <v>-8597.3220860139536</v>
      </c>
      <c r="E344">
        <f t="shared" si="41"/>
        <v>4838.2221460907722</v>
      </c>
      <c r="F344">
        <f t="shared" si="44"/>
        <v>0.75601873353276039</v>
      </c>
      <c r="G344">
        <f t="shared" si="45"/>
        <v>1</v>
      </c>
      <c r="H344">
        <f t="shared" si="46"/>
        <v>4206.8021149453998</v>
      </c>
      <c r="K344">
        <v>0.316</v>
      </c>
      <c r="L344">
        <f t="shared" si="42"/>
        <v>-9649.3220860139536</v>
      </c>
      <c r="M344">
        <f t="shared" si="43"/>
        <v>6057.3375355951184</v>
      </c>
      <c r="N344">
        <f t="shared" si="47"/>
        <v>0.74966030119070126</v>
      </c>
      <c r="O344">
        <f t="shared" si="48"/>
        <v>1</v>
      </c>
      <c r="P344">
        <f t="shared" si="49"/>
        <v>5244.6200540420596</v>
      </c>
    </row>
    <row r="345" spans="3:16" x14ac:dyDescent="0.25">
      <c r="C345">
        <v>0.317</v>
      </c>
      <c r="D345">
        <f t="shared" si="40"/>
        <v>-8584.470250605551</v>
      </c>
      <c r="E345">
        <f t="shared" si="41"/>
        <v>4835.545306811915</v>
      </c>
      <c r="F345">
        <f t="shared" si="44"/>
        <v>0.75759821532480609</v>
      </c>
      <c r="G345">
        <f t="shared" si="45"/>
        <v>1</v>
      </c>
      <c r="H345">
        <f t="shared" si="46"/>
        <v>4208.8643442686907</v>
      </c>
      <c r="K345">
        <v>0.317</v>
      </c>
      <c r="L345">
        <f t="shared" si="42"/>
        <v>-9633.470250605551</v>
      </c>
      <c r="M345">
        <f t="shared" si="43"/>
        <v>6054.0358425439108</v>
      </c>
      <c r="N345">
        <f t="shared" si="47"/>
        <v>0.75124007873624554</v>
      </c>
      <c r="O345">
        <f t="shared" si="48"/>
        <v>1</v>
      </c>
      <c r="P345">
        <f t="shared" si="49"/>
        <v>5247.2814911030973</v>
      </c>
    </row>
    <row r="346" spans="3:16" x14ac:dyDescent="0.25">
      <c r="C346">
        <v>0.318</v>
      </c>
      <c r="D346">
        <f t="shared" si="40"/>
        <v>-8571.6184151971484</v>
      </c>
      <c r="E346">
        <f t="shared" si="41"/>
        <v>4832.8684675330578</v>
      </c>
      <c r="F346">
        <f t="shared" si="44"/>
        <v>0.75917256788937826</v>
      </c>
      <c r="G346">
        <f t="shared" si="45"/>
        <v>1</v>
      </c>
      <c r="H346">
        <f t="shared" si="46"/>
        <v>4210.9029173305862</v>
      </c>
      <c r="K346">
        <v>0.318</v>
      </c>
      <c r="L346">
        <f t="shared" si="42"/>
        <v>-9617.6184151971484</v>
      </c>
      <c r="M346">
        <f t="shared" si="43"/>
        <v>6050.7341494927023</v>
      </c>
      <c r="N346">
        <f t="shared" si="47"/>
        <v>0.75281485587056118</v>
      </c>
      <c r="O346">
        <f t="shared" si="48"/>
        <v>1</v>
      </c>
      <c r="P346">
        <f t="shared" si="49"/>
        <v>5249.9136735140564</v>
      </c>
    </row>
    <row r="347" spans="3:16" x14ac:dyDescent="0.25">
      <c r="C347">
        <v>0.31900000000000001</v>
      </c>
      <c r="D347">
        <f t="shared" si="40"/>
        <v>-8558.7665797887457</v>
      </c>
      <c r="E347">
        <f t="shared" si="41"/>
        <v>4830.1916282542006</v>
      </c>
      <c r="F347">
        <f t="shared" si="44"/>
        <v>0.76074179122647667</v>
      </c>
      <c r="G347">
        <f t="shared" si="45"/>
        <v>1</v>
      </c>
      <c r="H347">
        <f t="shared" si="46"/>
        <v>4212.917923769829</v>
      </c>
      <c r="K347">
        <v>0.31900000000000001</v>
      </c>
      <c r="L347">
        <f t="shared" si="42"/>
        <v>-9601.7665797887457</v>
      </c>
      <c r="M347">
        <f t="shared" si="43"/>
        <v>6047.4324564414947</v>
      </c>
      <c r="N347">
        <f t="shared" si="47"/>
        <v>0.75438463259364807</v>
      </c>
      <c r="O347">
        <f t="shared" si="48"/>
        <v>1</v>
      </c>
      <c r="P347">
        <f t="shared" si="49"/>
        <v>5252.5167121328277</v>
      </c>
    </row>
    <row r="348" spans="3:16" x14ac:dyDescent="0.25">
      <c r="C348">
        <v>0.32</v>
      </c>
      <c r="D348">
        <f t="shared" ref="D348:D411" si="50">-$J$23+($J$15+$J$23)*C348</f>
        <v>-8545.9147443803431</v>
      </c>
      <c r="E348">
        <f t="shared" ref="E348:E411" si="51">$J$12-$J$11*D348</f>
        <v>4827.5147889753434</v>
      </c>
      <c r="F348">
        <f t="shared" si="44"/>
        <v>0.76230588533610144</v>
      </c>
      <c r="G348">
        <f t="shared" si="45"/>
        <v>1</v>
      </c>
      <c r="H348">
        <f t="shared" si="46"/>
        <v>4214.909452605124</v>
      </c>
      <c r="K348">
        <v>0.32</v>
      </c>
      <c r="L348">
        <f t="shared" ref="L348:L411" si="52">-$M$23+($M$15+$M$23)*K348</f>
        <v>-9585.9147443803431</v>
      </c>
      <c r="M348">
        <f t="shared" ref="M348:M411" si="53">$J$12-$J$11*L348+$E$18</f>
        <v>6044.1307633902861</v>
      </c>
      <c r="N348">
        <f t="shared" si="47"/>
        <v>0.75594940890550633</v>
      </c>
      <c r="O348">
        <f t="shared" si="48"/>
        <v>1</v>
      </c>
      <c r="P348">
        <f t="shared" si="49"/>
        <v>5255.0907170493065</v>
      </c>
    </row>
    <row r="349" spans="3:16" x14ac:dyDescent="0.25">
      <c r="C349">
        <v>0.32100000000000001</v>
      </c>
      <c r="D349">
        <f t="shared" si="50"/>
        <v>-8533.0629089719405</v>
      </c>
      <c r="E349">
        <f t="shared" si="51"/>
        <v>4824.8379496964862</v>
      </c>
      <c r="F349">
        <f t="shared" ref="F349:F412" si="54">IF(D349&lt;$J$20,MAX(1-(D349-$J$20)^2/$J$22^2,0),1)</f>
        <v>0.76386485021825257</v>
      </c>
      <c r="G349">
        <f t="shared" ref="G349:G412" si="55">IF(D349&gt;$J$17,MAX(1-(D349-$J$17)^2/($J$15-$J$17)^2,0),1)</f>
        <v>1</v>
      </c>
      <c r="H349">
        <f t="shared" ref="H349:H412" si="56">SQRT(E349^2*F349*G349)</f>
        <v>4216.8775922415862</v>
      </c>
      <c r="K349">
        <v>0.32100000000000001</v>
      </c>
      <c r="L349">
        <f t="shared" si="52"/>
        <v>-9570.0629089719405</v>
      </c>
      <c r="M349">
        <f t="shared" si="53"/>
        <v>6040.8290703390785</v>
      </c>
      <c r="N349">
        <f t="shared" ref="N349:N412" si="57">IF(L349&lt;$J$20,MAX(1-(L349-$J$20)^2/$M$22^2,0),1)</f>
        <v>0.75750918480613594</v>
      </c>
      <c r="O349">
        <f t="shared" ref="O349:O412" si="58">IF(L349&gt;$J$17,MAX(1-(L349-$J$17)^2/($M$15-$J$17)^2,0),1)</f>
        <v>1</v>
      </c>
      <c r="P349">
        <f t="shared" ref="P349:P412" si="59">SQRT(M349^2*N349*O349)</f>
        <v>5257.6357975933834</v>
      </c>
    </row>
    <row r="350" spans="3:16" x14ac:dyDescent="0.25">
      <c r="C350">
        <v>0.32200000000000001</v>
      </c>
      <c r="D350">
        <f t="shared" si="50"/>
        <v>-8520.2110735635397</v>
      </c>
      <c r="E350">
        <f t="shared" si="51"/>
        <v>4822.1611104176291</v>
      </c>
      <c r="F350">
        <f t="shared" si="54"/>
        <v>0.76541868587292983</v>
      </c>
      <c r="G350">
        <f t="shared" si="55"/>
        <v>1</v>
      </c>
      <c r="H350">
        <f t="shared" si="56"/>
        <v>4218.8224304770984</v>
      </c>
      <c r="K350">
        <v>0.32200000000000001</v>
      </c>
      <c r="L350">
        <f t="shared" si="52"/>
        <v>-9554.2110735635397</v>
      </c>
      <c r="M350">
        <f t="shared" si="53"/>
        <v>6037.52737728787</v>
      </c>
      <c r="N350">
        <f t="shared" si="57"/>
        <v>0.75906396029553669</v>
      </c>
      <c r="O350">
        <f t="shared" si="58"/>
        <v>1</v>
      </c>
      <c r="P350">
        <f t="shared" si="59"/>
        <v>5260.152062342826</v>
      </c>
    </row>
    <row r="351" spans="3:16" x14ac:dyDescent="0.25">
      <c r="C351">
        <v>0.32300000000000001</v>
      </c>
      <c r="D351">
        <f t="shared" si="50"/>
        <v>-8507.3592381551352</v>
      </c>
      <c r="E351">
        <f t="shared" si="51"/>
        <v>4819.484271138771</v>
      </c>
      <c r="F351">
        <f t="shared" si="54"/>
        <v>0.76696739230013378</v>
      </c>
      <c r="G351">
        <f t="shared" si="55"/>
        <v>1</v>
      </c>
      <c r="H351">
        <f t="shared" si="56"/>
        <v>4220.7440545085865</v>
      </c>
      <c r="K351">
        <v>0.32300000000000001</v>
      </c>
      <c r="L351">
        <f t="shared" si="52"/>
        <v>-9538.3592381551352</v>
      </c>
      <c r="M351">
        <f t="shared" si="53"/>
        <v>6034.2256842366623</v>
      </c>
      <c r="N351">
        <f t="shared" si="57"/>
        <v>0.76061373537370902</v>
      </c>
      <c r="O351">
        <f t="shared" si="58"/>
        <v>1</v>
      </c>
      <c r="P351">
        <f t="shared" si="59"/>
        <v>5262.6396191310614</v>
      </c>
    </row>
    <row r="352" spans="3:16" x14ac:dyDescent="0.25">
      <c r="C352">
        <v>0.32400000000000001</v>
      </c>
      <c r="D352">
        <f t="shared" si="50"/>
        <v>-8494.5074027467344</v>
      </c>
      <c r="E352">
        <f t="shared" si="51"/>
        <v>4816.8074318599138</v>
      </c>
      <c r="F352">
        <f t="shared" si="54"/>
        <v>0.76851096949986375</v>
      </c>
      <c r="G352">
        <f t="shared" si="55"/>
        <v>1</v>
      </c>
      <c r="H352">
        <f t="shared" si="56"/>
        <v>4222.6425509381988</v>
      </c>
      <c r="K352">
        <v>0.32400000000000001</v>
      </c>
      <c r="L352">
        <f t="shared" si="52"/>
        <v>-9522.5074027467344</v>
      </c>
      <c r="M352">
        <f t="shared" si="53"/>
        <v>6030.9239911854547</v>
      </c>
      <c r="N352">
        <f t="shared" si="57"/>
        <v>0.76215851004065249</v>
      </c>
      <c r="O352">
        <f t="shared" si="58"/>
        <v>1</v>
      </c>
      <c r="P352">
        <f t="shared" si="59"/>
        <v>5265.0985750548361</v>
      </c>
    </row>
    <row r="353" spans="3:16" x14ac:dyDescent="0.25">
      <c r="C353">
        <v>0.32500000000000001</v>
      </c>
      <c r="D353">
        <f t="shared" si="50"/>
        <v>-8481.65556733833</v>
      </c>
      <c r="E353">
        <f t="shared" si="51"/>
        <v>4814.1305925810566</v>
      </c>
      <c r="F353">
        <f t="shared" si="54"/>
        <v>0.77004941747212041</v>
      </c>
      <c r="G353">
        <f t="shared" si="55"/>
        <v>1</v>
      </c>
      <c r="H353">
        <f t="shared" si="56"/>
        <v>4224.5180057794196</v>
      </c>
      <c r="K353">
        <v>0.32500000000000001</v>
      </c>
      <c r="L353">
        <f t="shared" si="52"/>
        <v>-9506.65556733833</v>
      </c>
      <c r="M353">
        <f t="shared" si="53"/>
        <v>6027.6222981342453</v>
      </c>
      <c r="N353">
        <f t="shared" si="57"/>
        <v>0.76369828429636766</v>
      </c>
      <c r="O353">
        <f t="shared" si="58"/>
        <v>1</v>
      </c>
      <c r="P353">
        <f t="shared" si="59"/>
        <v>5267.5290364817865</v>
      </c>
    </row>
    <row r="354" spans="3:16" x14ac:dyDescent="0.25">
      <c r="C354">
        <v>0.32600000000000001</v>
      </c>
      <c r="D354">
        <f t="shared" si="50"/>
        <v>-8468.8037319299292</v>
      </c>
      <c r="E354">
        <f t="shared" si="51"/>
        <v>4811.4537533021994</v>
      </c>
      <c r="F354">
        <f t="shared" si="54"/>
        <v>0.77158273621690288</v>
      </c>
      <c r="G354">
        <f t="shared" si="55"/>
        <v>1</v>
      </c>
      <c r="H354">
        <f t="shared" si="56"/>
        <v>4226.3705044630788</v>
      </c>
      <c r="K354">
        <v>0.32600000000000001</v>
      </c>
      <c r="L354">
        <f t="shared" si="52"/>
        <v>-9490.8037319299292</v>
      </c>
      <c r="M354">
        <f t="shared" si="53"/>
        <v>6024.3206050830377</v>
      </c>
      <c r="N354">
        <f t="shared" si="57"/>
        <v>0.76523305814085374</v>
      </c>
      <c r="O354">
        <f t="shared" si="58"/>
        <v>1</v>
      </c>
      <c r="P354">
        <f t="shared" si="59"/>
        <v>5269.9311090579013</v>
      </c>
    </row>
    <row r="355" spans="3:16" x14ac:dyDescent="0.25">
      <c r="C355">
        <v>0.32700000000000001</v>
      </c>
      <c r="D355">
        <f t="shared" si="50"/>
        <v>-8455.9518965215248</v>
      </c>
      <c r="E355">
        <f t="shared" si="51"/>
        <v>4808.7769140233422</v>
      </c>
      <c r="F355">
        <f t="shared" si="54"/>
        <v>0.77311092573421214</v>
      </c>
      <c r="G355">
        <f t="shared" si="55"/>
        <v>1</v>
      </c>
      <c r="H355">
        <f t="shared" si="56"/>
        <v>4228.2001318432995</v>
      </c>
      <c r="K355">
        <v>0.32700000000000001</v>
      </c>
      <c r="L355">
        <f t="shared" si="52"/>
        <v>-9474.9518965215248</v>
      </c>
      <c r="M355">
        <f t="shared" si="53"/>
        <v>6021.01891203183</v>
      </c>
      <c r="N355">
        <f t="shared" si="57"/>
        <v>0.76676283157411151</v>
      </c>
      <c r="O355">
        <f t="shared" si="58"/>
        <v>1</v>
      </c>
      <c r="P355">
        <f t="shared" si="59"/>
        <v>5272.3048977148874</v>
      </c>
    </row>
    <row r="356" spans="3:16" x14ac:dyDescent="0.25">
      <c r="C356">
        <v>0.32800000000000001</v>
      </c>
      <c r="D356">
        <f t="shared" si="50"/>
        <v>-8443.100061113124</v>
      </c>
      <c r="E356">
        <f t="shared" si="51"/>
        <v>4806.100074744485</v>
      </c>
      <c r="F356">
        <f t="shared" si="54"/>
        <v>0.77463398602404743</v>
      </c>
      <c r="G356">
        <f t="shared" si="55"/>
        <v>1</v>
      </c>
      <c r="H356">
        <f t="shared" si="56"/>
        <v>4230.0069722033504</v>
      </c>
      <c r="K356">
        <v>0.32800000000000001</v>
      </c>
      <c r="L356">
        <f t="shared" si="52"/>
        <v>-9459.100061113124</v>
      </c>
      <c r="M356">
        <f t="shared" si="53"/>
        <v>6017.7172189806215</v>
      </c>
      <c r="N356">
        <f t="shared" si="57"/>
        <v>0.76828760459614032</v>
      </c>
      <c r="O356">
        <f t="shared" si="58"/>
        <v>1</v>
      </c>
      <c r="P356">
        <f t="shared" si="59"/>
        <v>5274.6505066774225</v>
      </c>
    </row>
    <row r="357" spans="3:16" x14ac:dyDescent="0.25">
      <c r="C357">
        <v>0.32900000000000001</v>
      </c>
      <c r="D357">
        <f t="shared" si="50"/>
        <v>-8430.2482257047213</v>
      </c>
      <c r="E357">
        <f t="shared" si="51"/>
        <v>4803.4232354656278</v>
      </c>
      <c r="F357">
        <f t="shared" si="54"/>
        <v>0.77615191708640918</v>
      </c>
      <c r="G357">
        <f t="shared" si="55"/>
        <v>1</v>
      </c>
      <c r="H357">
        <f t="shared" si="56"/>
        <v>4231.7911092614331</v>
      </c>
      <c r="K357">
        <v>0.32900000000000001</v>
      </c>
      <c r="L357">
        <f t="shared" si="52"/>
        <v>-9443.2482257047213</v>
      </c>
      <c r="M357">
        <f t="shared" si="53"/>
        <v>6014.4155259294139</v>
      </c>
      <c r="N357">
        <f t="shared" si="57"/>
        <v>0.7698073772069407</v>
      </c>
      <c r="O357">
        <f t="shared" si="58"/>
        <v>1</v>
      </c>
      <c r="P357">
        <f t="shared" si="59"/>
        <v>5276.9680394703373</v>
      </c>
    </row>
    <row r="358" spans="3:16" x14ac:dyDescent="0.25">
      <c r="C358">
        <v>0.33</v>
      </c>
      <c r="D358">
        <f t="shared" si="50"/>
        <v>-8417.3963902963187</v>
      </c>
      <c r="E358">
        <f t="shared" si="51"/>
        <v>4800.7463961867707</v>
      </c>
      <c r="F358">
        <f t="shared" si="54"/>
        <v>0.77766471892129718</v>
      </c>
      <c r="G358">
        <f t="shared" si="55"/>
        <v>1</v>
      </c>
      <c r="H358">
        <f t="shared" si="56"/>
        <v>4233.5526261763807</v>
      </c>
      <c r="K358">
        <v>0.33</v>
      </c>
      <c r="L358">
        <f t="shared" si="52"/>
        <v>-9427.3963902963187</v>
      </c>
      <c r="M358">
        <f t="shared" si="53"/>
        <v>6011.1138328782054</v>
      </c>
      <c r="N358">
        <f t="shared" si="57"/>
        <v>0.77132214940651234</v>
      </c>
      <c r="O358">
        <f t="shared" si="58"/>
        <v>1</v>
      </c>
      <c r="P358">
        <f t="shared" si="59"/>
        <v>5279.257598925672</v>
      </c>
    </row>
    <row r="359" spans="3:16" x14ac:dyDescent="0.25">
      <c r="C359">
        <v>0.33100000000000002</v>
      </c>
      <c r="D359">
        <f t="shared" si="50"/>
        <v>-8404.5445548879161</v>
      </c>
      <c r="E359">
        <f t="shared" si="51"/>
        <v>4798.0695569079126</v>
      </c>
      <c r="F359">
        <f t="shared" si="54"/>
        <v>0.77917239152871165</v>
      </c>
      <c r="G359">
        <f t="shared" si="55"/>
        <v>1</v>
      </c>
      <c r="H359">
        <f t="shared" si="56"/>
        <v>4235.2916055532878</v>
      </c>
      <c r="K359">
        <v>0.33100000000000002</v>
      </c>
      <c r="L359">
        <f t="shared" si="52"/>
        <v>-9411.5445548879161</v>
      </c>
      <c r="M359">
        <f t="shared" si="53"/>
        <v>6007.8121398269977</v>
      </c>
      <c r="N359">
        <f t="shared" si="57"/>
        <v>0.77283192119485533</v>
      </c>
      <c r="O359">
        <f t="shared" si="58"/>
        <v>1</v>
      </c>
      <c r="P359">
        <f t="shared" si="59"/>
        <v>5281.5192871896616</v>
      </c>
    </row>
    <row r="360" spans="3:16" x14ac:dyDescent="0.25">
      <c r="C360">
        <v>0.33200000000000002</v>
      </c>
      <c r="D360">
        <f t="shared" si="50"/>
        <v>-8391.6927194795135</v>
      </c>
      <c r="E360">
        <f t="shared" si="51"/>
        <v>4795.3927176290563</v>
      </c>
      <c r="F360">
        <f t="shared" si="54"/>
        <v>0.78067493490865236</v>
      </c>
      <c r="G360">
        <f t="shared" si="55"/>
        <v>1</v>
      </c>
      <c r="H360">
        <f t="shared" si="56"/>
        <v>4237.0081294490674</v>
      </c>
      <c r="K360">
        <v>0.33200000000000002</v>
      </c>
      <c r="L360">
        <f t="shared" si="52"/>
        <v>-9395.6927194795135</v>
      </c>
      <c r="M360">
        <f t="shared" si="53"/>
        <v>6004.5104467757892</v>
      </c>
      <c r="N360">
        <f t="shared" si="57"/>
        <v>0.77433669257196958</v>
      </c>
      <c r="O360">
        <f t="shared" si="58"/>
        <v>1</v>
      </c>
      <c r="P360">
        <f t="shared" si="59"/>
        <v>5283.7532057296139</v>
      </c>
    </row>
    <row r="361" spans="3:16" x14ac:dyDescent="0.25">
      <c r="C361">
        <v>0.33300000000000002</v>
      </c>
      <c r="D361">
        <f t="shared" si="50"/>
        <v>-8378.8408840711108</v>
      </c>
      <c r="E361">
        <f t="shared" si="51"/>
        <v>4792.7158783501982</v>
      </c>
      <c r="F361">
        <f t="shared" si="54"/>
        <v>0.78217234906111943</v>
      </c>
      <c r="G361">
        <f t="shared" si="55"/>
        <v>1</v>
      </c>
      <c r="H361">
        <f t="shared" si="56"/>
        <v>4238.7022793779188</v>
      </c>
      <c r="K361">
        <v>0.33300000000000002</v>
      </c>
      <c r="L361">
        <f t="shared" si="52"/>
        <v>-9379.8408840711108</v>
      </c>
      <c r="M361">
        <f t="shared" si="53"/>
        <v>6001.2087537245816</v>
      </c>
      <c r="N361">
        <f t="shared" si="57"/>
        <v>0.77583646353785529</v>
      </c>
      <c r="O361">
        <f t="shared" si="58"/>
        <v>1</v>
      </c>
      <c r="P361">
        <f t="shared" si="59"/>
        <v>5285.9594553407105</v>
      </c>
    </row>
    <row r="362" spans="3:16" x14ac:dyDescent="0.25">
      <c r="C362">
        <v>0.33400000000000002</v>
      </c>
      <c r="D362">
        <f t="shared" si="50"/>
        <v>-8365.9890486627082</v>
      </c>
      <c r="E362">
        <f t="shared" si="51"/>
        <v>4790.039039071341</v>
      </c>
      <c r="F362">
        <f t="shared" si="54"/>
        <v>0.78366463398611286</v>
      </c>
      <c r="G362">
        <f t="shared" si="55"/>
        <v>1</v>
      </c>
      <c r="H362">
        <f t="shared" si="56"/>
        <v>4240.3741363167519</v>
      </c>
      <c r="K362">
        <v>0.33400000000000002</v>
      </c>
      <c r="L362">
        <f t="shared" si="52"/>
        <v>-9363.9890486627082</v>
      </c>
      <c r="M362">
        <f t="shared" si="53"/>
        <v>5997.9070606733731</v>
      </c>
      <c r="N362">
        <f t="shared" si="57"/>
        <v>0.77733123409251226</v>
      </c>
      <c r="O362">
        <f t="shared" si="58"/>
        <v>1</v>
      </c>
      <c r="P362">
        <f t="shared" si="59"/>
        <v>5288.1381361526983</v>
      </c>
    </row>
    <row r="363" spans="3:16" x14ac:dyDescent="0.25">
      <c r="C363">
        <v>0.33500000000000002</v>
      </c>
      <c r="D363">
        <f t="shared" si="50"/>
        <v>-8353.1372132543074</v>
      </c>
      <c r="E363">
        <f t="shared" si="51"/>
        <v>4787.3621997924838</v>
      </c>
      <c r="F363">
        <f t="shared" si="54"/>
        <v>0.78515178968363231</v>
      </c>
      <c r="G363">
        <f t="shared" si="55"/>
        <v>1</v>
      </c>
      <c r="H363">
        <f t="shared" si="56"/>
        <v>4242.0237807105068</v>
      </c>
      <c r="K363">
        <v>0.33500000000000002</v>
      </c>
      <c r="L363">
        <f t="shared" si="52"/>
        <v>-9348.1372132543074</v>
      </c>
      <c r="M363">
        <f t="shared" si="53"/>
        <v>5994.6053676221654</v>
      </c>
      <c r="N363">
        <f t="shared" si="57"/>
        <v>0.77882100423594047</v>
      </c>
      <c r="O363">
        <f t="shared" si="58"/>
        <v>1</v>
      </c>
      <c r="P363">
        <f t="shared" si="59"/>
        <v>5290.289347636518</v>
      </c>
    </row>
    <row r="364" spans="3:16" x14ac:dyDescent="0.25">
      <c r="C364">
        <v>0.33600000000000002</v>
      </c>
      <c r="D364">
        <f t="shared" si="50"/>
        <v>-8340.285377845903</v>
      </c>
      <c r="E364">
        <f t="shared" si="51"/>
        <v>4784.6853605136266</v>
      </c>
      <c r="F364">
        <f t="shared" si="54"/>
        <v>0.78663381615367856</v>
      </c>
      <c r="G364">
        <f t="shared" si="55"/>
        <v>1</v>
      </c>
      <c r="H364">
        <f t="shared" si="56"/>
        <v>4243.6512924774343</v>
      </c>
      <c r="K364">
        <v>0.33600000000000002</v>
      </c>
      <c r="L364">
        <f t="shared" si="52"/>
        <v>-9332.285377845903</v>
      </c>
      <c r="M364">
        <f t="shared" si="53"/>
        <v>5991.3036745709569</v>
      </c>
      <c r="N364">
        <f t="shared" si="57"/>
        <v>0.78030577396814027</v>
      </c>
      <c r="O364">
        <f t="shared" si="58"/>
        <v>1</v>
      </c>
      <c r="P364">
        <f t="shared" si="59"/>
        <v>5292.413188610818</v>
      </c>
    </row>
    <row r="365" spans="3:16" x14ac:dyDescent="0.25">
      <c r="C365">
        <v>0.33700000000000002</v>
      </c>
      <c r="D365">
        <f t="shared" si="50"/>
        <v>-8327.4335424375022</v>
      </c>
      <c r="E365">
        <f t="shared" si="51"/>
        <v>4782.0085212347694</v>
      </c>
      <c r="F365">
        <f t="shared" si="54"/>
        <v>0.78811071339625072</v>
      </c>
      <c r="G365">
        <f t="shared" si="55"/>
        <v>1</v>
      </c>
      <c r="H365">
        <f t="shared" si="56"/>
        <v>4245.2567510142808</v>
      </c>
      <c r="K365">
        <v>0.33700000000000002</v>
      </c>
      <c r="L365">
        <f t="shared" si="52"/>
        <v>-9316.4335424375022</v>
      </c>
      <c r="M365">
        <f t="shared" si="53"/>
        <v>5988.0019815197493</v>
      </c>
      <c r="N365">
        <f t="shared" si="57"/>
        <v>0.7817855432891111</v>
      </c>
      <c r="O365">
        <f t="shared" si="58"/>
        <v>1</v>
      </c>
      <c r="P365">
        <f t="shared" si="59"/>
        <v>5294.5097572484119</v>
      </c>
    </row>
    <row r="366" spans="3:16" x14ac:dyDescent="0.25">
      <c r="C366">
        <v>0.33800000000000002</v>
      </c>
      <c r="D366">
        <f t="shared" si="50"/>
        <v>-8314.5817070290977</v>
      </c>
      <c r="E366">
        <f t="shared" si="51"/>
        <v>4779.3316819559122</v>
      </c>
      <c r="F366">
        <f t="shared" si="54"/>
        <v>0.78958248141134968</v>
      </c>
      <c r="G366">
        <f t="shared" si="55"/>
        <v>1</v>
      </c>
      <c r="H366">
        <f t="shared" si="56"/>
        <v>4246.8402352014282</v>
      </c>
      <c r="K366">
        <v>0.33800000000000002</v>
      </c>
      <c r="L366">
        <f t="shared" si="52"/>
        <v>-9300.5817070290977</v>
      </c>
      <c r="M366">
        <f t="shared" si="53"/>
        <v>5984.7002884685407</v>
      </c>
      <c r="N366">
        <f t="shared" si="57"/>
        <v>0.78326031219885361</v>
      </c>
      <c r="O366">
        <f t="shared" si="58"/>
        <v>1</v>
      </c>
      <c r="P366">
        <f t="shared" si="59"/>
        <v>5296.5791510826248</v>
      </c>
    </row>
    <row r="367" spans="3:16" x14ac:dyDescent="0.25">
      <c r="C367">
        <v>0.33900000000000002</v>
      </c>
      <c r="D367">
        <f t="shared" si="50"/>
        <v>-8301.7298716206969</v>
      </c>
      <c r="E367">
        <f t="shared" si="51"/>
        <v>4776.6548426770551</v>
      </c>
      <c r="F367">
        <f t="shared" si="54"/>
        <v>0.79104912019897444</v>
      </c>
      <c r="G367">
        <f t="shared" si="55"/>
        <v>1</v>
      </c>
      <c r="H367">
        <f t="shared" si="56"/>
        <v>4248.4018234079485</v>
      </c>
      <c r="K367">
        <v>0.33900000000000002</v>
      </c>
      <c r="L367">
        <f t="shared" si="52"/>
        <v>-9284.7298716206969</v>
      </c>
      <c r="M367">
        <f t="shared" si="53"/>
        <v>5981.3985954173331</v>
      </c>
      <c r="N367">
        <f t="shared" si="57"/>
        <v>0.78473008069736716</v>
      </c>
      <c r="O367">
        <f t="shared" si="58"/>
        <v>1</v>
      </c>
      <c r="P367">
        <f t="shared" si="59"/>
        <v>5298.6214670135778</v>
      </c>
    </row>
    <row r="368" spans="3:16" x14ac:dyDescent="0.25">
      <c r="C368">
        <v>0.34</v>
      </c>
      <c r="D368">
        <f t="shared" si="50"/>
        <v>-8288.8780362122925</v>
      </c>
      <c r="E368">
        <f t="shared" si="51"/>
        <v>4773.978003398197</v>
      </c>
      <c r="F368">
        <f t="shared" si="54"/>
        <v>0.79251062975912601</v>
      </c>
      <c r="G368">
        <f t="shared" si="55"/>
        <v>1</v>
      </c>
      <c r="H368">
        <f t="shared" si="56"/>
        <v>4249.94159349661</v>
      </c>
      <c r="K368">
        <v>0.34</v>
      </c>
      <c r="L368">
        <f t="shared" si="52"/>
        <v>-9268.8780362122925</v>
      </c>
      <c r="M368">
        <f t="shared" si="53"/>
        <v>5978.0969023661246</v>
      </c>
      <c r="N368">
        <f t="shared" si="57"/>
        <v>0.7861948487846524</v>
      </c>
      <c r="O368">
        <f t="shared" si="58"/>
        <v>1</v>
      </c>
      <c r="P368">
        <f t="shared" si="59"/>
        <v>5300.636801314381</v>
      </c>
    </row>
    <row r="369" spans="3:16" x14ac:dyDescent="0.25">
      <c r="C369">
        <v>0.34100000000000003</v>
      </c>
      <c r="D369">
        <f t="shared" si="50"/>
        <v>-8276.0262008038917</v>
      </c>
      <c r="E369">
        <f t="shared" si="51"/>
        <v>4771.3011641193407</v>
      </c>
      <c r="F369">
        <f t="shared" si="54"/>
        <v>0.79396701009180359</v>
      </c>
      <c r="G369">
        <f t="shared" si="55"/>
        <v>1</v>
      </c>
      <c r="H369">
        <f t="shared" si="56"/>
        <v>4251.4596228288037</v>
      </c>
      <c r="K369">
        <v>0.34100000000000003</v>
      </c>
      <c r="L369">
        <f t="shared" si="52"/>
        <v>-9253.0262008038917</v>
      </c>
      <c r="M369">
        <f t="shared" si="53"/>
        <v>5974.795209314917</v>
      </c>
      <c r="N369">
        <f t="shared" si="57"/>
        <v>0.78765461646070856</v>
      </c>
      <c r="O369">
        <f t="shared" si="58"/>
        <v>1</v>
      </c>
      <c r="P369">
        <f t="shared" si="59"/>
        <v>5302.6252496372463</v>
      </c>
    </row>
    <row r="370" spans="3:16" x14ac:dyDescent="0.25">
      <c r="C370">
        <v>0.34200000000000003</v>
      </c>
      <c r="D370">
        <f t="shared" si="50"/>
        <v>-8263.1743653954891</v>
      </c>
      <c r="E370">
        <f t="shared" si="51"/>
        <v>4768.6243248404826</v>
      </c>
      <c r="F370">
        <f t="shared" si="54"/>
        <v>0.79541826119700754</v>
      </c>
      <c r="G370">
        <f t="shared" si="55"/>
        <v>1</v>
      </c>
      <c r="H370">
        <f t="shared" si="56"/>
        <v>4252.9559882694102</v>
      </c>
      <c r="K370">
        <v>0.34200000000000003</v>
      </c>
      <c r="L370">
        <f t="shared" si="52"/>
        <v>-9237.1743653954891</v>
      </c>
      <c r="M370">
        <f t="shared" si="53"/>
        <v>5971.4935162637084</v>
      </c>
      <c r="N370">
        <f t="shared" si="57"/>
        <v>0.7891093837255363</v>
      </c>
      <c r="O370">
        <f t="shared" si="58"/>
        <v>1</v>
      </c>
      <c r="P370">
        <f t="shared" si="59"/>
        <v>5304.5869070195258</v>
      </c>
    </row>
    <row r="371" spans="3:16" x14ac:dyDescent="0.25">
      <c r="C371">
        <v>0.34300000000000003</v>
      </c>
      <c r="D371">
        <f t="shared" si="50"/>
        <v>-8250.3225299870865</v>
      </c>
      <c r="E371">
        <f t="shared" si="51"/>
        <v>4765.9474855616263</v>
      </c>
      <c r="F371">
        <f t="shared" si="54"/>
        <v>0.79686438307473795</v>
      </c>
      <c r="G371">
        <f t="shared" si="55"/>
        <v>1</v>
      </c>
      <c r="H371">
        <f t="shared" si="56"/>
        <v>4254.4307661916218</v>
      </c>
      <c r="K371">
        <v>0.34300000000000003</v>
      </c>
      <c r="L371">
        <f t="shared" si="52"/>
        <v>-9221.3225299870865</v>
      </c>
      <c r="M371">
        <f t="shared" si="53"/>
        <v>5968.1918232125008</v>
      </c>
      <c r="N371">
        <f t="shared" si="57"/>
        <v>0.79055915057913528</v>
      </c>
      <c r="O371">
        <f t="shared" si="58"/>
        <v>1</v>
      </c>
      <c r="P371">
        <f t="shared" si="59"/>
        <v>5306.5218678896726</v>
      </c>
    </row>
    <row r="372" spans="3:16" x14ac:dyDescent="0.25">
      <c r="C372">
        <v>0.34399999999999997</v>
      </c>
      <c r="D372">
        <f t="shared" si="50"/>
        <v>-8237.4706945786857</v>
      </c>
      <c r="E372">
        <f t="shared" si="51"/>
        <v>4763.2706462827691</v>
      </c>
      <c r="F372">
        <f t="shared" si="54"/>
        <v>0.79830537572499438</v>
      </c>
      <c r="G372">
        <f t="shared" si="55"/>
        <v>1</v>
      </c>
      <c r="H372">
        <f t="shared" si="56"/>
        <v>4255.8840324816629</v>
      </c>
      <c r="K372">
        <v>0.34399999999999997</v>
      </c>
      <c r="L372">
        <f t="shared" si="52"/>
        <v>-9205.4706945786857</v>
      </c>
      <c r="M372">
        <f t="shared" si="53"/>
        <v>5964.8901301612932</v>
      </c>
      <c r="N372">
        <f t="shared" si="57"/>
        <v>0.79200391702150552</v>
      </c>
      <c r="O372">
        <f t="shared" si="58"/>
        <v>1</v>
      </c>
      <c r="P372">
        <f t="shared" si="59"/>
        <v>5308.4302260731156</v>
      </c>
    </row>
    <row r="373" spans="3:16" x14ac:dyDescent="0.25">
      <c r="C373">
        <v>0.34499999999999997</v>
      </c>
      <c r="D373">
        <f t="shared" si="50"/>
        <v>-8224.6188591702812</v>
      </c>
      <c r="E373">
        <f t="shared" si="51"/>
        <v>4760.593807003911</v>
      </c>
      <c r="F373">
        <f t="shared" si="54"/>
        <v>0.79974123914777762</v>
      </c>
      <c r="G373">
        <f t="shared" si="55"/>
        <v>1</v>
      </c>
      <c r="H373">
        <f t="shared" si="56"/>
        <v>4257.315862543499</v>
      </c>
      <c r="K373">
        <v>0.34499999999999997</v>
      </c>
      <c r="L373">
        <f t="shared" si="52"/>
        <v>-9189.6188591702812</v>
      </c>
      <c r="M373">
        <f t="shared" si="53"/>
        <v>5961.5884371100847</v>
      </c>
      <c r="N373">
        <f t="shared" si="57"/>
        <v>0.79344368305264745</v>
      </c>
      <c r="O373">
        <f t="shared" si="58"/>
        <v>1</v>
      </c>
      <c r="P373">
        <f t="shared" si="59"/>
        <v>5310.3120747980747</v>
      </c>
    </row>
    <row r="374" spans="3:16" x14ac:dyDescent="0.25">
      <c r="C374">
        <v>0.34599999999999997</v>
      </c>
      <c r="D374">
        <f t="shared" si="50"/>
        <v>-8211.7670237618804</v>
      </c>
      <c r="E374">
        <f t="shared" si="51"/>
        <v>4757.9169677250538</v>
      </c>
      <c r="F374">
        <f t="shared" si="54"/>
        <v>0.80117197334308676</v>
      </c>
      <c r="G374">
        <f t="shared" si="55"/>
        <v>1</v>
      </c>
      <c r="H374">
        <f t="shared" si="56"/>
        <v>4258.7263313034464</v>
      </c>
      <c r="K374">
        <v>0.34599999999999997</v>
      </c>
      <c r="L374">
        <f t="shared" si="52"/>
        <v>-9173.7670237618804</v>
      </c>
      <c r="M374">
        <f t="shared" si="53"/>
        <v>5958.2867440588761</v>
      </c>
      <c r="N374">
        <f t="shared" si="57"/>
        <v>0.79487844867256041</v>
      </c>
      <c r="O374">
        <f t="shared" si="58"/>
        <v>1</v>
      </c>
      <c r="P374">
        <f t="shared" si="59"/>
        <v>5312.1675067012902</v>
      </c>
    </row>
    <row r="375" spans="3:16" x14ac:dyDescent="0.25">
      <c r="C375">
        <v>0.34699999999999998</v>
      </c>
      <c r="D375">
        <f t="shared" si="50"/>
        <v>-8198.915188353476</v>
      </c>
      <c r="E375">
        <f t="shared" si="51"/>
        <v>4755.2401284461966</v>
      </c>
      <c r="F375">
        <f t="shared" si="54"/>
        <v>0.8025975783109226</v>
      </c>
      <c r="G375">
        <f t="shared" si="55"/>
        <v>1</v>
      </c>
      <c r="H375">
        <f t="shared" si="56"/>
        <v>4260.115513214746</v>
      </c>
      <c r="K375">
        <v>0.34699999999999998</v>
      </c>
      <c r="L375">
        <f t="shared" si="52"/>
        <v>-9157.915188353476</v>
      </c>
      <c r="M375">
        <f t="shared" si="53"/>
        <v>5954.9850510076685</v>
      </c>
      <c r="N375">
        <f t="shared" si="57"/>
        <v>0.79630821388124495</v>
      </c>
      <c r="O375">
        <f t="shared" si="58"/>
        <v>1</v>
      </c>
      <c r="P375">
        <f t="shared" si="59"/>
        <v>5313.9966138336877</v>
      </c>
    </row>
    <row r="376" spans="3:16" x14ac:dyDescent="0.25">
      <c r="C376">
        <v>0.34799999999999998</v>
      </c>
      <c r="D376">
        <f t="shared" si="50"/>
        <v>-8186.0633529450743</v>
      </c>
      <c r="E376">
        <f t="shared" si="51"/>
        <v>4752.5632891673395</v>
      </c>
      <c r="F376">
        <f t="shared" si="54"/>
        <v>0.80401805405128446</v>
      </c>
      <c r="G376">
        <f t="shared" si="55"/>
        <v>1</v>
      </c>
      <c r="H376">
        <f t="shared" si="56"/>
        <v>4261.483482262066</v>
      </c>
      <c r="K376">
        <v>0.34799999999999998</v>
      </c>
      <c r="L376">
        <f t="shared" si="52"/>
        <v>-9142.0633529450752</v>
      </c>
      <c r="M376">
        <f t="shared" si="53"/>
        <v>5951.6833579564609</v>
      </c>
      <c r="N376">
        <f t="shared" si="57"/>
        <v>0.79773297867870052</v>
      </c>
      <c r="O376">
        <f t="shared" si="58"/>
        <v>1</v>
      </c>
      <c r="P376">
        <f t="shared" si="59"/>
        <v>5315.7994876659577</v>
      </c>
    </row>
    <row r="377" spans="3:16" x14ac:dyDescent="0.25">
      <c r="C377">
        <v>0.34899999999999998</v>
      </c>
      <c r="D377">
        <f t="shared" si="50"/>
        <v>-8173.2115175366725</v>
      </c>
      <c r="E377">
        <f t="shared" si="51"/>
        <v>4749.8864498884823</v>
      </c>
      <c r="F377">
        <f t="shared" si="54"/>
        <v>0.80543340056417267</v>
      </c>
      <c r="G377">
        <f t="shared" si="55"/>
        <v>1</v>
      </c>
      <c r="H377">
        <f t="shared" si="56"/>
        <v>4262.8303119659586</v>
      </c>
      <c r="K377">
        <v>0.34899999999999998</v>
      </c>
      <c r="L377">
        <f t="shared" si="52"/>
        <v>-9126.2115175366725</v>
      </c>
      <c r="M377">
        <f t="shared" si="53"/>
        <v>5948.3816649052524</v>
      </c>
      <c r="N377">
        <f t="shared" si="57"/>
        <v>0.79915274306492756</v>
      </c>
      <c r="O377">
        <f t="shared" si="58"/>
        <v>1</v>
      </c>
      <c r="P377">
        <f t="shared" si="59"/>
        <v>5317.5762190940841</v>
      </c>
    </row>
    <row r="378" spans="3:16" x14ac:dyDescent="0.25">
      <c r="C378">
        <v>0.35</v>
      </c>
      <c r="D378">
        <f t="shared" si="50"/>
        <v>-8160.3596821282699</v>
      </c>
      <c r="E378">
        <f t="shared" si="51"/>
        <v>4747.2096106096251</v>
      </c>
      <c r="F378">
        <f t="shared" si="54"/>
        <v>0.80684361784958736</v>
      </c>
      <c r="G378">
        <f t="shared" si="55"/>
        <v>1</v>
      </c>
      <c r="H378">
        <f t="shared" si="56"/>
        <v>4264.1560753872545</v>
      </c>
      <c r="K378">
        <v>0.35</v>
      </c>
      <c r="L378">
        <f t="shared" si="52"/>
        <v>-9110.3596821282699</v>
      </c>
      <c r="M378">
        <f t="shared" si="53"/>
        <v>5945.0799718540438</v>
      </c>
      <c r="N378">
        <f t="shared" si="57"/>
        <v>0.80056750703992596</v>
      </c>
      <c r="O378">
        <f t="shared" si="58"/>
        <v>1</v>
      </c>
      <c r="P378">
        <f t="shared" si="59"/>
        <v>5319.3268984447886</v>
      </c>
    </row>
    <row r="379" spans="3:16" x14ac:dyDescent="0.25">
      <c r="C379">
        <v>0.35099999999999998</v>
      </c>
      <c r="D379">
        <f t="shared" si="50"/>
        <v>-8147.5078467198673</v>
      </c>
      <c r="E379">
        <f t="shared" si="51"/>
        <v>4744.5327713307679</v>
      </c>
      <c r="F379">
        <f t="shared" si="54"/>
        <v>0.80824870590752829</v>
      </c>
      <c r="G379">
        <f t="shared" si="55"/>
        <v>1</v>
      </c>
      <c r="H379">
        <f t="shared" si="56"/>
        <v>4265.4608451313998</v>
      </c>
      <c r="K379">
        <v>0.35099999999999998</v>
      </c>
      <c r="L379">
        <f t="shared" si="52"/>
        <v>-9094.5078467198673</v>
      </c>
      <c r="M379">
        <f t="shared" si="53"/>
        <v>5941.7782788028362</v>
      </c>
      <c r="N379">
        <f t="shared" si="57"/>
        <v>0.80197727060369572</v>
      </c>
      <c r="O379">
        <f t="shared" si="58"/>
        <v>1</v>
      </c>
      <c r="P379">
        <f t="shared" si="59"/>
        <v>5321.0516154809102</v>
      </c>
    </row>
    <row r="380" spans="3:16" x14ac:dyDescent="0.25">
      <c r="C380">
        <v>0.35199999999999998</v>
      </c>
      <c r="D380">
        <f t="shared" si="50"/>
        <v>-8134.6560113114647</v>
      </c>
      <c r="E380">
        <f t="shared" si="51"/>
        <v>4741.8559320519107</v>
      </c>
      <c r="F380">
        <f t="shared" si="54"/>
        <v>0.80964866473799568</v>
      </c>
      <c r="G380">
        <f t="shared" si="55"/>
        <v>1</v>
      </c>
      <c r="H380">
        <f t="shared" si="56"/>
        <v>4266.7446933527481</v>
      </c>
      <c r="K380">
        <v>0.35199999999999998</v>
      </c>
      <c r="L380">
        <f t="shared" si="52"/>
        <v>-9078.6560113114647</v>
      </c>
      <c r="M380">
        <f t="shared" si="53"/>
        <v>5938.4765857516277</v>
      </c>
      <c r="N380">
        <f t="shared" si="57"/>
        <v>0.80338203375623685</v>
      </c>
      <c r="O380">
        <f t="shared" si="58"/>
        <v>1</v>
      </c>
      <c r="P380">
        <f t="shared" si="59"/>
        <v>5322.7504594067204</v>
      </c>
    </row>
    <row r="381" spans="3:16" x14ac:dyDescent="0.25">
      <c r="C381">
        <v>0.35299999999999998</v>
      </c>
      <c r="D381">
        <f t="shared" si="50"/>
        <v>-8121.8041759030621</v>
      </c>
      <c r="E381">
        <f t="shared" si="51"/>
        <v>4739.1790927730526</v>
      </c>
      <c r="F381">
        <f t="shared" si="54"/>
        <v>0.81104349434098932</v>
      </c>
      <c r="G381">
        <f t="shared" si="55"/>
        <v>1</v>
      </c>
      <c r="H381">
        <f t="shared" si="56"/>
        <v>4268.0076917587858</v>
      </c>
      <c r="K381">
        <v>0.35299999999999998</v>
      </c>
      <c r="L381">
        <f t="shared" si="52"/>
        <v>-9062.8041759030621</v>
      </c>
      <c r="M381">
        <f t="shared" si="53"/>
        <v>5935.1748927004201</v>
      </c>
      <c r="N381">
        <f t="shared" si="57"/>
        <v>0.80478179649754922</v>
      </c>
      <c r="O381">
        <f t="shared" si="58"/>
        <v>1</v>
      </c>
      <c r="P381">
        <f t="shared" si="59"/>
        <v>5324.4235188731718</v>
      </c>
    </row>
    <row r="382" spans="3:16" x14ac:dyDescent="0.25">
      <c r="C382">
        <v>0.35399999999999998</v>
      </c>
      <c r="D382">
        <f t="shared" si="50"/>
        <v>-8108.9523404946594</v>
      </c>
      <c r="E382">
        <f t="shared" si="51"/>
        <v>4736.5022534941954</v>
      </c>
      <c r="F382">
        <f t="shared" si="54"/>
        <v>0.81243319471650932</v>
      </c>
      <c r="G382">
        <f t="shared" si="55"/>
        <v>1</v>
      </c>
      <c r="H382">
        <f t="shared" si="56"/>
        <v>4269.2499116143208</v>
      </c>
      <c r="K382">
        <v>0.35399999999999998</v>
      </c>
      <c r="L382">
        <f t="shared" si="52"/>
        <v>-9046.9523404946594</v>
      </c>
      <c r="M382">
        <f t="shared" si="53"/>
        <v>5931.8731996492115</v>
      </c>
      <c r="N382">
        <f t="shared" si="57"/>
        <v>0.80617655882763306</v>
      </c>
      <c r="O382">
        <f t="shared" si="58"/>
        <v>1</v>
      </c>
      <c r="P382">
        <f t="shared" si="59"/>
        <v>5326.0708819830716</v>
      </c>
    </row>
    <row r="383" spans="3:16" x14ac:dyDescent="0.25">
      <c r="C383">
        <v>0.35499999999999998</v>
      </c>
      <c r="D383">
        <f t="shared" si="50"/>
        <v>-8096.1005050862577</v>
      </c>
      <c r="E383">
        <f t="shared" si="51"/>
        <v>4733.8254142153382</v>
      </c>
      <c r="F383">
        <f t="shared" si="54"/>
        <v>0.81381776586455545</v>
      </c>
      <c r="G383">
        <f t="shared" si="55"/>
        <v>1</v>
      </c>
      <c r="H383">
        <f t="shared" si="56"/>
        <v>4270.4714237456028</v>
      </c>
      <c r="K383">
        <v>0.35499999999999998</v>
      </c>
      <c r="L383">
        <f t="shared" si="52"/>
        <v>-9031.1005050862586</v>
      </c>
      <c r="M383">
        <f t="shared" si="53"/>
        <v>5928.5715065980039</v>
      </c>
      <c r="N383">
        <f t="shared" si="57"/>
        <v>0.80756632074648804</v>
      </c>
      <c r="O383">
        <f t="shared" si="58"/>
        <v>1</v>
      </c>
      <c r="P383">
        <f t="shared" si="59"/>
        <v>5327.6926362962113</v>
      </c>
    </row>
    <row r="384" spans="3:16" x14ac:dyDescent="0.25">
      <c r="C384">
        <v>0.35599999999999998</v>
      </c>
      <c r="D384">
        <f t="shared" si="50"/>
        <v>-8083.2486696778551</v>
      </c>
      <c r="E384">
        <f t="shared" si="51"/>
        <v>4731.1485749364811</v>
      </c>
      <c r="F384">
        <f t="shared" si="54"/>
        <v>0.81519720778512805</v>
      </c>
      <c r="G384">
        <f t="shared" si="55"/>
        <v>1</v>
      </c>
      <c r="H384">
        <f t="shared" si="56"/>
        <v>4271.6722985444021</v>
      </c>
      <c r="K384">
        <v>0.35599999999999998</v>
      </c>
      <c r="L384">
        <f t="shared" si="52"/>
        <v>-9015.2486696778542</v>
      </c>
      <c r="M384">
        <f t="shared" si="53"/>
        <v>5925.2698135467954</v>
      </c>
      <c r="N384">
        <f t="shared" si="57"/>
        <v>0.80895108225411461</v>
      </c>
      <c r="O384">
        <f t="shared" si="58"/>
        <v>1</v>
      </c>
      <c r="P384">
        <f t="shared" si="59"/>
        <v>5329.288868834411</v>
      </c>
    </row>
    <row r="385" spans="3:16" x14ac:dyDescent="0.25">
      <c r="C385">
        <v>0.35699999999999998</v>
      </c>
      <c r="D385">
        <f t="shared" si="50"/>
        <v>-8070.3968342694525</v>
      </c>
      <c r="E385">
        <f t="shared" si="51"/>
        <v>4728.4717356576239</v>
      </c>
      <c r="F385">
        <f t="shared" si="54"/>
        <v>0.81657152047822701</v>
      </c>
      <c r="G385">
        <f t="shared" si="55"/>
        <v>1</v>
      </c>
      <c r="H385">
        <f t="shared" si="56"/>
        <v>4272.8526059720416</v>
      </c>
      <c r="K385">
        <v>0.35699999999999998</v>
      </c>
      <c r="L385">
        <f t="shared" si="52"/>
        <v>-8999.3968342694534</v>
      </c>
      <c r="M385">
        <f t="shared" si="53"/>
        <v>5921.9681204955878</v>
      </c>
      <c r="N385">
        <f t="shared" si="57"/>
        <v>0.81033084335051231</v>
      </c>
      <c r="O385">
        <f t="shared" si="58"/>
        <v>1</v>
      </c>
      <c r="P385">
        <f t="shared" si="59"/>
        <v>5330.8596660865151</v>
      </c>
    </row>
    <row r="386" spans="3:16" x14ac:dyDescent="0.25">
      <c r="C386">
        <v>0.35799999999999998</v>
      </c>
      <c r="D386">
        <f t="shared" si="50"/>
        <v>-8057.5449988610499</v>
      </c>
      <c r="E386">
        <f t="shared" si="51"/>
        <v>4725.7948963787667</v>
      </c>
      <c r="F386">
        <f t="shared" si="54"/>
        <v>0.81794070394385232</v>
      </c>
      <c r="G386">
        <f t="shared" si="55"/>
        <v>1</v>
      </c>
      <c r="H386">
        <f t="shared" si="56"/>
        <v>4274.0124155633675</v>
      </c>
      <c r="K386">
        <v>0.35799999999999998</v>
      </c>
      <c r="L386">
        <f t="shared" si="52"/>
        <v>-8983.544998861049</v>
      </c>
      <c r="M386">
        <f t="shared" si="53"/>
        <v>5918.6664274443792</v>
      </c>
      <c r="N386">
        <f t="shared" si="57"/>
        <v>0.81170560403568148</v>
      </c>
      <c r="O386">
        <f t="shared" si="58"/>
        <v>1</v>
      </c>
      <c r="P386">
        <f t="shared" si="59"/>
        <v>5332.4051140133197</v>
      </c>
    </row>
    <row r="387" spans="3:16" x14ac:dyDescent="0.25">
      <c r="C387">
        <v>0.35899999999999999</v>
      </c>
      <c r="D387">
        <f t="shared" si="50"/>
        <v>-8044.6931634526472</v>
      </c>
      <c r="E387">
        <f t="shared" si="51"/>
        <v>4723.1180570999095</v>
      </c>
      <c r="F387">
        <f t="shared" si="54"/>
        <v>0.81930475818200388</v>
      </c>
      <c r="G387">
        <f t="shared" si="55"/>
        <v>1</v>
      </c>
      <c r="H387">
        <f t="shared" si="56"/>
        <v>4275.1517964306786</v>
      </c>
      <c r="K387">
        <v>0.35899999999999999</v>
      </c>
      <c r="L387">
        <f t="shared" si="52"/>
        <v>-8967.6931634526482</v>
      </c>
      <c r="M387">
        <f t="shared" si="53"/>
        <v>5915.3647343931716</v>
      </c>
      <c r="N387">
        <f t="shared" si="57"/>
        <v>0.8130753643096218</v>
      </c>
      <c r="O387">
        <f t="shared" si="58"/>
        <v>1</v>
      </c>
      <c r="P387">
        <f t="shared" si="59"/>
        <v>5333.9252980524479</v>
      </c>
    </row>
    <row r="388" spans="3:16" x14ac:dyDescent="0.25">
      <c r="C388">
        <v>0.36</v>
      </c>
      <c r="D388">
        <f t="shared" si="50"/>
        <v>-8031.8413280442446</v>
      </c>
      <c r="E388">
        <f t="shared" si="51"/>
        <v>4720.4412178210523</v>
      </c>
      <c r="F388">
        <f t="shared" si="54"/>
        <v>0.8206636831926819</v>
      </c>
      <c r="G388">
        <f t="shared" si="55"/>
        <v>1</v>
      </c>
      <c r="H388">
        <f t="shared" si="56"/>
        <v>4276.2708172676121</v>
      </c>
      <c r="K388">
        <v>0.36</v>
      </c>
      <c r="L388">
        <f t="shared" si="52"/>
        <v>-8951.8413280442437</v>
      </c>
      <c r="M388">
        <f t="shared" si="53"/>
        <v>5912.0630413419631</v>
      </c>
      <c r="N388">
        <f t="shared" si="57"/>
        <v>0.8144401241723338</v>
      </c>
      <c r="O388">
        <f t="shared" si="58"/>
        <v>1</v>
      </c>
      <c r="P388">
        <f t="shared" si="59"/>
        <v>5335.4203031231555</v>
      </c>
    </row>
    <row r="389" spans="3:16" x14ac:dyDescent="0.25">
      <c r="C389">
        <v>0.36099999999999999</v>
      </c>
      <c r="D389">
        <f t="shared" si="50"/>
        <v>-8018.9894926358429</v>
      </c>
      <c r="E389">
        <f t="shared" si="51"/>
        <v>4717.7643785421951</v>
      </c>
      <c r="F389">
        <f t="shared" si="54"/>
        <v>0.82201747897588606</v>
      </c>
      <c r="G389">
        <f t="shared" si="55"/>
        <v>1</v>
      </c>
      <c r="H389">
        <f t="shared" si="56"/>
        <v>4277.3695463529675</v>
      </c>
      <c r="K389">
        <v>0.36099999999999999</v>
      </c>
      <c r="L389">
        <f t="shared" si="52"/>
        <v>-8935.9894926358429</v>
      </c>
      <c r="M389">
        <f t="shared" si="53"/>
        <v>5908.7613482907554</v>
      </c>
      <c r="N389">
        <f t="shared" si="57"/>
        <v>0.81579988362381672</v>
      </c>
      <c r="O389">
        <f t="shared" si="58"/>
        <v>1</v>
      </c>
      <c r="P389">
        <f t="shared" si="59"/>
        <v>5336.8902136310799</v>
      </c>
    </row>
    <row r="390" spans="3:16" x14ac:dyDescent="0.25">
      <c r="C390">
        <v>0.36199999999999999</v>
      </c>
      <c r="D390">
        <f t="shared" si="50"/>
        <v>-8006.1376572274403</v>
      </c>
      <c r="E390">
        <f t="shared" si="51"/>
        <v>4715.0875392633379</v>
      </c>
      <c r="F390">
        <f t="shared" si="54"/>
        <v>0.82336614553161658</v>
      </c>
      <c r="G390">
        <f t="shared" si="55"/>
        <v>1</v>
      </c>
      <c r="H390">
        <f t="shared" si="56"/>
        <v>4278.4480515545019</v>
      </c>
      <c r="K390">
        <v>0.36199999999999999</v>
      </c>
      <c r="L390">
        <f t="shared" si="52"/>
        <v>-8920.1376572274403</v>
      </c>
      <c r="M390">
        <f t="shared" si="53"/>
        <v>5905.4596552395469</v>
      </c>
      <c r="N390">
        <f t="shared" si="57"/>
        <v>0.81715464266407123</v>
      </c>
      <c r="O390">
        <f t="shared" si="58"/>
        <v>1</v>
      </c>
      <c r="P390">
        <f t="shared" si="59"/>
        <v>5338.3351134729428</v>
      </c>
    </row>
    <row r="391" spans="3:16" x14ac:dyDescent="0.25">
      <c r="C391">
        <v>0.36299999999999999</v>
      </c>
      <c r="D391">
        <f t="shared" si="50"/>
        <v>-7993.2858218190377</v>
      </c>
      <c r="E391">
        <f t="shared" si="51"/>
        <v>4712.4106999844807</v>
      </c>
      <c r="F391">
        <f t="shared" si="54"/>
        <v>0.82470968285987356</v>
      </c>
      <c r="G391">
        <f t="shared" si="55"/>
        <v>1</v>
      </c>
      <c r="H391">
        <f t="shared" si="56"/>
        <v>4279.5064003326652</v>
      </c>
      <c r="K391">
        <v>0.36299999999999999</v>
      </c>
      <c r="L391">
        <f t="shared" si="52"/>
        <v>-8904.2858218190377</v>
      </c>
      <c r="M391">
        <f t="shared" si="53"/>
        <v>5902.1579621883393</v>
      </c>
      <c r="N391">
        <f t="shared" si="57"/>
        <v>0.81850440129309709</v>
      </c>
      <c r="O391">
        <f t="shared" si="58"/>
        <v>1</v>
      </c>
      <c r="P391">
        <f t="shared" si="59"/>
        <v>5339.7550860411784</v>
      </c>
    </row>
    <row r="392" spans="3:16" x14ac:dyDescent="0.25">
      <c r="C392">
        <v>0.36399999999999999</v>
      </c>
      <c r="D392">
        <f t="shared" si="50"/>
        <v>-7980.433986410635</v>
      </c>
      <c r="E392">
        <f t="shared" si="51"/>
        <v>4709.7338607056226</v>
      </c>
      <c r="F392">
        <f t="shared" si="54"/>
        <v>0.82604809096065679</v>
      </c>
      <c r="G392">
        <f t="shared" si="55"/>
        <v>1</v>
      </c>
      <c r="H392">
        <f t="shared" si="56"/>
        <v>4280.5446597442951</v>
      </c>
      <c r="K392">
        <v>0.36399999999999999</v>
      </c>
      <c r="L392">
        <f t="shared" si="52"/>
        <v>-8888.433986410635</v>
      </c>
      <c r="M392">
        <f t="shared" si="53"/>
        <v>5898.8562691371308</v>
      </c>
      <c r="N392">
        <f t="shared" si="57"/>
        <v>0.81984915951089421</v>
      </c>
      <c r="O392">
        <f t="shared" si="58"/>
        <v>1</v>
      </c>
      <c r="P392">
        <f t="shared" si="59"/>
        <v>5341.1502142285153</v>
      </c>
    </row>
    <row r="393" spans="3:16" x14ac:dyDescent="0.25">
      <c r="C393">
        <v>0.36499999999999999</v>
      </c>
      <c r="D393">
        <f t="shared" si="50"/>
        <v>-7967.5821510022324</v>
      </c>
      <c r="E393">
        <f t="shared" si="51"/>
        <v>4707.0570214267655</v>
      </c>
      <c r="F393">
        <f t="shared" si="54"/>
        <v>0.82738136983396637</v>
      </c>
      <c r="G393">
        <f t="shared" si="55"/>
        <v>1</v>
      </c>
      <c r="H393">
        <f t="shared" si="56"/>
        <v>4281.5628964462712</v>
      </c>
      <c r="K393">
        <v>0.36499999999999999</v>
      </c>
      <c r="L393">
        <f t="shared" si="52"/>
        <v>-8872.5821510022324</v>
      </c>
      <c r="M393">
        <f t="shared" si="53"/>
        <v>5895.5545760859231</v>
      </c>
      <c r="N393">
        <f t="shared" si="57"/>
        <v>0.82118891731746269</v>
      </c>
      <c r="O393">
        <f t="shared" si="58"/>
        <v>1</v>
      </c>
      <c r="P393">
        <f t="shared" si="59"/>
        <v>5342.5205804325078</v>
      </c>
    </row>
    <row r="394" spans="3:16" x14ac:dyDescent="0.25">
      <c r="C394">
        <v>0.36599999999999999</v>
      </c>
      <c r="D394">
        <f t="shared" si="50"/>
        <v>-7954.7303155938298</v>
      </c>
      <c r="E394">
        <f t="shared" si="51"/>
        <v>4704.3801821479083</v>
      </c>
      <c r="F394">
        <f t="shared" si="54"/>
        <v>0.82870951947980231</v>
      </c>
      <c r="G394">
        <f t="shared" si="55"/>
        <v>1</v>
      </c>
      <c r="H394">
        <f t="shared" si="56"/>
        <v>4282.5611766991169</v>
      </c>
      <c r="K394">
        <v>0.36599999999999999</v>
      </c>
      <c r="L394">
        <f t="shared" si="52"/>
        <v>-8856.7303155938298</v>
      </c>
      <c r="M394">
        <f t="shared" si="53"/>
        <v>5892.2528830347146</v>
      </c>
      <c r="N394">
        <f t="shared" si="57"/>
        <v>0.82252367471280263</v>
      </c>
      <c r="O394">
        <f t="shared" si="58"/>
        <v>1</v>
      </c>
      <c r="P394">
        <f t="shared" si="59"/>
        <v>5343.8662665599995</v>
      </c>
    </row>
    <row r="395" spans="3:16" x14ac:dyDescent="0.25">
      <c r="C395">
        <v>0.36699999999999999</v>
      </c>
      <c r="D395">
        <f t="shared" si="50"/>
        <v>-7941.8784801854272</v>
      </c>
      <c r="E395">
        <f t="shared" si="51"/>
        <v>4701.7033428690511</v>
      </c>
      <c r="F395">
        <f t="shared" si="54"/>
        <v>0.8300325398981645</v>
      </c>
      <c r="G395">
        <f t="shared" si="55"/>
        <v>1</v>
      </c>
      <c r="H395">
        <f t="shared" si="56"/>
        <v>4283.5395663705649</v>
      </c>
      <c r="K395">
        <v>0.36699999999999999</v>
      </c>
      <c r="L395">
        <f t="shared" si="52"/>
        <v>-8840.8784801854272</v>
      </c>
      <c r="M395">
        <f t="shared" si="53"/>
        <v>5888.951189983507</v>
      </c>
      <c r="N395">
        <f t="shared" si="57"/>
        <v>0.82385343169691372</v>
      </c>
      <c r="O395">
        <f t="shared" si="58"/>
        <v>1</v>
      </c>
      <c r="P395">
        <f t="shared" si="59"/>
        <v>5345.1873540315446</v>
      </c>
    </row>
    <row r="396" spans="3:16" x14ac:dyDescent="0.25">
      <c r="C396">
        <v>0.36799999999999999</v>
      </c>
      <c r="D396">
        <f t="shared" si="50"/>
        <v>-7929.0266447770255</v>
      </c>
      <c r="E396">
        <f t="shared" si="51"/>
        <v>4699.0265035901939</v>
      </c>
      <c r="F396">
        <f t="shared" si="54"/>
        <v>0.83135043108905304</v>
      </c>
      <c r="G396">
        <f t="shared" si="55"/>
        <v>1</v>
      </c>
      <c r="H396">
        <f t="shared" si="56"/>
        <v>4284.4981309390787</v>
      </c>
      <c r="K396">
        <v>0.36799999999999999</v>
      </c>
      <c r="L396">
        <f t="shared" si="52"/>
        <v>-8825.0266447770264</v>
      </c>
      <c r="M396">
        <f t="shared" si="53"/>
        <v>5885.6494969322994</v>
      </c>
      <c r="N396">
        <f t="shared" si="57"/>
        <v>0.82517818826979616</v>
      </c>
      <c r="O396">
        <f t="shared" si="58"/>
        <v>1</v>
      </c>
      <c r="P396">
        <f t="shared" si="59"/>
        <v>5346.4839237857705</v>
      </c>
    </row>
    <row r="397" spans="3:16" x14ac:dyDescent="0.25">
      <c r="C397">
        <v>0.36899999999999999</v>
      </c>
      <c r="D397">
        <f t="shared" si="50"/>
        <v>-7916.1748093686228</v>
      </c>
      <c r="E397">
        <f t="shared" si="51"/>
        <v>4696.3496643113367</v>
      </c>
      <c r="F397">
        <f t="shared" si="54"/>
        <v>0.83266319305246794</v>
      </c>
      <c r="G397">
        <f t="shared" si="55"/>
        <v>1</v>
      </c>
      <c r="H397">
        <f t="shared" si="56"/>
        <v>4285.4369354973305</v>
      </c>
      <c r="K397">
        <v>0.36899999999999999</v>
      </c>
      <c r="L397">
        <f t="shared" si="52"/>
        <v>-8809.1748093686219</v>
      </c>
      <c r="M397">
        <f t="shared" si="53"/>
        <v>5882.3478038810908</v>
      </c>
      <c r="N397">
        <f t="shared" si="57"/>
        <v>0.82649794443145019</v>
      </c>
      <c r="O397">
        <f t="shared" si="58"/>
        <v>1</v>
      </c>
      <c r="P397">
        <f t="shared" si="59"/>
        <v>5347.7560562836916</v>
      </c>
    </row>
    <row r="398" spans="3:16" x14ac:dyDescent="0.25">
      <c r="C398">
        <v>0.37</v>
      </c>
      <c r="D398">
        <f t="shared" si="50"/>
        <v>-7903.3229739602202</v>
      </c>
      <c r="E398">
        <f t="shared" si="51"/>
        <v>4693.6728250324795</v>
      </c>
      <c r="F398">
        <f t="shared" si="54"/>
        <v>0.83397082578840909</v>
      </c>
      <c r="G398">
        <f t="shared" si="55"/>
        <v>1</v>
      </c>
      <c r="H398">
        <f t="shared" si="56"/>
        <v>4286.3560447556356</v>
      </c>
      <c r="K398">
        <v>0.37</v>
      </c>
      <c r="L398">
        <f t="shared" si="52"/>
        <v>-8793.3229739602211</v>
      </c>
      <c r="M398">
        <f t="shared" si="53"/>
        <v>5879.0461108298823</v>
      </c>
      <c r="N398">
        <f t="shared" si="57"/>
        <v>0.82781270018187514</v>
      </c>
      <c r="O398">
        <f t="shared" si="58"/>
        <v>1</v>
      </c>
      <c r="P398">
        <f t="shared" si="59"/>
        <v>5349.0038315129659</v>
      </c>
    </row>
    <row r="399" spans="3:16" x14ac:dyDescent="0.25">
      <c r="C399">
        <v>0.371</v>
      </c>
      <c r="D399">
        <f t="shared" si="50"/>
        <v>-7890.4711385518176</v>
      </c>
      <c r="E399">
        <f t="shared" si="51"/>
        <v>4690.9959857536223</v>
      </c>
      <c r="F399">
        <f t="shared" si="54"/>
        <v>0.8352733292968767</v>
      </c>
      <c r="G399">
        <f t="shared" si="55"/>
        <v>1</v>
      </c>
      <c r="H399">
        <f t="shared" si="56"/>
        <v>4287.2555230453545</v>
      </c>
      <c r="K399">
        <v>0.371</v>
      </c>
      <c r="L399">
        <f t="shared" si="52"/>
        <v>-8777.4711385518167</v>
      </c>
      <c r="M399">
        <f t="shared" si="53"/>
        <v>5875.7444177786747</v>
      </c>
      <c r="N399">
        <f t="shared" si="57"/>
        <v>0.82912245552107189</v>
      </c>
      <c r="O399">
        <f t="shared" si="58"/>
        <v>1</v>
      </c>
      <c r="P399">
        <f t="shared" si="59"/>
        <v>5350.2273289921159</v>
      </c>
    </row>
    <row r="400" spans="3:16" x14ac:dyDescent="0.25">
      <c r="C400">
        <v>0.372</v>
      </c>
      <c r="D400">
        <f t="shared" si="50"/>
        <v>-7877.619303143415</v>
      </c>
      <c r="E400">
        <f t="shared" si="51"/>
        <v>4688.3191464747651</v>
      </c>
      <c r="F400">
        <f t="shared" si="54"/>
        <v>0.83657070357787056</v>
      </c>
      <c r="G400">
        <f t="shared" si="55"/>
        <v>1</v>
      </c>
      <c r="H400">
        <f t="shared" si="56"/>
        <v>4288.135434322242</v>
      </c>
      <c r="K400">
        <v>0.372</v>
      </c>
      <c r="L400">
        <f t="shared" si="52"/>
        <v>-8761.6193031434159</v>
      </c>
      <c r="M400">
        <f t="shared" si="53"/>
        <v>5872.4427247274671</v>
      </c>
      <c r="N400">
        <f t="shared" si="57"/>
        <v>0.83042721044903955</v>
      </c>
      <c r="O400">
        <f t="shared" si="58"/>
        <v>1</v>
      </c>
      <c r="P400">
        <f t="shared" si="59"/>
        <v>5351.4266277746719</v>
      </c>
    </row>
    <row r="401" spans="3:16" x14ac:dyDescent="0.25">
      <c r="C401">
        <v>0.373</v>
      </c>
      <c r="D401">
        <f t="shared" si="50"/>
        <v>-7864.7674677350124</v>
      </c>
      <c r="E401">
        <f t="shared" si="51"/>
        <v>4685.6423071959071</v>
      </c>
      <c r="F401">
        <f t="shared" si="54"/>
        <v>0.83786294863139077</v>
      </c>
      <c r="G401">
        <f t="shared" si="55"/>
        <v>1</v>
      </c>
      <c r="H401">
        <f t="shared" si="56"/>
        <v>4288.9958421697684</v>
      </c>
      <c r="K401">
        <v>0.373</v>
      </c>
      <c r="L401">
        <f t="shared" si="52"/>
        <v>-8745.7674677350115</v>
      </c>
      <c r="M401">
        <f t="shared" si="53"/>
        <v>5869.1410316762576</v>
      </c>
      <c r="N401">
        <f t="shared" si="57"/>
        <v>0.83172696496577891</v>
      </c>
      <c r="O401">
        <f t="shared" si="58"/>
        <v>1</v>
      </c>
      <c r="P401">
        <f t="shared" si="59"/>
        <v>5352.6018064532982</v>
      </c>
    </row>
    <row r="402" spans="3:16" x14ac:dyDescent="0.25">
      <c r="C402">
        <v>0.374</v>
      </c>
      <c r="D402">
        <f t="shared" si="50"/>
        <v>-7851.9156323266106</v>
      </c>
      <c r="E402">
        <f t="shared" si="51"/>
        <v>4682.9654679170508</v>
      </c>
      <c r="F402">
        <f t="shared" si="54"/>
        <v>0.83915006445743723</v>
      </c>
      <c r="G402">
        <f t="shared" si="55"/>
        <v>1</v>
      </c>
      <c r="H402">
        <f t="shared" si="56"/>
        <v>4289.8368098023975</v>
      </c>
      <c r="K402">
        <v>0.374</v>
      </c>
      <c r="L402">
        <f t="shared" si="52"/>
        <v>-8729.9156323266106</v>
      </c>
      <c r="M402">
        <f t="shared" si="53"/>
        <v>5865.83933862505</v>
      </c>
      <c r="N402">
        <f t="shared" si="57"/>
        <v>0.8330217190712893</v>
      </c>
      <c r="O402">
        <f t="shared" si="58"/>
        <v>1</v>
      </c>
      <c r="P402">
        <f t="shared" si="59"/>
        <v>5353.7529431638523</v>
      </c>
    </row>
    <row r="403" spans="3:16" x14ac:dyDescent="0.25">
      <c r="C403">
        <v>0.375</v>
      </c>
      <c r="D403">
        <f t="shared" si="50"/>
        <v>-7839.063796918208</v>
      </c>
      <c r="E403">
        <f t="shared" si="51"/>
        <v>4680.2886286381927</v>
      </c>
      <c r="F403">
        <f t="shared" si="54"/>
        <v>0.84043205105601015</v>
      </c>
      <c r="G403">
        <f t="shared" si="55"/>
        <v>1</v>
      </c>
      <c r="H403">
        <f t="shared" si="56"/>
        <v>4290.6584000688208</v>
      </c>
      <c r="K403">
        <v>0.375</v>
      </c>
      <c r="L403">
        <f t="shared" si="52"/>
        <v>-8714.063796918208</v>
      </c>
      <c r="M403">
        <f t="shared" si="53"/>
        <v>5862.5376455738424</v>
      </c>
      <c r="N403">
        <f t="shared" si="57"/>
        <v>0.83431147276557116</v>
      </c>
      <c r="O403">
        <f t="shared" si="58"/>
        <v>1</v>
      </c>
      <c r="P403">
        <f t="shared" si="59"/>
        <v>5354.8801155893952</v>
      </c>
    </row>
    <row r="404" spans="3:16" x14ac:dyDescent="0.25">
      <c r="C404">
        <v>0.376</v>
      </c>
      <c r="D404">
        <f t="shared" si="50"/>
        <v>-7826.2119615098054</v>
      </c>
      <c r="E404">
        <f t="shared" si="51"/>
        <v>4677.6117893593355</v>
      </c>
      <c r="F404">
        <f t="shared" si="54"/>
        <v>0.84170890842710933</v>
      </c>
      <c r="G404">
        <f t="shared" si="55"/>
        <v>1</v>
      </c>
      <c r="H404">
        <f t="shared" si="56"/>
        <v>4291.4606754551614</v>
      </c>
      <c r="K404">
        <v>0.376</v>
      </c>
      <c r="L404">
        <f t="shared" si="52"/>
        <v>-8698.2119615098054</v>
      </c>
      <c r="M404">
        <f t="shared" si="53"/>
        <v>5859.2359525226339</v>
      </c>
      <c r="N404">
        <f t="shared" si="57"/>
        <v>0.83559622604862449</v>
      </c>
      <c r="O404">
        <f t="shared" si="58"/>
        <v>1</v>
      </c>
      <c r="P404">
        <f t="shared" si="59"/>
        <v>5355.9834009641627</v>
      </c>
    </row>
    <row r="405" spans="3:16" x14ac:dyDescent="0.25">
      <c r="C405">
        <v>0.377</v>
      </c>
      <c r="D405">
        <f t="shared" si="50"/>
        <v>-7813.3601261014028</v>
      </c>
      <c r="E405">
        <f t="shared" si="51"/>
        <v>4674.9349500804783</v>
      </c>
      <c r="F405">
        <f t="shared" si="54"/>
        <v>0.84298063657073485</v>
      </c>
      <c r="G405">
        <f t="shared" si="55"/>
        <v>1</v>
      </c>
      <c r="H405">
        <f t="shared" si="56"/>
        <v>4292.2436980881375</v>
      </c>
      <c r="K405">
        <v>0.377</v>
      </c>
      <c r="L405">
        <f t="shared" si="52"/>
        <v>-8682.3601261014028</v>
      </c>
      <c r="M405">
        <f t="shared" si="53"/>
        <v>5855.9342594714262</v>
      </c>
      <c r="N405">
        <f t="shared" si="57"/>
        <v>0.83687597892044896</v>
      </c>
      <c r="O405">
        <f t="shared" si="58"/>
        <v>1</v>
      </c>
      <c r="P405">
        <f t="shared" si="59"/>
        <v>5357.0628760774889</v>
      </c>
    </row>
    <row r="406" spans="3:16" x14ac:dyDescent="0.25">
      <c r="C406">
        <v>0.378</v>
      </c>
      <c r="D406">
        <f t="shared" si="50"/>
        <v>-7800.5082906930002</v>
      </c>
      <c r="E406">
        <f t="shared" si="51"/>
        <v>4672.2581108016211</v>
      </c>
      <c r="F406">
        <f t="shared" si="54"/>
        <v>0.84424723548688663</v>
      </c>
      <c r="G406">
        <f t="shared" si="55"/>
        <v>1</v>
      </c>
      <c r="H406">
        <f t="shared" si="56"/>
        <v>4293.0075297381882</v>
      </c>
      <c r="K406">
        <v>0.378</v>
      </c>
      <c r="L406">
        <f t="shared" si="52"/>
        <v>-8666.5082906930002</v>
      </c>
      <c r="M406">
        <f t="shared" si="53"/>
        <v>5852.6325664202177</v>
      </c>
      <c r="N406">
        <f t="shared" si="57"/>
        <v>0.8381507313810449</v>
      </c>
      <c r="O406">
        <f t="shared" si="58"/>
        <v>1</v>
      </c>
      <c r="P406">
        <f t="shared" si="59"/>
        <v>5358.1186172776779</v>
      </c>
    </row>
    <row r="407" spans="3:16" x14ac:dyDescent="0.25">
      <c r="C407">
        <v>0.379</v>
      </c>
      <c r="D407">
        <f t="shared" si="50"/>
        <v>-7787.6564552845975</v>
      </c>
      <c r="E407">
        <f t="shared" si="51"/>
        <v>4669.5812715227639</v>
      </c>
      <c r="F407">
        <f t="shared" si="54"/>
        <v>0.84550870517556487</v>
      </c>
      <c r="G407">
        <f t="shared" si="55"/>
        <v>1</v>
      </c>
      <c r="H407">
        <f t="shared" si="56"/>
        <v>4293.7522318225638</v>
      </c>
      <c r="K407">
        <v>0.379</v>
      </c>
      <c r="L407">
        <f t="shared" si="52"/>
        <v>-8650.6564552845975</v>
      </c>
      <c r="M407">
        <f t="shared" si="53"/>
        <v>5849.3308733690101</v>
      </c>
      <c r="N407">
        <f t="shared" si="57"/>
        <v>0.83942048343041209</v>
      </c>
      <c r="O407">
        <f t="shared" si="58"/>
        <v>1</v>
      </c>
      <c r="P407">
        <f t="shared" si="59"/>
        <v>5359.1507004758378</v>
      </c>
    </row>
    <row r="408" spans="3:16" x14ac:dyDescent="0.25">
      <c r="C408">
        <v>0.38</v>
      </c>
      <c r="D408">
        <f t="shared" si="50"/>
        <v>-7774.8046198761958</v>
      </c>
      <c r="E408">
        <f t="shared" si="51"/>
        <v>4666.9044322439067</v>
      </c>
      <c r="F408">
        <f t="shared" si="54"/>
        <v>0.84676504563676924</v>
      </c>
      <c r="G408">
        <f t="shared" si="55"/>
        <v>1</v>
      </c>
      <c r="H408">
        <f t="shared" si="56"/>
        <v>4294.4778654083802</v>
      </c>
      <c r="K408">
        <v>0.38</v>
      </c>
      <c r="L408">
        <f t="shared" si="52"/>
        <v>-8634.8046198761949</v>
      </c>
      <c r="M408">
        <f t="shared" si="53"/>
        <v>5846.0291803178015</v>
      </c>
      <c r="N408">
        <f t="shared" si="57"/>
        <v>0.84068523506855075</v>
      </c>
      <c r="O408">
        <f t="shared" si="58"/>
        <v>1</v>
      </c>
      <c r="P408">
        <f t="shared" si="59"/>
        <v>5360.1592011496668</v>
      </c>
    </row>
    <row r="409" spans="3:16" x14ac:dyDescent="0.25">
      <c r="C409">
        <v>0.38100000000000001</v>
      </c>
      <c r="D409">
        <f t="shared" si="50"/>
        <v>-7761.9527844677932</v>
      </c>
      <c r="E409">
        <f t="shared" si="51"/>
        <v>4664.2275929650496</v>
      </c>
      <c r="F409">
        <f t="shared" si="54"/>
        <v>0.84801625687050008</v>
      </c>
      <c r="G409">
        <f t="shared" si="55"/>
        <v>1</v>
      </c>
      <c r="H409">
        <f t="shared" si="56"/>
        <v>4295.1844912156394</v>
      </c>
      <c r="K409">
        <v>0.38100000000000001</v>
      </c>
      <c r="L409">
        <f t="shared" si="52"/>
        <v>-8618.9527844677941</v>
      </c>
      <c r="M409">
        <f t="shared" si="53"/>
        <v>5842.7274872665939</v>
      </c>
      <c r="N409">
        <f t="shared" si="57"/>
        <v>0.84194498629546044</v>
      </c>
      <c r="O409">
        <f t="shared" si="58"/>
        <v>1</v>
      </c>
      <c r="P409">
        <f t="shared" si="59"/>
        <v>5361.1441943471937</v>
      </c>
    </row>
    <row r="410" spans="3:16" x14ac:dyDescent="0.25">
      <c r="C410">
        <v>0.38200000000000001</v>
      </c>
      <c r="D410">
        <f t="shared" si="50"/>
        <v>-7749.1009490593906</v>
      </c>
      <c r="E410">
        <f t="shared" si="51"/>
        <v>4661.5507536861915</v>
      </c>
      <c r="F410">
        <f t="shared" si="54"/>
        <v>0.84926233887675728</v>
      </c>
      <c r="G410">
        <f t="shared" si="55"/>
        <v>1</v>
      </c>
      <c r="H410">
        <f t="shared" si="56"/>
        <v>4295.8721696202083</v>
      </c>
      <c r="K410">
        <v>0.38200000000000001</v>
      </c>
      <c r="L410">
        <f t="shared" si="52"/>
        <v>-8603.1009490593897</v>
      </c>
      <c r="M410">
        <f t="shared" si="53"/>
        <v>5839.4257942153854</v>
      </c>
      <c r="N410">
        <f t="shared" si="57"/>
        <v>0.84319973711114193</v>
      </c>
      <c r="O410">
        <f t="shared" si="58"/>
        <v>1</v>
      </c>
      <c r="P410">
        <f t="shared" si="59"/>
        <v>5362.1057546904813</v>
      </c>
    </row>
    <row r="411" spans="3:16" x14ac:dyDescent="0.25">
      <c r="C411">
        <v>0.38300000000000001</v>
      </c>
      <c r="D411">
        <f t="shared" si="50"/>
        <v>-7736.249113650988</v>
      </c>
      <c r="E411">
        <f t="shared" si="51"/>
        <v>4658.8739144073352</v>
      </c>
      <c r="F411">
        <f t="shared" si="54"/>
        <v>0.85050329165554084</v>
      </c>
      <c r="G411">
        <f t="shared" si="55"/>
        <v>1</v>
      </c>
      <c r="H411">
        <f t="shared" si="56"/>
        <v>4296.5409606567764</v>
      </c>
      <c r="K411">
        <v>0.38300000000000001</v>
      </c>
      <c r="L411">
        <f t="shared" si="52"/>
        <v>-8587.2491136509889</v>
      </c>
      <c r="M411">
        <f t="shared" si="53"/>
        <v>5836.1241011641778</v>
      </c>
      <c r="N411">
        <f t="shared" si="57"/>
        <v>0.84444948751559434</v>
      </c>
      <c r="O411">
        <f t="shared" si="58"/>
        <v>1</v>
      </c>
      <c r="P411">
        <f t="shared" si="59"/>
        <v>5363.0439563792788</v>
      </c>
    </row>
    <row r="412" spans="3:16" x14ac:dyDescent="0.25">
      <c r="C412">
        <v>0.38400000000000001</v>
      </c>
      <c r="D412">
        <f t="shared" ref="D412:D475" si="60">-$J$23+($J$15+$J$23)*C412</f>
        <v>-7723.3972782425853</v>
      </c>
      <c r="E412">
        <f t="shared" ref="E412:E475" si="61">$J$12-$J$11*D412</f>
        <v>4656.1970751284771</v>
      </c>
      <c r="F412">
        <f t="shared" si="54"/>
        <v>0.85173911520685064</v>
      </c>
      <c r="G412">
        <f t="shared" si="55"/>
        <v>1</v>
      </c>
      <c r="H412">
        <f t="shared" si="56"/>
        <v>4297.1909240217628</v>
      </c>
      <c r="K412">
        <v>0.38400000000000001</v>
      </c>
      <c r="L412">
        <f t="shared" ref="L412:L475" si="62">-$M$23+($M$15+$M$23)*K412</f>
        <v>-8571.3972782425844</v>
      </c>
      <c r="M412">
        <f t="shared" ref="M412:M475" si="63">$J$12-$J$11*L412+$E$18</f>
        <v>5832.8224081129692</v>
      </c>
      <c r="N412">
        <f t="shared" si="57"/>
        <v>0.84569423750881845</v>
      </c>
      <c r="O412">
        <f t="shared" si="58"/>
        <v>1</v>
      </c>
      <c r="P412">
        <f t="shared" si="59"/>
        <v>5363.9588731946387</v>
      </c>
    </row>
    <row r="413" spans="3:16" x14ac:dyDescent="0.25">
      <c r="C413">
        <v>0.38500000000000001</v>
      </c>
      <c r="D413">
        <f t="shared" si="60"/>
        <v>-7710.5454428341827</v>
      </c>
      <c r="E413">
        <f t="shared" si="61"/>
        <v>4653.5202358496199</v>
      </c>
      <c r="F413">
        <f t="shared" ref="F413:F476" si="64">IF(D413&lt;$J$20,MAX(1-(D413-$J$20)^2/$J$22^2,0),1)</f>
        <v>0.8529698095306868</v>
      </c>
      <c r="G413">
        <f t="shared" ref="G413:G476" si="65">IF(D413&gt;$J$17,MAX(1-(D413-$J$17)^2/($J$15-$J$17)^2,0),1)</f>
        <v>1</v>
      </c>
      <c r="H413">
        <f t="shared" ref="H413:H476" si="66">SQRT(E413^2*F413*G413)</f>
        <v>4297.8221190762115</v>
      </c>
      <c r="K413">
        <v>0.38500000000000001</v>
      </c>
      <c r="L413">
        <f t="shared" si="62"/>
        <v>-8555.5454428341836</v>
      </c>
      <c r="M413">
        <f t="shared" si="63"/>
        <v>5829.5207150617616</v>
      </c>
      <c r="N413">
        <f t="shared" ref="N413:N476" si="67">IF(L413&lt;$J$20,MAX(1-(L413-$J$20)^2/$M$22^2,0),1)</f>
        <v>0.84693398709081358</v>
      </c>
      <c r="O413">
        <f t="shared" ref="O413:O476" si="68">IF(L413&gt;$J$17,MAX(1-(L413-$J$17)^2/($M$15-$J$17)^2,0),1)</f>
        <v>1</v>
      </c>
      <c r="P413">
        <f t="shared" ref="P413:P476" si="69">SQRT(M413^2*N413*O413)</f>
        <v>5364.8505785024909</v>
      </c>
    </row>
    <row r="414" spans="3:16" x14ac:dyDescent="0.25">
      <c r="C414">
        <v>0.38600000000000001</v>
      </c>
      <c r="D414">
        <f t="shared" si="60"/>
        <v>-7697.6936074257801</v>
      </c>
      <c r="E414">
        <f t="shared" si="61"/>
        <v>4650.8433965707627</v>
      </c>
      <c r="F414">
        <f t="shared" si="64"/>
        <v>0.85419537462704931</v>
      </c>
      <c r="G414">
        <f t="shared" si="65"/>
        <v>1</v>
      </c>
      <c r="H414">
        <f t="shared" si="66"/>
        <v>4298.4346048486232</v>
      </c>
      <c r="K414">
        <v>0.38600000000000001</v>
      </c>
      <c r="L414">
        <f t="shared" si="62"/>
        <v>-8539.6936074257792</v>
      </c>
      <c r="M414">
        <f t="shared" si="63"/>
        <v>5826.2190220105531</v>
      </c>
      <c r="N414">
        <f t="shared" si="67"/>
        <v>0.84816873626158029</v>
      </c>
      <c r="O414">
        <f t="shared" si="68"/>
        <v>1</v>
      </c>
      <c r="P414">
        <f t="shared" si="69"/>
        <v>5365.7191452571751</v>
      </c>
    </row>
    <row r="415" spans="3:16" x14ac:dyDescent="0.25">
      <c r="C415">
        <v>0.38700000000000001</v>
      </c>
      <c r="D415">
        <f t="shared" si="60"/>
        <v>-7684.8417720173784</v>
      </c>
      <c r="E415">
        <f t="shared" si="61"/>
        <v>4648.1665572919055</v>
      </c>
      <c r="F415">
        <f t="shared" si="64"/>
        <v>0.85541581049593796</v>
      </c>
      <c r="G415">
        <f t="shared" si="65"/>
        <v>1</v>
      </c>
      <c r="H415">
        <f t="shared" si="66"/>
        <v>4299.0284400377886</v>
      </c>
      <c r="K415">
        <v>0.38700000000000001</v>
      </c>
      <c r="L415">
        <f t="shared" si="62"/>
        <v>-8523.8417720173784</v>
      </c>
      <c r="M415">
        <f t="shared" si="63"/>
        <v>5822.9173289593455</v>
      </c>
      <c r="N415">
        <f t="shared" si="67"/>
        <v>0.84939848502111803</v>
      </c>
      <c r="O415">
        <f t="shared" si="68"/>
        <v>1</v>
      </c>
      <c r="P415">
        <f t="shared" si="69"/>
        <v>5366.5646460049338</v>
      </c>
    </row>
    <row r="416" spans="3:16" x14ac:dyDescent="0.25">
      <c r="C416">
        <v>0.38800000000000001</v>
      </c>
      <c r="D416">
        <f t="shared" si="60"/>
        <v>-7671.9899366089758</v>
      </c>
      <c r="E416">
        <f t="shared" si="61"/>
        <v>4645.4897180130483</v>
      </c>
      <c r="F416">
        <f t="shared" si="64"/>
        <v>0.85663111713735318</v>
      </c>
      <c r="G416">
        <f t="shared" si="65"/>
        <v>1</v>
      </c>
      <c r="H416">
        <f t="shared" si="66"/>
        <v>4299.6036830155663</v>
      </c>
      <c r="K416">
        <v>0.38800000000000001</v>
      </c>
      <c r="L416">
        <f t="shared" si="62"/>
        <v>-8507.9899366089758</v>
      </c>
      <c r="M416">
        <f t="shared" si="63"/>
        <v>5819.6156359081369</v>
      </c>
      <c r="N416">
        <f t="shared" si="67"/>
        <v>0.85062323336942747</v>
      </c>
      <c r="O416">
        <f t="shared" si="68"/>
        <v>1</v>
      </c>
      <c r="P416">
        <f t="shared" si="69"/>
        <v>5367.3871528873615</v>
      </c>
    </row>
    <row r="417" spans="3:16" x14ac:dyDescent="0.25">
      <c r="C417">
        <v>0.38900000000000001</v>
      </c>
      <c r="D417">
        <f t="shared" si="60"/>
        <v>-7659.1381012005731</v>
      </c>
      <c r="E417">
        <f t="shared" si="61"/>
        <v>4642.8128787341911</v>
      </c>
      <c r="F417">
        <f t="shared" si="64"/>
        <v>0.85784129455129465</v>
      </c>
      <c r="G417">
        <f t="shared" si="65"/>
        <v>1</v>
      </c>
      <c r="H417">
        <f t="shared" si="66"/>
        <v>4300.160391829636</v>
      </c>
      <c r="K417">
        <v>0.38900000000000001</v>
      </c>
      <c r="L417">
        <f t="shared" si="62"/>
        <v>-8492.1381012005731</v>
      </c>
      <c r="M417">
        <f t="shared" si="63"/>
        <v>5816.3139428569293</v>
      </c>
      <c r="N417">
        <f t="shared" si="67"/>
        <v>0.85184298130650804</v>
      </c>
      <c r="O417">
        <f t="shared" si="68"/>
        <v>1</v>
      </c>
      <c r="P417">
        <f t="shared" si="69"/>
        <v>5368.1867376448245</v>
      </c>
    </row>
    <row r="418" spans="3:16" x14ac:dyDescent="0.25">
      <c r="C418">
        <v>0.39</v>
      </c>
      <c r="D418">
        <f t="shared" si="60"/>
        <v>-7646.2862657921705</v>
      </c>
      <c r="E418">
        <f t="shared" si="61"/>
        <v>4640.136039455334</v>
      </c>
      <c r="F418">
        <f t="shared" si="64"/>
        <v>0.85904634273776248</v>
      </c>
      <c r="G418">
        <f t="shared" si="65"/>
        <v>1</v>
      </c>
      <c r="H418">
        <f t="shared" si="66"/>
        <v>4300.6986242062194</v>
      </c>
      <c r="K418">
        <v>0.39</v>
      </c>
      <c r="L418">
        <f t="shared" si="62"/>
        <v>-8476.2862657921705</v>
      </c>
      <c r="M418">
        <f t="shared" si="63"/>
        <v>5813.0122498057208</v>
      </c>
      <c r="N418">
        <f t="shared" si="67"/>
        <v>0.85305772883235997</v>
      </c>
      <c r="O418">
        <f t="shared" si="68"/>
        <v>1</v>
      </c>
      <c r="P418">
        <f t="shared" si="69"/>
        <v>5368.9634716198289</v>
      </c>
    </row>
    <row r="419" spans="3:16" x14ac:dyDescent="0.25">
      <c r="C419">
        <v>0.39100000000000001</v>
      </c>
      <c r="D419">
        <f t="shared" si="60"/>
        <v>-7633.4344303837679</v>
      </c>
      <c r="E419">
        <f t="shared" si="61"/>
        <v>4637.4592001764759</v>
      </c>
      <c r="F419">
        <f t="shared" si="64"/>
        <v>0.86024626169675655</v>
      </c>
      <c r="G419">
        <f t="shared" si="65"/>
        <v>1</v>
      </c>
      <c r="H419">
        <f t="shared" si="66"/>
        <v>4301.2184375527777</v>
      </c>
      <c r="K419">
        <v>0.39100000000000001</v>
      </c>
      <c r="L419">
        <f t="shared" si="62"/>
        <v>-8460.4344303837679</v>
      </c>
      <c r="M419">
        <f t="shared" si="63"/>
        <v>5809.7105567545132</v>
      </c>
      <c r="N419">
        <f t="shared" si="67"/>
        <v>0.85426747594698327</v>
      </c>
      <c r="O419">
        <f t="shared" si="68"/>
        <v>1</v>
      </c>
      <c r="P419">
        <f t="shared" si="69"/>
        <v>5369.7174257603656</v>
      </c>
    </row>
    <row r="420" spans="3:16" x14ac:dyDescent="0.25">
      <c r="C420">
        <v>0.39200000000000002</v>
      </c>
      <c r="D420">
        <f t="shared" si="60"/>
        <v>-7620.5825949753653</v>
      </c>
      <c r="E420">
        <f t="shared" si="61"/>
        <v>4634.7823608976196</v>
      </c>
      <c r="F420">
        <f t="shared" si="64"/>
        <v>0.86144105142827698</v>
      </c>
      <c r="G420">
        <f t="shared" si="65"/>
        <v>1</v>
      </c>
      <c r="H420">
        <f t="shared" si="66"/>
        <v>4301.7198889606716</v>
      </c>
      <c r="K420">
        <v>0.39200000000000002</v>
      </c>
      <c r="L420">
        <f t="shared" si="62"/>
        <v>-8444.5825949753653</v>
      </c>
      <c r="M420">
        <f t="shared" si="63"/>
        <v>5806.4088637033046</v>
      </c>
      <c r="N420">
        <f t="shared" si="67"/>
        <v>0.85547222265037792</v>
      </c>
      <c r="O420">
        <f t="shared" si="68"/>
        <v>1</v>
      </c>
      <c r="P420">
        <f t="shared" si="69"/>
        <v>5370.4486706231992</v>
      </c>
    </row>
    <row r="421" spans="3:16" x14ac:dyDescent="0.25">
      <c r="C421">
        <v>0.39300000000000002</v>
      </c>
      <c r="D421">
        <f t="shared" si="60"/>
        <v>-7607.7307595669636</v>
      </c>
      <c r="E421">
        <f t="shared" si="61"/>
        <v>4632.1055216187615</v>
      </c>
      <c r="F421">
        <f t="shared" si="64"/>
        <v>0.86263071193232377</v>
      </c>
      <c r="G421">
        <f t="shared" si="65"/>
        <v>1</v>
      </c>
      <c r="H421">
        <f t="shared" si="66"/>
        <v>4302.2030352077845</v>
      </c>
      <c r="K421">
        <v>0.39300000000000002</v>
      </c>
      <c r="L421">
        <f t="shared" si="62"/>
        <v>-8428.7307595669627</v>
      </c>
      <c r="M421">
        <f t="shared" si="63"/>
        <v>5803.107170652097</v>
      </c>
      <c r="N421">
        <f t="shared" si="67"/>
        <v>0.85667196894254394</v>
      </c>
      <c r="O421">
        <f t="shared" si="68"/>
        <v>1</v>
      </c>
      <c r="P421">
        <f t="shared" si="69"/>
        <v>5371.1572763771428</v>
      </c>
    </row>
    <row r="422" spans="3:16" x14ac:dyDescent="0.25">
      <c r="C422">
        <v>0.39400000000000002</v>
      </c>
      <c r="D422">
        <f t="shared" si="60"/>
        <v>-7594.8789241585609</v>
      </c>
      <c r="E422">
        <f t="shared" si="61"/>
        <v>4629.4286823399052</v>
      </c>
      <c r="F422">
        <f t="shared" si="64"/>
        <v>0.8638152432088968</v>
      </c>
      <c r="G422">
        <f t="shared" si="65"/>
        <v>1</v>
      </c>
      <c r="H422">
        <f t="shared" si="66"/>
        <v>4302.6679327611364</v>
      </c>
      <c r="K422">
        <v>0.39400000000000002</v>
      </c>
      <c r="L422">
        <f t="shared" si="62"/>
        <v>-8412.8789241585619</v>
      </c>
      <c r="M422">
        <f t="shared" si="63"/>
        <v>5799.8054776008885</v>
      </c>
      <c r="N422">
        <f t="shared" si="67"/>
        <v>0.85786671482348109</v>
      </c>
      <c r="O422">
        <f t="shared" si="68"/>
        <v>1</v>
      </c>
      <c r="P422">
        <f t="shared" si="69"/>
        <v>5371.8433128062716</v>
      </c>
    </row>
    <row r="423" spans="3:16" x14ac:dyDescent="0.25">
      <c r="C423">
        <v>0.39500000000000002</v>
      </c>
      <c r="D423">
        <f t="shared" si="60"/>
        <v>-7582.0270887501583</v>
      </c>
      <c r="E423">
        <f t="shared" si="61"/>
        <v>4626.7518430610471</v>
      </c>
      <c r="F423">
        <f t="shared" si="64"/>
        <v>0.8649946452579963</v>
      </c>
      <c r="G423">
        <f t="shared" si="65"/>
        <v>1</v>
      </c>
      <c r="H423">
        <f t="shared" si="66"/>
        <v>4303.1146377794448</v>
      </c>
      <c r="K423">
        <v>0.39500000000000002</v>
      </c>
      <c r="L423">
        <f t="shared" si="62"/>
        <v>-8397.0270887501574</v>
      </c>
      <c r="M423">
        <f t="shared" si="63"/>
        <v>5796.5037845496809</v>
      </c>
      <c r="N423">
        <f t="shared" si="67"/>
        <v>0.85905646029318994</v>
      </c>
      <c r="O423">
        <f t="shared" si="68"/>
        <v>1</v>
      </c>
      <c r="P423">
        <f t="shared" si="69"/>
        <v>5372.5068493131257</v>
      </c>
    </row>
    <row r="424" spans="3:16" x14ac:dyDescent="0.25">
      <c r="C424">
        <v>0.39600000000000002</v>
      </c>
      <c r="D424">
        <f t="shared" si="60"/>
        <v>-7569.1752533417557</v>
      </c>
      <c r="E424">
        <f t="shared" si="61"/>
        <v>4624.0750037821899</v>
      </c>
      <c r="F424">
        <f t="shared" si="64"/>
        <v>0.86616891807962204</v>
      </c>
      <c r="G424">
        <f t="shared" si="65"/>
        <v>1</v>
      </c>
      <c r="H424">
        <f t="shared" si="66"/>
        <v>4303.5432061156835</v>
      </c>
      <c r="K424">
        <v>0.39600000000000002</v>
      </c>
      <c r="L424">
        <f t="shared" si="62"/>
        <v>-8381.1752533417566</v>
      </c>
      <c r="M424">
        <f t="shared" si="63"/>
        <v>5793.2020914984732</v>
      </c>
      <c r="N424">
        <f t="shared" si="67"/>
        <v>0.86024120535166981</v>
      </c>
      <c r="O424">
        <f t="shared" si="68"/>
        <v>1</v>
      </c>
      <c r="P424">
        <f t="shared" si="69"/>
        <v>5373.1479549218493</v>
      </c>
    </row>
    <row r="425" spans="3:16" x14ac:dyDescent="0.25">
      <c r="C425">
        <v>0.39700000000000002</v>
      </c>
      <c r="D425">
        <f t="shared" si="60"/>
        <v>-7556.3234179333531</v>
      </c>
      <c r="E425">
        <f t="shared" si="61"/>
        <v>4621.3981645033327</v>
      </c>
      <c r="F425">
        <f t="shared" si="64"/>
        <v>0.86733806167377414</v>
      </c>
      <c r="G425">
        <f t="shared" si="65"/>
        <v>1</v>
      </c>
      <c r="H425">
        <f t="shared" si="66"/>
        <v>4303.9536933195841</v>
      </c>
      <c r="K425">
        <v>0.39700000000000002</v>
      </c>
      <c r="L425">
        <f t="shared" si="62"/>
        <v>-8365.3234179333522</v>
      </c>
      <c r="M425">
        <f t="shared" si="63"/>
        <v>5789.9003984472638</v>
      </c>
      <c r="N425">
        <f t="shared" si="67"/>
        <v>0.86142094999892127</v>
      </c>
      <c r="O425">
        <f t="shared" si="68"/>
        <v>1</v>
      </c>
      <c r="P425">
        <f t="shared" si="69"/>
        <v>5373.7666982813216</v>
      </c>
    </row>
    <row r="426" spans="3:16" x14ac:dyDescent="0.25">
      <c r="C426">
        <v>0.39800000000000002</v>
      </c>
      <c r="D426">
        <f t="shared" si="60"/>
        <v>-7543.4715825249505</v>
      </c>
      <c r="E426">
        <f t="shared" si="61"/>
        <v>4618.7213252244755</v>
      </c>
      <c r="F426">
        <f t="shared" si="64"/>
        <v>0.8685020760404526</v>
      </c>
      <c r="G426">
        <f t="shared" si="65"/>
        <v>1</v>
      </c>
      <c r="H426">
        <f t="shared" si="66"/>
        <v>4304.3461546401313</v>
      </c>
      <c r="K426">
        <v>0.39800000000000002</v>
      </c>
      <c r="L426">
        <f t="shared" si="62"/>
        <v>-8349.4715825249514</v>
      </c>
      <c r="M426">
        <f t="shared" si="63"/>
        <v>5786.5987053960562</v>
      </c>
      <c r="N426">
        <f t="shared" si="67"/>
        <v>0.86259569423494376</v>
      </c>
      <c r="O426">
        <f t="shared" si="68"/>
        <v>1</v>
      </c>
      <c r="P426">
        <f t="shared" si="69"/>
        <v>5374.3631476682413</v>
      </c>
    </row>
    <row r="427" spans="3:16" x14ac:dyDescent="0.25">
      <c r="C427">
        <v>0.39900000000000002</v>
      </c>
      <c r="D427">
        <f t="shared" si="60"/>
        <v>-7530.6197471165488</v>
      </c>
      <c r="E427">
        <f t="shared" si="61"/>
        <v>4616.0444859456184</v>
      </c>
      <c r="F427">
        <f t="shared" si="64"/>
        <v>0.8696609611796573</v>
      </c>
      <c r="G427">
        <f t="shared" si="65"/>
        <v>1</v>
      </c>
      <c r="H427">
        <f t="shared" si="66"/>
        <v>4304.7206450280228</v>
      </c>
      <c r="K427">
        <v>0.39900000000000002</v>
      </c>
      <c r="L427">
        <f t="shared" si="62"/>
        <v>-8333.6197471165469</v>
      </c>
      <c r="M427">
        <f t="shared" si="63"/>
        <v>5783.2970123448486</v>
      </c>
      <c r="N427">
        <f t="shared" si="67"/>
        <v>0.86376543805973793</v>
      </c>
      <c r="O427">
        <f t="shared" si="68"/>
        <v>1</v>
      </c>
      <c r="P427">
        <f t="shared" si="69"/>
        <v>5374.9373709901693</v>
      </c>
    </row>
    <row r="428" spans="3:16" x14ac:dyDescent="0.25">
      <c r="C428">
        <v>0.4</v>
      </c>
      <c r="D428">
        <f t="shared" si="60"/>
        <v>-7517.7679117081461</v>
      </c>
      <c r="E428">
        <f t="shared" si="61"/>
        <v>4613.3676466667612</v>
      </c>
      <c r="F428">
        <f t="shared" si="64"/>
        <v>0.87081471709138836</v>
      </c>
      <c r="G428">
        <f t="shared" si="65"/>
        <v>1</v>
      </c>
      <c r="H428">
        <f t="shared" si="66"/>
        <v>4305.0772191381029</v>
      </c>
      <c r="K428">
        <v>0.4</v>
      </c>
      <c r="L428">
        <f t="shared" si="62"/>
        <v>-8317.7679117081461</v>
      </c>
      <c r="M428">
        <f t="shared" si="63"/>
        <v>5779.99531929364</v>
      </c>
      <c r="N428">
        <f t="shared" si="67"/>
        <v>0.86493018147330314</v>
      </c>
      <c r="O428">
        <f t="shared" si="68"/>
        <v>1</v>
      </c>
      <c r="P428">
        <f t="shared" si="69"/>
        <v>5375.4894357885478</v>
      </c>
    </row>
    <row r="429" spans="3:16" x14ac:dyDescent="0.25">
      <c r="C429">
        <v>0.40100000000000002</v>
      </c>
      <c r="D429">
        <f t="shared" si="60"/>
        <v>-7504.9160762997435</v>
      </c>
      <c r="E429">
        <f t="shared" si="61"/>
        <v>4610.690807387904</v>
      </c>
      <c r="F429">
        <f t="shared" si="64"/>
        <v>0.87196334377564577</v>
      </c>
      <c r="G429">
        <f t="shared" si="65"/>
        <v>1</v>
      </c>
      <c r="H429">
        <f t="shared" si="66"/>
        <v>4305.4159313317659</v>
      </c>
      <c r="K429">
        <v>0.40100000000000002</v>
      </c>
      <c r="L429">
        <f t="shared" si="62"/>
        <v>-8301.9160762997435</v>
      </c>
      <c r="M429">
        <f t="shared" si="63"/>
        <v>5776.6936262424324</v>
      </c>
      <c r="N429">
        <f t="shared" si="67"/>
        <v>0.86608992447563982</v>
      </c>
      <c r="O429">
        <f t="shared" si="68"/>
        <v>1</v>
      </c>
      <c r="P429">
        <f t="shared" si="69"/>
        <v>5376.0194092416941</v>
      </c>
    </row>
    <row r="430" spans="3:16" x14ac:dyDescent="0.25">
      <c r="C430">
        <v>0.40200000000000002</v>
      </c>
      <c r="D430">
        <f t="shared" si="60"/>
        <v>-7492.0642408913409</v>
      </c>
      <c r="E430">
        <f t="shared" si="61"/>
        <v>4608.0139681090459</v>
      </c>
      <c r="F430">
        <f t="shared" si="64"/>
        <v>0.87310684123242954</v>
      </c>
      <c r="G430">
        <f t="shared" si="65"/>
        <v>1</v>
      </c>
      <c r="H430">
        <f t="shared" si="66"/>
        <v>4305.7368356793413</v>
      </c>
      <c r="K430">
        <v>0.40200000000000002</v>
      </c>
      <c r="L430">
        <f t="shared" si="62"/>
        <v>-8286.0642408913409</v>
      </c>
      <c r="M430">
        <f t="shared" si="63"/>
        <v>5773.3919331912239</v>
      </c>
      <c r="N430">
        <f t="shared" si="67"/>
        <v>0.86724466706674785</v>
      </c>
      <c r="O430">
        <f t="shared" si="68"/>
        <v>1</v>
      </c>
      <c r="P430">
        <f t="shared" si="69"/>
        <v>5376.5273581677347</v>
      </c>
    </row>
    <row r="431" spans="3:16" x14ac:dyDescent="0.25">
      <c r="C431">
        <v>0.40300000000000002</v>
      </c>
      <c r="D431">
        <f t="shared" si="60"/>
        <v>-7479.2124054829383</v>
      </c>
      <c r="E431">
        <f t="shared" si="61"/>
        <v>4605.3371288301887</v>
      </c>
      <c r="F431">
        <f t="shared" si="64"/>
        <v>0.87424520946173967</v>
      </c>
      <c r="G431">
        <f t="shared" si="65"/>
        <v>1</v>
      </c>
      <c r="H431">
        <f t="shared" si="66"/>
        <v>4306.039985962444</v>
      </c>
      <c r="K431">
        <v>0.40300000000000002</v>
      </c>
      <c r="L431">
        <f t="shared" si="62"/>
        <v>-8270.2124054829383</v>
      </c>
      <c r="M431">
        <f t="shared" si="63"/>
        <v>5770.0902401400162</v>
      </c>
      <c r="N431">
        <f t="shared" si="67"/>
        <v>0.86839440924662725</v>
      </c>
      <c r="O431">
        <f t="shared" si="68"/>
        <v>1</v>
      </c>
      <c r="P431">
        <f t="shared" si="69"/>
        <v>5377.0133490275393</v>
      </c>
    </row>
    <row r="432" spans="3:16" x14ac:dyDescent="0.25">
      <c r="C432">
        <v>0.40400000000000003</v>
      </c>
      <c r="D432">
        <f t="shared" si="60"/>
        <v>-7466.3605700745356</v>
      </c>
      <c r="E432">
        <f t="shared" si="61"/>
        <v>4602.6602895513315</v>
      </c>
      <c r="F432">
        <f t="shared" si="64"/>
        <v>0.87537844846357604</v>
      </c>
      <c r="G432">
        <f t="shared" si="65"/>
        <v>1</v>
      </c>
      <c r="H432">
        <f t="shared" si="66"/>
        <v>4306.3254356763027</v>
      </c>
      <c r="K432">
        <v>0.40400000000000003</v>
      </c>
      <c r="L432">
        <f t="shared" si="62"/>
        <v>-8254.3605700745356</v>
      </c>
      <c r="M432">
        <f t="shared" si="63"/>
        <v>5766.7885470888077</v>
      </c>
      <c r="N432">
        <f t="shared" si="67"/>
        <v>0.8695391510152779</v>
      </c>
      <c r="O432">
        <f t="shared" si="68"/>
        <v>1</v>
      </c>
      <c r="P432">
        <f t="shared" si="69"/>
        <v>5377.4774479275966</v>
      </c>
    </row>
    <row r="433" spans="3:16" x14ac:dyDescent="0.25">
      <c r="C433">
        <v>0.40500000000000003</v>
      </c>
      <c r="D433">
        <f t="shared" si="60"/>
        <v>-7453.508734666133</v>
      </c>
      <c r="E433">
        <f t="shared" si="61"/>
        <v>4599.9834502724743</v>
      </c>
      <c r="F433">
        <f t="shared" si="64"/>
        <v>0.87650655823793877</v>
      </c>
      <c r="G433">
        <f t="shared" si="65"/>
        <v>1</v>
      </c>
      <c r="H433">
        <f t="shared" si="66"/>
        <v>4306.5932380320628</v>
      </c>
      <c r="K433">
        <v>0.40500000000000003</v>
      </c>
      <c r="L433">
        <f t="shared" si="62"/>
        <v>-8238.508734666133</v>
      </c>
      <c r="M433">
        <f t="shared" si="63"/>
        <v>5763.4868540376001</v>
      </c>
      <c r="N433">
        <f t="shared" si="67"/>
        <v>0.87067889237270002</v>
      </c>
      <c r="O433">
        <f t="shared" si="68"/>
        <v>1</v>
      </c>
      <c r="P433">
        <f t="shared" si="69"/>
        <v>5377.9197206228773</v>
      </c>
    </row>
    <row r="434" spans="3:16" x14ac:dyDescent="0.25">
      <c r="C434">
        <v>0.40600000000000003</v>
      </c>
      <c r="D434">
        <f t="shared" si="60"/>
        <v>-7440.6568992577313</v>
      </c>
      <c r="E434">
        <f t="shared" si="61"/>
        <v>4597.3066109936171</v>
      </c>
      <c r="F434">
        <f t="shared" si="64"/>
        <v>0.87762953878482775</v>
      </c>
      <c r="G434">
        <f t="shared" si="65"/>
        <v>1</v>
      </c>
      <c r="H434">
        <f t="shared" si="66"/>
        <v>4306.843445959068</v>
      </c>
      <c r="K434">
        <v>0.40600000000000003</v>
      </c>
      <c r="L434">
        <f t="shared" si="62"/>
        <v>-8222.6568992577304</v>
      </c>
      <c r="M434">
        <f t="shared" si="63"/>
        <v>5760.1851609863916</v>
      </c>
      <c r="N434">
        <f t="shared" si="67"/>
        <v>0.87181363331889339</v>
      </c>
      <c r="O434">
        <f t="shared" si="68"/>
        <v>1</v>
      </c>
      <c r="P434">
        <f t="shared" si="69"/>
        <v>5378.3402325196503</v>
      </c>
    </row>
    <row r="435" spans="3:16" x14ac:dyDescent="0.25">
      <c r="C435">
        <v>0.40699999999999997</v>
      </c>
      <c r="D435">
        <f t="shared" si="60"/>
        <v>-7427.8050638493296</v>
      </c>
      <c r="E435">
        <f t="shared" si="61"/>
        <v>4594.62977171476</v>
      </c>
      <c r="F435">
        <f t="shared" si="64"/>
        <v>0.87874739010424308</v>
      </c>
      <c r="G435">
        <f t="shared" si="65"/>
        <v>1</v>
      </c>
      <c r="H435">
        <f t="shared" si="66"/>
        <v>4307.0761121071091</v>
      </c>
      <c r="K435">
        <v>0.40699999999999997</v>
      </c>
      <c r="L435">
        <f t="shared" si="62"/>
        <v>-8206.8050638493296</v>
      </c>
      <c r="M435">
        <f t="shared" si="63"/>
        <v>5756.8834679351839</v>
      </c>
      <c r="N435">
        <f t="shared" si="67"/>
        <v>0.87294337385385801</v>
      </c>
      <c r="O435">
        <f t="shared" si="68"/>
        <v>1</v>
      </c>
      <c r="P435">
        <f t="shared" si="69"/>
        <v>5378.7390486782851</v>
      </c>
    </row>
    <row r="436" spans="3:16" x14ac:dyDescent="0.25">
      <c r="C436">
        <v>0.40799999999999997</v>
      </c>
      <c r="D436">
        <f t="shared" si="60"/>
        <v>-7414.953228440927</v>
      </c>
      <c r="E436">
        <f t="shared" si="61"/>
        <v>4591.9529324359028</v>
      </c>
      <c r="F436">
        <f t="shared" si="64"/>
        <v>0.87986011219618476</v>
      </c>
      <c r="G436">
        <f t="shared" si="65"/>
        <v>1</v>
      </c>
      <c r="H436">
        <f t="shared" si="66"/>
        <v>4307.2912888486517</v>
      </c>
      <c r="K436">
        <v>0.40799999999999997</v>
      </c>
      <c r="L436">
        <f t="shared" si="62"/>
        <v>-8190.953228440927</v>
      </c>
      <c r="M436">
        <f t="shared" si="63"/>
        <v>5753.5817748839763</v>
      </c>
      <c r="N436">
        <f t="shared" si="67"/>
        <v>0.8740681139775941</v>
      </c>
      <c r="O436">
        <f t="shared" si="68"/>
        <v>1</v>
      </c>
      <c r="P436">
        <f t="shared" si="69"/>
        <v>5379.1162338160093</v>
      </c>
    </row>
    <row r="437" spans="3:16" x14ac:dyDescent="0.25">
      <c r="C437">
        <v>0.40899999999999997</v>
      </c>
      <c r="D437">
        <f t="shared" si="60"/>
        <v>-7402.1013930325244</v>
      </c>
      <c r="E437">
        <f t="shared" si="61"/>
        <v>4589.2760931570456</v>
      </c>
      <c r="F437">
        <f t="shared" si="64"/>
        <v>0.88096770506065281</v>
      </c>
      <c r="G437">
        <f t="shared" si="65"/>
        <v>1</v>
      </c>
      <c r="H437">
        <f t="shared" si="66"/>
        <v>4307.4890282810447</v>
      </c>
      <c r="K437">
        <v>0.40899999999999997</v>
      </c>
      <c r="L437">
        <f t="shared" si="62"/>
        <v>-8175.1013930325244</v>
      </c>
      <c r="M437">
        <f t="shared" si="63"/>
        <v>5750.2800818327678</v>
      </c>
      <c r="N437">
        <f t="shared" si="67"/>
        <v>0.87518785369010144</v>
      </c>
      <c r="O437">
        <f t="shared" si="68"/>
        <v>1</v>
      </c>
      <c r="P437">
        <f t="shared" si="69"/>
        <v>5379.4718523096399</v>
      </c>
    </row>
    <row r="438" spans="3:16" x14ac:dyDescent="0.25">
      <c r="C438">
        <v>0.41</v>
      </c>
      <c r="D438">
        <f t="shared" si="60"/>
        <v>-7389.2495576241217</v>
      </c>
      <c r="E438">
        <f t="shared" si="61"/>
        <v>4586.5992538781884</v>
      </c>
      <c r="F438">
        <f t="shared" si="64"/>
        <v>0.88207016869764721</v>
      </c>
      <c r="G438">
        <f t="shared" si="65"/>
        <v>1</v>
      </c>
      <c r="H438">
        <f t="shared" si="66"/>
        <v>4307.6693822287007</v>
      </c>
      <c r="K438">
        <v>0.41</v>
      </c>
      <c r="L438">
        <f t="shared" si="62"/>
        <v>-8159.2495576241217</v>
      </c>
      <c r="M438">
        <f t="shared" si="63"/>
        <v>5746.9783887815593</v>
      </c>
      <c r="N438">
        <f t="shared" si="67"/>
        <v>0.87630259299138014</v>
      </c>
      <c r="O438">
        <f t="shared" si="68"/>
        <v>1</v>
      </c>
      <c r="P438">
        <f t="shared" si="69"/>
        <v>5379.8059681982959</v>
      </c>
    </row>
    <row r="439" spans="3:16" x14ac:dyDescent="0.25">
      <c r="C439">
        <v>0.41099999999999998</v>
      </c>
      <c r="D439">
        <f t="shared" si="60"/>
        <v>-7376.3977222157191</v>
      </c>
      <c r="E439">
        <f t="shared" si="61"/>
        <v>4583.9224145993312</v>
      </c>
      <c r="F439">
        <f t="shared" si="64"/>
        <v>0.88316750310716785</v>
      </c>
      <c r="G439">
        <f t="shared" si="65"/>
        <v>1</v>
      </c>
      <c r="H439">
        <f t="shared" si="66"/>
        <v>4307.832402245248</v>
      </c>
      <c r="K439">
        <v>0.41099999999999998</v>
      </c>
      <c r="L439">
        <f t="shared" si="62"/>
        <v>-8143.3977222157191</v>
      </c>
      <c r="M439">
        <f t="shared" si="63"/>
        <v>5743.6766957303516</v>
      </c>
      <c r="N439">
        <f t="shared" si="67"/>
        <v>0.87741233188143031</v>
      </c>
      <c r="O439">
        <f t="shared" si="68"/>
        <v>1</v>
      </c>
      <c r="P439">
        <f t="shared" si="69"/>
        <v>5380.1186451860658</v>
      </c>
    </row>
    <row r="440" spans="3:16" x14ac:dyDescent="0.25">
      <c r="C440">
        <v>0.41199999999999998</v>
      </c>
      <c r="D440">
        <f t="shared" si="60"/>
        <v>-7363.5458868073165</v>
      </c>
      <c r="E440">
        <f t="shared" si="61"/>
        <v>4581.245575320474</v>
      </c>
      <c r="F440">
        <f t="shared" si="64"/>
        <v>0.88425970828921496</v>
      </c>
      <c r="G440">
        <f t="shared" si="65"/>
        <v>1</v>
      </c>
      <c r="H440">
        <f t="shared" si="66"/>
        <v>4307.9781396156732</v>
      </c>
      <c r="K440">
        <v>0.41199999999999998</v>
      </c>
      <c r="L440">
        <f t="shared" si="62"/>
        <v>-8127.5458868073165</v>
      </c>
      <c r="M440">
        <f t="shared" si="63"/>
        <v>5740.3750026791431</v>
      </c>
      <c r="N440">
        <f t="shared" si="67"/>
        <v>0.87851707036025173</v>
      </c>
      <c r="O440">
        <f t="shared" si="68"/>
        <v>1</v>
      </c>
      <c r="P440">
        <f t="shared" si="69"/>
        <v>5380.4099466446532</v>
      </c>
    </row>
    <row r="441" spans="3:16" x14ac:dyDescent="0.25">
      <c r="C441">
        <v>0.41299999999999998</v>
      </c>
      <c r="D441">
        <f t="shared" si="60"/>
        <v>-7350.6940513989148</v>
      </c>
      <c r="E441">
        <f t="shared" si="61"/>
        <v>4578.5687360416168</v>
      </c>
      <c r="F441">
        <f t="shared" si="64"/>
        <v>0.88534678424378821</v>
      </c>
      <c r="G441">
        <f t="shared" si="65"/>
        <v>1</v>
      </c>
      <c r="H441">
        <f t="shared" si="66"/>
        <v>4308.1066453584235</v>
      </c>
      <c r="K441">
        <v>0.41299999999999998</v>
      </c>
      <c r="L441">
        <f t="shared" si="62"/>
        <v>-8111.6940513989148</v>
      </c>
      <c r="M441">
        <f t="shared" si="63"/>
        <v>5737.0733096279355</v>
      </c>
      <c r="N441">
        <f t="shared" si="67"/>
        <v>0.8796168084278444</v>
      </c>
      <c r="O441">
        <f t="shared" si="68"/>
        <v>1</v>
      </c>
      <c r="P441">
        <f t="shared" si="69"/>
        <v>5380.6799356160027</v>
      </c>
    </row>
    <row r="442" spans="3:16" x14ac:dyDescent="0.25">
      <c r="C442">
        <v>0.41399999999999998</v>
      </c>
      <c r="D442">
        <f t="shared" si="60"/>
        <v>-7337.8422159905122</v>
      </c>
      <c r="E442">
        <f t="shared" si="61"/>
        <v>4575.8918967627596</v>
      </c>
      <c r="F442">
        <f t="shared" si="64"/>
        <v>0.88642873097088792</v>
      </c>
      <c r="G442">
        <f t="shared" si="65"/>
        <v>1</v>
      </c>
      <c r="H442">
        <f t="shared" si="66"/>
        <v>4308.2179702275034</v>
      </c>
      <c r="K442">
        <v>0.41399999999999998</v>
      </c>
      <c r="L442">
        <f t="shared" si="62"/>
        <v>-8095.8422159905122</v>
      </c>
      <c r="M442">
        <f t="shared" si="63"/>
        <v>5733.771616576727</v>
      </c>
      <c r="N442">
        <f t="shared" si="67"/>
        <v>0.88071154608420843</v>
      </c>
      <c r="O442">
        <f t="shared" si="68"/>
        <v>1</v>
      </c>
      <c r="P442">
        <f t="shared" si="69"/>
        <v>5380.9286748148788</v>
      </c>
    </row>
    <row r="443" spans="3:16" x14ac:dyDescent="0.25">
      <c r="C443">
        <v>0.41499999999999998</v>
      </c>
      <c r="D443">
        <f t="shared" si="60"/>
        <v>-7324.9903805821095</v>
      </c>
      <c r="E443">
        <f t="shared" si="61"/>
        <v>4573.2150574839015</v>
      </c>
      <c r="F443">
        <f t="shared" si="64"/>
        <v>0.88750554847051388</v>
      </c>
      <c r="G443">
        <f t="shared" si="65"/>
        <v>1</v>
      </c>
      <c r="H443">
        <f t="shared" si="66"/>
        <v>4308.3121647145335</v>
      </c>
      <c r="K443">
        <v>0.41499999999999998</v>
      </c>
      <c r="L443">
        <f t="shared" si="62"/>
        <v>-8079.9903805821095</v>
      </c>
      <c r="M443">
        <f t="shared" si="63"/>
        <v>5730.4699235255193</v>
      </c>
      <c r="N443">
        <f t="shared" si="67"/>
        <v>0.88180128332934393</v>
      </c>
      <c r="O443">
        <f t="shared" si="68"/>
        <v>1</v>
      </c>
      <c r="P443">
        <f t="shared" si="69"/>
        <v>5381.1562266314404</v>
      </c>
    </row>
    <row r="444" spans="3:16" x14ac:dyDescent="0.25">
      <c r="C444">
        <v>0.41599999999999998</v>
      </c>
      <c r="D444">
        <f t="shared" si="60"/>
        <v>-7312.1385451737069</v>
      </c>
      <c r="E444">
        <f t="shared" si="61"/>
        <v>4570.5382182050444</v>
      </c>
      <c r="F444">
        <f t="shared" si="64"/>
        <v>0.88857723674266631</v>
      </c>
      <c r="G444">
        <f t="shared" si="65"/>
        <v>1</v>
      </c>
      <c r="H444">
        <f t="shared" si="66"/>
        <v>4308.3892790508053</v>
      </c>
      <c r="K444">
        <v>0.41599999999999998</v>
      </c>
      <c r="L444">
        <f t="shared" si="62"/>
        <v>-8064.1385451737069</v>
      </c>
      <c r="M444">
        <f t="shared" si="63"/>
        <v>5727.1682304743117</v>
      </c>
      <c r="N444">
        <f t="shared" si="67"/>
        <v>0.88288602016325068</v>
      </c>
      <c r="O444">
        <f t="shared" si="68"/>
        <v>1</v>
      </c>
      <c r="P444">
        <f t="shared" si="69"/>
        <v>5381.3626531337623</v>
      </c>
    </row>
    <row r="445" spans="3:16" x14ac:dyDescent="0.25">
      <c r="C445">
        <v>0.41699999999999998</v>
      </c>
      <c r="D445">
        <f t="shared" si="60"/>
        <v>-7299.2867097653043</v>
      </c>
      <c r="E445">
        <f t="shared" si="61"/>
        <v>4567.8613789261872</v>
      </c>
      <c r="F445">
        <f t="shared" si="64"/>
        <v>0.88964379578734498</v>
      </c>
      <c r="G445">
        <f t="shared" si="65"/>
        <v>1</v>
      </c>
      <c r="H445">
        <f t="shared" si="66"/>
        <v>4308.4493632092899</v>
      </c>
      <c r="K445">
        <v>0.41699999999999998</v>
      </c>
      <c r="L445">
        <f t="shared" si="62"/>
        <v>-8048.2867097653043</v>
      </c>
      <c r="M445">
        <f t="shared" si="63"/>
        <v>5723.8665374231032</v>
      </c>
      <c r="N445">
        <f t="shared" si="67"/>
        <v>0.8839657565859288</v>
      </c>
      <c r="O445">
        <f t="shared" si="68"/>
        <v>1</v>
      </c>
      <c r="P445">
        <f t="shared" si="69"/>
        <v>5381.5480160703546</v>
      </c>
    </row>
    <row r="446" spans="3:16" x14ac:dyDescent="0.25">
      <c r="C446">
        <v>0.41799999999999998</v>
      </c>
      <c r="D446">
        <f t="shared" si="60"/>
        <v>-7286.4348743569017</v>
      </c>
      <c r="E446">
        <f t="shared" si="61"/>
        <v>4565.18453964733</v>
      </c>
      <c r="F446">
        <f t="shared" si="64"/>
        <v>0.89070522560455001</v>
      </c>
      <c r="G446">
        <f t="shared" si="65"/>
        <v>1</v>
      </c>
      <c r="H446">
        <f t="shared" si="66"/>
        <v>4308.4924669066531</v>
      </c>
      <c r="K446">
        <v>0.41799999999999998</v>
      </c>
      <c r="L446">
        <f t="shared" si="62"/>
        <v>-8032.4348743569017</v>
      </c>
      <c r="M446">
        <f t="shared" si="63"/>
        <v>5720.5648443718947</v>
      </c>
      <c r="N446">
        <f t="shared" si="67"/>
        <v>0.88504049259737827</v>
      </c>
      <c r="O446">
        <f t="shared" si="68"/>
        <v>1</v>
      </c>
      <c r="P446">
        <f t="shared" si="69"/>
        <v>5381.7123768726397</v>
      </c>
    </row>
    <row r="447" spans="3:16" x14ac:dyDescent="0.25">
      <c r="C447">
        <v>0.41899999999999998</v>
      </c>
      <c r="D447">
        <f t="shared" si="60"/>
        <v>-7273.5830389484991</v>
      </c>
      <c r="E447">
        <f t="shared" si="61"/>
        <v>4562.5077003684728</v>
      </c>
      <c r="F447">
        <f t="shared" si="64"/>
        <v>0.89176152619428128</v>
      </c>
      <c r="G447">
        <f t="shared" si="65"/>
        <v>1</v>
      </c>
      <c r="H447">
        <f t="shared" si="66"/>
        <v>4308.5186396052268</v>
      </c>
      <c r="K447">
        <v>0.41899999999999998</v>
      </c>
      <c r="L447">
        <f t="shared" si="62"/>
        <v>-8016.5830389485</v>
      </c>
      <c r="M447">
        <f t="shared" si="63"/>
        <v>5717.263151320687</v>
      </c>
      <c r="N447">
        <f t="shared" si="67"/>
        <v>0.88611022819759899</v>
      </c>
      <c r="O447">
        <f t="shared" si="68"/>
        <v>1</v>
      </c>
      <c r="P447">
        <f t="shared" si="69"/>
        <v>5381.855796657409</v>
      </c>
    </row>
    <row r="448" spans="3:16" x14ac:dyDescent="0.25">
      <c r="C448">
        <v>0.42</v>
      </c>
      <c r="D448">
        <f t="shared" si="60"/>
        <v>-7260.7312035400973</v>
      </c>
      <c r="E448">
        <f t="shared" si="61"/>
        <v>4559.8308610896156</v>
      </c>
      <c r="F448">
        <f t="shared" si="64"/>
        <v>0.89281269755653891</v>
      </c>
      <c r="G448">
        <f t="shared" si="65"/>
        <v>1</v>
      </c>
      <c r="H448">
        <f t="shared" si="66"/>
        <v>4308.5279305149697</v>
      </c>
      <c r="K448">
        <v>0.42</v>
      </c>
      <c r="L448">
        <f t="shared" si="62"/>
        <v>-8000.7312035400973</v>
      </c>
      <c r="M448">
        <f t="shared" si="63"/>
        <v>5713.9614582694794</v>
      </c>
      <c r="N448">
        <f t="shared" si="67"/>
        <v>0.88717496338659108</v>
      </c>
      <c r="O448">
        <f t="shared" si="68"/>
        <v>1</v>
      </c>
      <c r="P448">
        <f t="shared" si="69"/>
        <v>5381.9783362292492</v>
      </c>
    </row>
    <row r="449" spans="3:16" x14ac:dyDescent="0.25">
      <c r="C449">
        <v>0.42099999999999999</v>
      </c>
      <c r="D449">
        <f t="shared" si="60"/>
        <v>-7247.8793681316947</v>
      </c>
      <c r="E449">
        <f t="shared" si="61"/>
        <v>4557.1540218107584</v>
      </c>
      <c r="F449">
        <f t="shared" si="64"/>
        <v>0.8938587396913229</v>
      </c>
      <c r="G449">
        <f t="shared" si="65"/>
        <v>1</v>
      </c>
      <c r="H449">
        <f t="shared" si="66"/>
        <v>4308.5203885954106</v>
      </c>
      <c r="K449">
        <v>0.42099999999999999</v>
      </c>
      <c r="L449">
        <f t="shared" si="62"/>
        <v>-7984.8793681316947</v>
      </c>
      <c r="M449">
        <f t="shared" si="63"/>
        <v>5710.6597652182709</v>
      </c>
      <c r="N449">
        <f t="shared" si="67"/>
        <v>0.88823469816435452</v>
      </c>
      <c r="O449">
        <f t="shared" si="68"/>
        <v>1</v>
      </c>
      <c r="P449">
        <f t="shared" si="69"/>
        <v>5382.0800560829493</v>
      </c>
    </row>
    <row r="450" spans="3:16" x14ac:dyDescent="0.25">
      <c r="C450">
        <v>0.42199999999999999</v>
      </c>
      <c r="D450">
        <f t="shared" si="60"/>
        <v>-7235.0275327232921</v>
      </c>
      <c r="E450">
        <f t="shared" si="61"/>
        <v>4554.4771825319012</v>
      </c>
      <c r="F450">
        <f t="shared" si="64"/>
        <v>0.89489965259863324</v>
      </c>
      <c r="G450">
        <f t="shared" si="65"/>
        <v>1</v>
      </c>
      <c r="H450">
        <f t="shared" si="66"/>
        <v>4308.4960625575604</v>
      </c>
      <c r="K450">
        <v>0.42199999999999999</v>
      </c>
      <c r="L450">
        <f t="shared" si="62"/>
        <v>-7969.0275327232921</v>
      </c>
      <c r="M450">
        <f t="shared" si="63"/>
        <v>5707.3580721670623</v>
      </c>
      <c r="N450">
        <f t="shared" si="67"/>
        <v>0.88928943253088932</v>
      </c>
      <c r="O450">
        <f t="shared" si="68"/>
        <v>1</v>
      </c>
      <c r="P450">
        <f t="shared" si="69"/>
        <v>5382.161016405882</v>
      </c>
    </row>
    <row r="451" spans="3:16" x14ac:dyDescent="0.25">
      <c r="C451">
        <v>0.42299999999999999</v>
      </c>
      <c r="D451">
        <f t="shared" si="60"/>
        <v>-7222.1756973148895</v>
      </c>
      <c r="E451">
        <f t="shared" si="61"/>
        <v>4551.800343253044</v>
      </c>
      <c r="F451">
        <f t="shared" si="64"/>
        <v>0.89593543627846983</v>
      </c>
      <c r="G451">
        <f t="shared" si="65"/>
        <v>1</v>
      </c>
      <c r="H451">
        <f t="shared" si="66"/>
        <v>4308.4550008658143</v>
      </c>
      <c r="K451">
        <v>0.42299999999999999</v>
      </c>
      <c r="L451">
        <f t="shared" si="62"/>
        <v>-7953.1756973148895</v>
      </c>
      <c r="M451">
        <f t="shared" si="63"/>
        <v>5704.0563791158547</v>
      </c>
      <c r="N451">
        <f t="shared" si="67"/>
        <v>0.89033916648619549</v>
      </c>
      <c r="O451">
        <f t="shared" si="68"/>
        <v>1</v>
      </c>
      <c r="P451">
        <f t="shared" si="69"/>
        <v>5382.2212770803508</v>
      </c>
    </row>
    <row r="452" spans="3:16" x14ac:dyDescent="0.25">
      <c r="C452">
        <v>0.42399999999999999</v>
      </c>
      <c r="D452">
        <f t="shared" si="60"/>
        <v>-7209.3238619064869</v>
      </c>
      <c r="E452">
        <f t="shared" si="61"/>
        <v>4549.123503974186</v>
      </c>
      <c r="F452">
        <f t="shared" si="64"/>
        <v>0.89696609073083289</v>
      </c>
      <c r="G452">
        <f t="shared" si="65"/>
        <v>1</v>
      </c>
      <c r="H452">
        <f t="shared" si="66"/>
        <v>4308.3972517398297</v>
      </c>
      <c r="K452">
        <v>0.42399999999999999</v>
      </c>
      <c r="L452">
        <f t="shared" si="62"/>
        <v>-7937.3238619064869</v>
      </c>
      <c r="M452">
        <f t="shared" si="63"/>
        <v>5700.7546860646462</v>
      </c>
      <c r="N452">
        <f t="shared" si="67"/>
        <v>0.89138390003027301</v>
      </c>
      <c r="O452">
        <f t="shared" si="68"/>
        <v>1</v>
      </c>
      <c r="P452">
        <f t="shared" si="69"/>
        <v>5382.2608976859237</v>
      </c>
    </row>
    <row r="453" spans="3:16" x14ac:dyDescent="0.25">
      <c r="C453">
        <v>0.42499999999999999</v>
      </c>
      <c r="D453">
        <f t="shared" si="60"/>
        <v>-7196.4720264980842</v>
      </c>
      <c r="E453">
        <f t="shared" si="61"/>
        <v>4546.4466646953288</v>
      </c>
      <c r="F453">
        <f t="shared" si="64"/>
        <v>0.89799161595572219</v>
      </c>
      <c r="G453">
        <f t="shared" si="65"/>
        <v>1</v>
      </c>
      <c r="H453">
        <f t="shared" si="66"/>
        <v>4308.3228631563825</v>
      </c>
      <c r="K453">
        <v>0.42499999999999999</v>
      </c>
      <c r="L453">
        <f t="shared" si="62"/>
        <v>-7921.4720264980842</v>
      </c>
      <c r="M453">
        <f t="shared" si="63"/>
        <v>5697.4529930134386</v>
      </c>
      <c r="N453">
        <f t="shared" si="67"/>
        <v>0.89242363316312179</v>
      </c>
      <c r="O453">
        <f t="shared" si="68"/>
        <v>1</v>
      </c>
      <c r="P453">
        <f t="shared" si="69"/>
        <v>5382.2799375017394</v>
      </c>
    </row>
    <row r="454" spans="3:16" x14ac:dyDescent="0.25">
      <c r="C454">
        <v>0.42599999999999999</v>
      </c>
      <c r="D454">
        <f t="shared" si="60"/>
        <v>-7183.6201910896825</v>
      </c>
      <c r="E454">
        <f t="shared" si="61"/>
        <v>4543.7698254164716</v>
      </c>
      <c r="F454">
        <f t="shared" si="64"/>
        <v>0.89901201195313774</v>
      </c>
      <c r="G454">
        <f t="shared" si="65"/>
        <v>1</v>
      </c>
      <c r="H454">
        <f t="shared" si="66"/>
        <v>4308.2318828512098</v>
      </c>
      <c r="K454">
        <v>0.42599999999999999</v>
      </c>
      <c r="L454">
        <f t="shared" si="62"/>
        <v>-7905.6201910896825</v>
      </c>
      <c r="M454">
        <f t="shared" si="63"/>
        <v>5694.15129996223</v>
      </c>
      <c r="N454">
        <f t="shared" si="67"/>
        <v>0.89345836588474192</v>
      </c>
      <c r="O454">
        <f t="shared" si="68"/>
        <v>1</v>
      </c>
      <c r="P454">
        <f t="shared" si="69"/>
        <v>5382.2784555087846</v>
      </c>
    </row>
    <row r="455" spans="3:16" x14ac:dyDescent="0.25">
      <c r="C455">
        <v>0.42699999999999999</v>
      </c>
      <c r="D455">
        <f t="shared" si="60"/>
        <v>-7170.7683556812799</v>
      </c>
      <c r="E455">
        <f t="shared" si="61"/>
        <v>4541.0929861376144</v>
      </c>
      <c r="F455">
        <f t="shared" si="64"/>
        <v>0.90002727872307964</v>
      </c>
      <c r="G455">
        <f t="shared" si="65"/>
        <v>1</v>
      </c>
      <c r="H455">
        <f t="shared" si="66"/>
        <v>4308.1243583208279</v>
      </c>
      <c r="K455">
        <v>0.42699999999999999</v>
      </c>
      <c r="L455">
        <f t="shared" si="62"/>
        <v>-7889.7683556812799</v>
      </c>
      <c r="M455">
        <f t="shared" si="63"/>
        <v>5690.8496069110224</v>
      </c>
      <c r="N455">
        <f t="shared" si="67"/>
        <v>0.89448809819513342</v>
      </c>
      <c r="O455">
        <f t="shared" si="68"/>
        <v>1</v>
      </c>
      <c r="P455">
        <f t="shared" si="69"/>
        <v>5382.2565103921534</v>
      </c>
    </row>
    <row r="456" spans="3:16" x14ac:dyDescent="0.25">
      <c r="C456">
        <v>0.42799999999999999</v>
      </c>
      <c r="D456">
        <f t="shared" si="60"/>
        <v>-7157.9165202728773</v>
      </c>
      <c r="E456">
        <f t="shared" si="61"/>
        <v>4538.4161468587572</v>
      </c>
      <c r="F456">
        <f t="shared" si="64"/>
        <v>0.90103741626554801</v>
      </c>
      <c r="G456">
        <f t="shared" si="65"/>
        <v>1</v>
      </c>
      <c r="H456">
        <f t="shared" si="66"/>
        <v>4308.0003368243351</v>
      </c>
      <c r="K456">
        <v>0.42799999999999999</v>
      </c>
      <c r="L456">
        <f t="shared" si="62"/>
        <v>-7873.9165202728773</v>
      </c>
      <c r="M456">
        <f t="shared" si="63"/>
        <v>5687.5479138598148</v>
      </c>
      <c r="N456">
        <f t="shared" si="67"/>
        <v>0.89551283009429627</v>
      </c>
      <c r="O456">
        <f t="shared" si="68"/>
        <v>1</v>
      </c>
      <c r="P456">
        <f t="shared" si="69"/>
        <v>5382.2141605432826</v>
      </c>
    </row>
    <row r="457" spans="3:16" x14ac:dyDescent="0.25">
      <c r="C457">
        <v>0.42899999999999999</v>
      </c>
      <c r="D457">
        <f t="shared" si="60"/>
        <v>-7145.0646848644747</v>
      </c>
      <c r="E457">
        <f t="shared" si="61"/>
        <v>4535.7393075799</v>
      </c>
      <c r="F457">
        <f t="shared" si="64"/>
        <v>0.90204242458054262</v>
      </c>
      <c r="G457">
        <f t="shared" si="65"/>
        <v>1</v>
      </c>
      <c r="H457">
        <f t="shared" si="66"/>
        <v>4307.8598653851923</v>
      </c>
      <c r="K457">
        <v>0.42899999999999999</v>
      </c>
      <c r="L457">
        <f t="shared" si="62"/>
        <v>-7858.0646848644747</v>
      </c>
      <c r="M457">
        <f t="shared" si="63"/>
        <v>5684.2462208086063</v>
      </c>
      <c r="N457">
        <f t="shared" si="67"/>
        <v>0.89653256158223049</v>
      </c>
      <c r="O457">
        <f t="shared" si="68"/>
        <v>1</v>
      </c>
      <c r="P457">
        <f t="shared" si="69"/>
        <v>5382.1514640621581</v>
      </c>
    </row>
    <row r="458" spans="3:16" x14ac:dyDescent="0.25">
      <c r="C458">
        <v>0.43</v>
      </c>
      <c r="D458">
        <f t="shared" si="60"/>
        <v>-7132.212849456072</v>
      </c>
      <c r="E458">
        <f t="shared" si="61"/>
        <v>4533.0624683010428</v>
      </c>
      <c r="F458">
        <f t="shared" si="64"/>
        <v>0.9030423036680636</v>
      </c>
      <c r="G458">
        <f t="shared" si="65"/>
        <v>1</v>
      </c>
      <c r="H458">
        <f t="shared" si="66"/>
        <v>4307.7029907929891</v>
      </c>
      <c r="K458">
        <v>0.43</v>
      </c>
      <c r="L458">
        <f t="shared" si="62"/>
        <v>-7842.212849456072</v>
      </c>
      <c r="M458">
        <f t="shared" si="63"/>
        <v>5680.9445277573977</v>
      </c>
      <c r="N458">
        <f t="shared" si="67"/>
        <v>0.89754729265893596</v>
      </c>
      <c r="O458">
        <f t="shared" si="68"/>
        <v>1</v>
      </c>
      <c r="P458">
        <f t="shared" si="69"/>
        <v>5382.0684787595092</v>
      </c>
    </row>
    <row r="459" spans="3:16" x14ac:dyDescent="0.25">
      <c r="C459">
        <v>0.43099999999999999</v>
      </c>
      <c r="D459">
        <f t="shared" si="60"/>
        <v>-7119.3610140476694</v>
      </c>
      <c r="E459">
        <f t="shared" si="61"/>
        <v>4530.3856290221856</v>
      </c>
      <c r="F459">
        <f t="shared" si="64"/>
        <v>0.90403705352811081</v>
      </c>
      <c r="G459">
        <f t="shared" si="65"/>
        <v>1</v>
      </c>
      <c r="H459">
        <f t="shared" si="66"/>
        <v>4307.5297596051923</v>
      </c>
      <c r="K459">
        <v>0.43099999999999999</v>
      </c>
      <c r="L459">
        <f t="shared" si="62"/>
        <v>-7826.3610140476694</v>
      </c>
      <c r="M459">
        <f t="shared" si="63"/>
        <v>5677.6428347061901</v>
      </c>
      <c r="N459">
        <f t="shared" si="67"/>
        <v>0.89855702332441278</v>
      </c>
      <c r="O459">
        <f t="shared" si="68"/>
        <v>1</v>
      </c>
      <c r="P459">
        <f t="shared" si="69"/>
        <v>5381.9652621589712</v>
      </c>
    </row>
    <row r="460" spans="3:16" x14ac:dyDescent="0.25">
      <c r="C460">
        <v>0.432</v>
      </c>
      <c r="D460">
        <f t="shared" si="60"/>
        <v>-7106.5091786392677</v>
      </c>
      <c r="E460">
        <f t="shared" si="61"/>
        <v>4527.7087897433285</v>
      </c>
      <c r="F460">
        <f t="shared" si="64"/>
        <v>0.90502667416068439</v>
      </c>
      <c r="G460">
        <f t="shared" si="65"/>
        <v>1</v>
      </c>
      <c r="H460">
        <f t="shared" si="66"/>
        <v>4307.3402181488691</v>
      </c>
      <c r="K460">
        <v>0.432</v>
      </c>
      <c r="L460">
        <f t="shared" si="62"/>
        <v>-7810.5091786392677</v>
      </c>
      <c r="M460">
        <f t="shared" si="63"/>
        <v>5674.3411416549825</v>
      </c>
      <c r="N460">
        <f t="shared" si="67"/>
        <v>0.89956175357866097</v>
      </c>
      <c r="O460">
        <f t="shared" si="68"/>
        <v>1</v>
      </c>
      <c r="P460">
        <f t="shared" si="69"/>
        <v>5381.8418714992267</v>
      </c>
    </row>
    <row r="461" spans="3:16" x14ac:dyDescent="0.25">
      <c r="C461">
        <v>0.433</v>
      </c>
      <c r="D461">
        <f t="shared" si="60"/>
        <v>-7093.6573432308651</v>
      </c>
      <c r="E461">
        <f t="shared" si="61"/>
        <v>4525.0319504644704</v>
      </c>
      <c r="F461">
        <f t="shared" si="64"/>
        <v>0.90601116556578432</v>
      </c>
      <c r="G461">
        <f t="shared" si="65"/>
        <v>1</v>
      </c>
      <c r="H461">
        <f t="shared" si="66"/>
        <v>4307.1344125223986</v>
      </c>
      <c r="K461">
        <v>0.433</v>
      </c>
      <c r="L461">
        <f t="shared" si="62"/>
        <v>-7794.6573432308651</v>
      </c>
      <c r="M461">
        <f t="shared" si="63"/>
        <v>5671.039448603774</v>
      </c>
      <c r="N461">
        <f t="shared" si="67"/>
        <v>0.90056148342168052</v>
      </c>
      <c r="O461">
        <f t="shared" si="68"/>
        <v>1</v>
      </c>
      <c r="P461">
        <f t="shared" si="69"/>
        <v>5381.6983637361282</v>
      </c>
    </row>
    <row r="462" spans="3:16" x14ac:dyDescent="0.25">
      <c r="C462">
        <v>0.434</v>
      </c>
      <c r="D462">
        <f t="shared" si="60"/>
        <v>-7080.8055078224625</v>
      </c>
      <c r="E462">
        <f t="shared" si="61"/>
        <v>4522.3551111856141</v>
      </c>
      <c r="F462">
        <f t="shared" si="64"/>
        <v>0.9069905277434106</v>
      </c>
      <c r="G462">
        <f t="shared" si="65"/>
        <v>1</v>
      </c>
      <c r="H462">
        <f t="shared" si="66"/>
        <v>4306.9123885971721</v>
      </c>
      <c r="K462">
        <v>0.434</v>
      </c>
      <c r="L462">
        <f t="shared" si="62"/>
        <v>-7778.8055078224625</v>
      </c>
      <c r="M462">
        <f t="shared" si="63"/>
        <v>5667.7377555525654</v>
      </c>
      <c r="N462">
        <f t="shared" si="67"/>
        <v>0.90155621285347132</v>
      </c>
      <c r="O462">
        <f t="shared" si="68"/>
        <v>1</v>
      </c>
      <c r="P462">
        <f t="shared" si="69"/>
        <v>5381.5347955448015</v>
      </c>
    </row>
    <row r="463" spans="3:16" x14ac:dyDescent="0.25">
      <c r="C463">
        <v>0.435</v>
      </c>
      <c r="D463">
        <f t="shared" si="60"/>
        <v>-7067.9536724140598</v>
      </c>
      <c r="E463">
        <f t="shared" si="61"/>
        <v>4519.678271906756</v>
      </c>
      <c r="F463">
        <f t="shared" si="64"/>
        <v>0.90796476069356313</v>
      </c>
      <c r="G463">
        <f t="shared" si="65"/>
        <v>1</v>
      </c>
      <c r="H463">
        <f t="shared" si="66"/>
        <v>4306.6741920192553</v>
      </c>
      <c r="K463">
        <v>0.435</v>
      </c>
      <c r="L463">
        <f t="shared" si="62"/>
        <v>-7762.9536724140598</v>
      </c>
      <c r="M463">
        <f t="shared" si="63"/>
        <v>5664.4360625013578</v>
      </c>
      <c r="N463">
        <f t="shared" si="67"/>
        <v>0.90254594187403359</v>
      </c>
      <c r="O463">
        <f t="shared" si="68"/>
        <v>1</v>
      </c>
      <c r="P463">
        <f t="shared" si="69"/>
        <v>5381.3512233217207</v>
      </c>
    </row>
    <row r="464" spans="3:16" x14ac:dyDescent="0.25">
      <c r="C464">
        <v>0.436</v>
      </c>
      <c r="D464">
        <f t="shared" si="60"/>
        <v>-7055.1018370056572</v>
      </c>
      <c r="E464">
        <f t="shared" si="61"/>
        <v>4517.0014326278988</v>
      </c>
      <c r="F464">
        <f t="shared" si="64"/>
        <v>0.90893386441624213</v>
      </c>
      <c r="G464">
        <f t="shared" si="65"/>
        <v>1</v>
      </c>
      <c r="H464">
        <f t="shared" si="66"/>
        <v>4306.4198682110591</v>
      </c>
      <c r="K464">
        <v>0.436</v>
      </c>
      <c r="L464">
        <f t="shared" si="62"/>
        <v>-7747.1018370056572</v>
      </c>
      <c r="M464">
        <f t="shared" si="63"/>
        <v>5661.1343694501493</v>
      </c>
      <c r="N464">
        <f t="shared" si="67"/>
        <v>0.9035306704833671</v>
      </c>
      <c r="O464">
        <f t="shared" si="68"/>
        <v>1</v>
      </c>
      <c r="P464">
        <f t="shared" si="69"/>
        <v>5381.1477031867616</v>
      </c>
    </row>
    <row r="465" spans="3:16" x14ac:dyDescent="0.25">
      <c r="C465">
        <v>0.437</v>
      </c>
      <c r="D465">
        <f t="shared" si="60"/>
        <v>-7042.2500015972546</v>
      </c>
      <c r="E465">
        <f t="shared" si="61"/>
        <v>4514.3245933490416</v>
      </c>
      <c r="F465">
        <f t="shared" si="64"/>
        <v>0.90989783891144738</v>
      </c>
      <c r="G465">
        <f t="shared" si="65"/>
        <v>1</v>
      </c>
      <c r="H465">
        <f t="shared" si="66"/>
        <v>4306.1494623729768</v>
      </c>
      <c r="K465">
        <v>0.437</v>
      </c>
      <c r="L465">
        <f t="shared" si="62"/>
        <v>-7731.2500015972546</v>
      </c>
      <c r="M465">
        <f t="shared" si="63"/>
        <v>5657.8326763989417</v>
      </c>
      <c r="N465">
        <f t="shared" si="67"/>
        <v>0.90451039868147198</v>
      </c>
      <c r="O465">
        <f t="shared" si="68"/>
        <v>1</v>
      </c>
      <c r="P465">
        <f t="shared" si="69"/>
        <v>5380.9242909852492</v>
      </c>
    </row>
    <row r="466" spans="3:16" x14ac:dyDescent="0.25">
      <c r="C466">
        <v>0.438</v>
      </c>
      <c r="D466">
        <f t="shared" si="60"/>
        <v>-7029.398166188852</v>
      </c>
      <c r="E466">
        <f t="shared" si="61"/>
        <v>4511.6477540701844</v>
      </c>
      <c r="F466">
        <f t="shared" si="64"/>
        <v>0.91085668417917898</v>
      </c>
      <c r="G466">
        <f t="shared" si="65"/>
        <v>1</v>
      </c>
      <c r="H466">
        <f t="shared" si="66"/>
        <v>4305.8630194850057</v>
      </c>
      <c r="K466">
        <v>0.438</v>
      </c>
      <c r="L466">
        <f t="shared" si="62"/>
        <v>-7715.398166188852</v>
      </c>
      <c r="M466">
        <f t="shared" si="63"/>
        <v>5654.5309833477331</v>
      </c>
      <c r="N466">
        <f t="shared" si="67"/>
        <v>0.90548512646834822</v>
      </c>
      <c r="O466">
        <f t="shared" si="68"/>
        <v>1</v>
      </c>
      <c r="P466">
        <f t="shared" si="69"/>
        <v>5380.6810422899598</v>
      </c>
    </row>
    <row r="467" spans="3:16" x14ac:dyDescent="0.25">
      <c r="C467">
        <v>0.439</v>
      </c>
      <c r="D467">
        <f t="shared" si="60"/>
        <v>-7016.5463307804503</v>
      </c>
      <c r="E467">
        <f t="shared" si="61"/>
        <v>4508.9709147913272</v>
      </c>
      <c r="F467">
        <f t="shared" si="64"/>
        <v>0.91181040021943682</v>
      </c>
      <c r="G467">
        <f t="shared" si="65"/>
        <v>1</v>
      </c>
      <c r="H467">
        <f t="shared" si="66"/>
        <v>4305.5605843083622</v>
      </c>
      <c r="K467">
        <v>0.439</v>
      </c>
      <c r="L467">
        <f t="shared" si="62"/>
        <v>-7699.5463307804503</v>
      </c>
      <c r="M467">
        <f t="shared" si="63"/>
        <v>5651.2292902965255</v>
      </c>
      <c r="N467">
        <f t="shared" si="67"/>
        <v>0.90645485384399571</v>
      </c>
      <c r="O467">
        <f t="shared" si="68"/>
        <v>1</v>
      </c>
      <c r="P467">
        <f t="shared" si="69"/>
        <v>5380.4180124031236</v>
      </c>
    </row>
    <row r="468" spans="3:16" x14ac:dyDescent="0.25">
      <c r="C468">
        <v>0.44</v>
      </c>
      <c r="D468">
        <f t="shared" si="60"/>
        <v>-7003.6944953720476</v>
      </c>
      <c r="E468">
        <f t="shared" si="61"/>
        <v>4506.29407551247</v>
      </c>
      <c r="F468">
        <f t="shared" si="64"/>
        <v>0.91275898703222103</v>
      </c>
      <c r="G468">
        <f t="shared" si="65"/>
        <v>1</v>
      </c>
      <c r="H468">
        <f t="shared" si="66"/>
        <v>4305.2422013870691</v>
      </c>
      <c r="K468">
        <v>0.44</v>
      </c>
      <c r="L468">
        <f t="shared" si="62"/>
        <v>-7683.6944953720476</v>
      </c>
      <c r="M468">
        <f t="shared" si="63"/>
        <v>5647.9275972453179</v>
      </c>
      <c r="N468">
        <f t="shared" si="67"/>
        <v>0.90741958080841467</v>
      </c>
      <c r="O468">
        <f t="shared" si="68"/>
        <v>1</v>
      </c>
      <c r="P468">
        <f t="shared" si="69"/>
        <v>5380.1352563584023</v>
      </c>
    </row>
    <row r="469" spans="3:16" x14ac:dyDescent="0.25">
      <c r="C469">
        <v>0.441</v>
      </c>
      <c r="D469">
        <f t="shared" si="60"/>
        <v>-6990.842659963645</v>
      </c>
      <c r="E469">
        <f t="shared" si="61"/>
        <v>4503.6172362336129</v>
      </c>
      <c r="F469">
        <f t="shared" si="64"/>
        <v>0.91370244461753158</v>
      </c>
      <c r="G469">
        <f t="shared" si="65"/>
        <v>1</v>
      </c>
      <c r="H469">
        <f t="shared" si="66"/>
        <v>4304.9079150495345</v>
      </c>
      <c r="K469">
        <v>0.441</v>
      </c>
      <c r="L469">
        <f t="shared" si="62"/>
        <v>-7667.842659963645</v>
      </c>
      <c r="M469">
        <f t="shared" si="63"/>
        <v>5644.6259041941094</v>
      </c>
      <c r="N469">
        <f t="shared" si="67"/>
        <v>0.90837930736160488</v>
      </c>
      <c r="O469">
        <f t="shared" si="68"/>
        <v>1</v>
      </c>
      <c r="P469">
        <f t="shared" si="69"/>
        <v>5379.8328289228348</v>
      </c>
    </row>
    <row r="470" spans="3:16" x14ac:dyDescent="0.25">
      <c r="C470">
        <v>0.442</v>
      </c>
      <c r="D470">
        <f t="shared" si="60"/>
        <v>-6977.9908245552424</v>
      </c>
      <c r="E470">
        <f t="shared" si="61"/>
        <v>4500.9403969547548</v>
      </c>
      <c r="F470">
        <f t="shared" si="64"/>
        <v>0.9146407729753685</v>
      </c>
      <c r="G470">
        <f t="shared" si="65"/>
        <v>1</v>
      </c>
      <c r="H470">
        <f t="shared" si="66"/>
        <v>4304.5577694101075</v>
      </c>
      <c r="K470">
        <v>0.442</v>
      </c>
      <c r="L470">
        <f t="shared" si="62"/>
        <v>-7651.9908245552424</v>
      </c>
      <c r="M470">
        <f t="shared" si="63"/>
        <v>5641.3242111429008</v>
      </c>
      <c r="N470">
        <f t="shared" si="67"/>
        <v>0.90933403350356645</v>
      </c>
      <c r="O470">
        <f t="shared" si="68"/>
        <v>1</v>
      </c>
      <c r="P470">
        <f t="shared" si="69"/>
        <v>5379.5107845987823</v>
      </c>
    </row>
    <row r="471" spans="3:16" x14ac:dyDescent="0.25">
      <c r="C471">
        <v>0.443</v>
      </c>
      <c r="D471">
        <f t="shared" si="60"/>
        <v>-6965.1389891468398</v>
      </c>
      <c r="E471">
        <f t="shared" si="61"/>
        <v>4498.2635576758985</v>
      </c>
      <c r="F471">
        <f t="shared" si="64"/>
        <v>0.91557397210573177</v>
      </c>
      <c r="G471">
        <f t="shared" si="65"/>
        <v>1</v>
      </c>
      <c r="H471">
        <f t="shared" si="66"/>
        <v>4304.1918083706341</v>
      </c>
      <c r="K471">
        <v>0.443</v>
      </c>
      <c r="L471">
        <f t="shared" si="62"/>
        <v>-7636.1389891468398</v>
      </c>
      <c r="M471">
        <f t="shared" si="63"/>
        <v>5638.0225180916932</v>
      </c>
      <c r="N471">
        <f t="shared" si="67"/>
        <v>0.91028375923429938</v>
      </c>
      <c r="O471">
        <f t="shared" si="68"/>
        <v>1</v>
      </c>
      <c r="P471">
        <f t="shared" si="69"/>
        <v>5379.1691776258394</v>
      </c>
    </row>
    <row r="472" spans="3:16" x14ac:dyDescent="0.25">
      <c r="C472">
        <v>0.44400000000000001</v>
      </c>
      <c r="D472">
        <f t="shared" si="60"/>
        <v>-6952.2871537384372</v>
      </c>
      <c r="E472">
        <f t="shared" si="61"/>
        <v>4495.5867183970404</v>
      </c>
      <c r="F472">
        <f t="shared" si="64"/>
        <v>0.91650204200862129</v>
      </c>
      <c r="G472">
        <f t="shared" si="65"/>
        <v>1</v>
      </c>
      <c r="H472">
        <f t="shared" si="66"/>
        <v>4303.8100756219674</v>
      </c>
      <c r="K472">
        <v>0.44400000000000001</v>
      </c>
      <c r="L472">
        <f t="shared" si="62"/>
        <v>-7620.2871537384372</v>
      </c>
      <c r="M472">
        <f t="shared" si="63"/>
        <v>5634.7208250404847</v>
      </c>
      <c r="N472">
        <f t="shared" si="67"/>
        <v>0.91122848455380367</v>
      </c>
      <c r="O472">
        <f t="shared" si="68"/>
        <v>1</v>
      </c>
      <c r="P472">
        <f t="shared" si="69"/>
        <v>5378.8080619827315</v>
      </c>
    </row>
    <row r="473" spans="3:16" x14ac:dyDescent="0.25">
      <c r="C473">
        <v>0.44500000000000001</v>
      </c>
      <c r="D473">
        <f t="shared" si="60"/>
        <v>-6939.4353183300354</v>
      </c>
      <c r="E473">
        <f t="shared" si="61"/>
        <v>4492.9098791181832</v>
      </c>
      <c r="F473">
        <f t="shared" si="64"/>
        <v>0.91742498268403705</v>
      </c>
      <c r="G473">
        <f t="shared" si="65"/>
        <v>1</v>
      </c>
      <c r="H473">
        <f t="shared" si="66"/>
        <v>4303.4126146455028</v>
      </c>
      <c r="K473">
        <v>0.44500000000000001</v>
      </c>
      <c r="L473">
        <f t="shared" si="62"/>
        <v>-7604.4353183300354</v>
      </c>
      <c r="M473">
        <f t="shared" si="63"/>
        <v>5631.419131989277</v>
      </c>
      <c r="N473">
        <f t="shared" si="67"/>
        <v>0.91216820946207922</v>
      </c>
      <c r="O473">
        <f t="shared" si="68"/>
        <v>1</v>
      </c>
      <c r="P473">
        <f t="shared" si="69"/>
        <v>5378.4274913891904</v>
      </c>
    </row>
    <row r="474" spans="3:16" x14ac:dyDescent="0.25">
      <c r="C474">
        <v>0.44600000000000001</v>
      </c>
      <c r="D474">
        <f t="shared" si="60"/>
        <v>-6926.5834829216328</v>
      </c>
      <c r="E474">
        <f t="shared" si="61"/>
        <v>4490.233039839326</v>
      </c>
      <c r="F474">
        <f t="shared" si="64"/>
        <v>0.91834279413197928</v>
      </c>
      <c r="G474">
        <f t="shared" si="65"/>
        <v>1</v>
      </c>
      <c r="H474">
        <f t="shared" si="66"/>
        <v>4302.9994687146609</v>
      </c>
      <c r="K474">
        <v>0.44600000000000001</v>
      </c>
      <c r="L474">
        <f t="shared" si="62"/>
        <v>-7588.5834829216328</v>
      </c>
      <c r="M474">
        <f t="shared" si="63"/>
        <v>5628.1174389380685</v>
      </c>
      <c r="N474">
        <f t="shared" si="67"/>
        <v>0.91310293395912612</v>
      </c>
      <c r="O474">
        <f t="shared" si="68"/>
        <v>1</v>
      </c>
      <c r="P474">
        <f t="shared" si="69"/>
        <v>5378.0275193078196</v>
      </c>
    </row>
    <row r="475" spans="3:16" x14ac:dyDescent="0.25">
      <c r="C475">
        <v>0.44700000000000001</v>
      </c>
      <c r="D475">
        <f t="shared" si="60"/>
        <v>-6913.7316475132302</v>
      </c>
      <c r="E475">
        <f t="shared" si="61"/>
        <v>4487.5562005604688</v>
      </c>
      <c r="F475">
        <f t="shared" si="64"/>
        <v>0.91925547635244786</v>
      </c>
      <c r="G475">
        <f t="shared" si="65"/>
        <v>1</v>
      </c>
      <c r="H475">
        <f t="shared" si="66"/>
        <v>4302.570680896376</v>
      </c>
      <c r="K475">
        <v>0.44700000000000001</v>
      </c>
      <c r="L475">
        <f t="shared" si="62"/>
        <v>-7572.7316475132302</v>
      </c>
      <c r="M475">
        <f t="shared" si="63"/>
        <v>5624.8157458868609</v>
      </c>
      <c r="N475">
        <f t="shared" si="67"/>
        <v>0.91403265804494438</v>
      </c>
      <c r="O475">
        <f t="shared" si="68"/>
        <v>1</v>
      </c>
      <c r="P475">
        <f t="shared" si="69"/>
        <v>5377.6081989459281</v>
      </c>
    </row>
    <row r="476" spans="3:16" x14ac:dyDescent="0.25">
      <c r="C476">
        <v>0.44800000000000001</v>
      </c>
      <c r="D476">
        <f t="shared" ref="D476:D539" si="70">-$J$23+($J$15+$J$23)*C476</f>
        <v>-6900.8798121048276</v>
      </c>
      <c r="E476">
        <f t="shared" ref="E476:E539" si="71">$J$12-$J$11*D476</f>
        <v>4484.8793612816116</v>
      </c>
      <c r="F476">
        <f t="shared" si="64"/>
        <v>0.9201630293454427</v>
      </c>
      <c r="G476">
        <f t="shared" si="65"/>
        <v>1</v>
      </c>
      <c r="H476">
        <f t="shared" si="66"/>
        <v>4302.1262940525703</v>
      </c>
      <c r="K476">
        <v>0.44800000000000001</v>
      </c>
      <c r="L476">
        <f t="shared" ref="L476:L539" si="72">-$M$23+($M$15+$M$23)*K476</f>
        <v>-7556.8798121048276</v>
      </c>
      <c r="M476">
        <f t="shared" ref="M476:M539" si="73">$J$12-$J$11*L476+$E$18</f>
        <v>5621.5140528356524</v>
      </c>
      <c r="N476">
        <f t="shared" si="67"/>
        <v>0.914957381719534</v>
      </c>
      <c r="O476">
        <f t="shared" si="68"/>
        <v>1</v>
      </c>
      <c r="P476">
        <f t="shared" si="69"/>
        <v>5377.1695832573578</v>
      </c>
    </row>
    <row r="477" spans="3:16" x14ac:dyDescent="0.25">
      <c r="C477">
        <v>0.44900000000000001</v>
      </c>
      <c r="D477">
        <f t="shared" si="70"/>
        <v>-6888.027976696425</v>
      </c>
      <c r="E477">
        <f t="shared" si="71"/>
        <v>4482.2025220027544</v>
      </c>
      <c r="F477">
        <f t="shared" ref="F477:F540" si="74">IF(D477&lt;$J$20,MAX(1-(D477-$J$20)^2/$J$22^2,0),1)</f>
        <v>0.92106545311096388</v>
      </c>
      <c r="G477">
        <f t="shared" ref="G477:G540" si="75">IF(D477&gt;$J$17,MAX(1-(D477-$J$17)^2/($J$15-$J$17)^2,0),1)</f>
        <v>1</v>
      </c>
      <c r="H477">
        <f t="shared" ref="H477:H540" si="76">SQRT(E477^2*F477*G477)</f>
        <v>4301.6663508415968</v>
      </c>
      <c r="K477">
        <v>0.44900000000000001</v>
      </c>
      <c r="L477">
        <f t="shared" si="72"/>
        <v>-7541.027976696425</v>
      </c>
      <c r="M477">
        <f t="shared" si="73"/>
        <v>5618.2123597844447</v>
      </c>
      <c r="N477">
        <f t="shared" ref="N477:N540" si="77">IF(L477&lt;$J$20,MAX(1-(L477-$J$20)^2/$M$22^2,0),1)</f>
        <v>0.91587710498289499</v>
      </c>
      <c r="O477">
        <f t="shared" ref="O477:O540" si="78">IF(L477&gt;$J$17,MAX(1-(L477-$J$17)^2/($M$15-$J$17)^2,0),1)</f>
        <v>1</v>
      </c>
      <c r="P477">
        <f t="shared" ref="P477:P540" si="79">SQRT(M477^2*N477*O477)</f>
        <v>5376.7117249442827</v>
      </c>
    </row>
    <row r="478" spans="3:16" x14ac:dyDescent="0.25">
      <c r="C478">
        <v>0.45</v>
      </c>
      <c r="D478">
        <f t="shared" si="70"/>
        <v>-6875.1761412880223</v>
      </c>
      <c r="E478">
        <f t="shared" si="71"/>
        <v>4479.5256827238973</v>
      </c>
      <c r="F478">
        <f t="shared" si="74"/>
        <v>0.92196274764901143</v>
      </c>
      <c r="G478">
        <f t="shared" si="75"/>
        <v>1</v>
      </c>
      <c r="H478">
        <f t="shared" si="76"/>
        <v>4301.1908937196904</v>
      </c>
      <c r="K478">
        <v>0.45</v>
      </c>
      <c r="L478">
        <f t="shared" si="72"/>
        <v>-7525.1761412880223</v>
      </c>
      <c r="M478">
        <f t="shared" si="73"/>
        <v>5614.9106667332362</v>
      </c>
      <c r="N478">
        <f t="shared" si="77"/>
        <v>0.91679182783502722</v>
      </c>
      <c r="O478">
        <f t="shared" si="78"/>
        <v>1</v>
      </c>
      <c r="P478">
        <f t="shared" si="79"/>
        <v>5376.2346764589984</v>
      </c>
    </row>
    <row r="479" spans="3:16" x14ac:dyDescent="0.25">
      <c r="C479">
        <v>0.45100000000000001</v>
      </c>
      <c r="D479">
        <f t="shared" si="70"/>
        <v>-6862.3243058796206</v>
      </c>
      <c r="E479">
        <f t="shared" si="71"/>
        <v>4476.8488434450401</v>
      </c>
      <c r="F479">
        <f t="shared" si="74"/>
        <v>0.92285491295958522</v>
      </c>
      <c r="G479">
        <f t="shared" si="75"/>
        <v>1</v>
      </c>
      <c r="H479">
        <f t="shared" si="76"/>
        <v>4300.699964942386</v>
      </c>
      <c r="K479">
        <v>0.45100000000000001</v>
      </c>
      <c r="L479">
        <f t="shared" si="72"/>
        <v>-7509.3243058796197</v>
      </c>
      <c r="M479">
        <f t="shared" si="73"/>
        <v>5611.6089736820286</v>
      </c>
      <c r="N479">
        <f t="shared" si="77"/>
        <v>0.91770155027593092</v>
      </c>
      <c r="O479">
        <f t="shared" si="78"/>
        <v>1</v>
      </c>
      <c r="P479">
        <f t="shared" si="79"/>
        <v>5375.7384900056932</v>
      </c>
    </row>
    <row r="480" spans="3:16" x14ac:dyDescent="0.25">
      <c r="C480">
        <v>0.45200000000000001</v>
      </c>
      <c r="D480">
        <f t="shared" si="70"/>
        <v>-6849.472470471218</v>
      </c>
      <c r="E480">
        <f t="shared" si="71"/>
        <v>4474.1720041661829</v>
      </c>
      <c r="F480">
        <f t="shared" si="74"/>
        <v>0.92374194904268547</v>
      </c>
      <c r="G480">
        <f t="shared" si="75"/>
        <v>1</v>
      </c>
      <c r="H480">
        <f t="shared" si="76"/>
        <v>4300.1936065659365</v>
      </c>
      <c r="K480">
        <v>0.45200000000000001</v>
      </c>
      <c r="L480">
        <f t="shared" si="72"/>
        <v>-7493.472470471218</v>
      </c>
      <c r="M480">
        <f t="shared" si="73"/>
        <v>5608.307280630821</v>
      </c>
      <c r="N480">
        <f t="shared" si="77"/>
        <v>0.91860627230560576</v>
      </c>
      <c r="O480">
        <f t="shared" si="78"/>
        <v>1</v>
      </c>
      <c r="P480">
        <f t="shared" si="79"/>
        <v>5375.2232175421905</v>
      </c>
    </row>
    <row r="481" spans="3:16" x14ac:dyDescent="0.25">
      <c r="C481">
        <v>0.45300000000000001</v>
      </c>
      <c r="D481">
        <f t="shared" si="70"/>
        <v>-6836.6206350628154</v>
      </c>
      <c r="E481">
        <f t="shared" si="71"/>
        <v>4471.4951648873248</v>
      </c>
      <c r="F481">
        <f t="shared" si="74"/>
        <v>0.92462385589831197</v>
      </c>
      <c r="G481">
        <f t="shared" si="75"/>
        <v>1</v>
      </c>
      <c r="H481">
        <f t="shared" si="76"/>
        <v>4299.6718604487005</v>
      </c>
      <c r="K481">
        <v>0.45300000000000001</v>
      </c>
      <c r="L481">
        <f t="shared" si="72"/>
        <v>-7477.6206350628154</v>
      </c>
      <c r="M481">
        <f t="shared" si="73"/>
        <v>5605.0055875796124</v>
      </c>
      <c r="N481">
        <f t="shared" si="77"/>
        <v>0.91950599392405208</v>
      </c>
      <c r="O481">
        <f t="shared" si="78"/>
        <v>1</v>
      </c>
      <c r="P481">
        <f t="shared" si="79"/>
        <v>5374.6889107816924</v>
      </c>
    </row>
    <row r="482" spans="3:16" x14ac:dyDescent="0.25">
      <c r="C482">
        <v>0.45400000000000001</v>
      </c>
      <c r="D482">
        <f t="shared" si="70"/>
        <v>-6823.7687996544128</v>
      </c>
      <c r="E482">
        <f t="shared" si="71"/>
        <v>4468.8183256084676</v>
      </c>
      <c r="F482">
        <f t="shared" si="74"/>
        <v>0.92550063352646483</v>
      </c>
      <c r="G482">
        <f t="shared" si="75"/>
        <v>1</v>
      </c>
      <c r="H482">
        <f t="shared" si="76"/>
        <v>4299.1347682525384</v>
      </c>
      <c r="K482">
        <v>0.45400000000000001</v>
      </c>
      <c r="L482">
        <f t="shared" si="72"/>
        <v>-7461.7687996544128</v>
      </c>
      <c r="M482">
        <f t="shared" si="73"/>
        <v>5601.7038945284039</v>
      </c>
      <c r="N482">
        <f t="shared" si="77"/>
        <v>0.92040071513126975</v>
      </c>
      <c r="O482">
        <f t="shared" si="78"/>
        <v>1</v>
      </c>
      <c r="P482">
        <f t="shared" si="79"/>
        <v>5374.1356211944903</v>
      </c>
    </row>
    <row r="483" spans="3:16" x14ac:dyDescent="0.25">
      <c r="C483">
        <v>0.45500000000000002</v>
      </c>
      <c r="D483">
        <f t="shared" si="70"/>
        <v>-6810.9169642460101</v>
      </c>
      <c r="E483">
        <f t="shared" si="71"/>
        <v>4466.1414863296104</v>
      </c>
      <c r="F483">
        <f t="shared" si="74"/>
        <v>0.92637228192714394</v>
      </c>
      <c r="G483">
        <f t="shared" si="75"/>
        <v>1</v>
      </c>
      <c r="H483">
        <f t="shared" si="76"/>
        <v>4298.5823714441703</v>
      </c>
      <c r="K483">
        <v>0.45500000000000002</v>
      </c>
      <c r="L483">
        <f t="shared" si="72"/>
        <v>-7445.9169642460101</v>
      </c>
      <c r="M483">
        <f t="shared" si="73"/>
        <v>5598.4022014771963</v>
      </c>
      <c r="N483">
        <f t="shared" si="77"/>
        <v>0.92129043592725868</v>
      </c>
      <c r="O483">
        <f t="shared" si="78"/>
        <v>1</v>
      </c>
      <c r="P483">
        <f t="shared" si="79"/>
        <v>5373.5634000096688</v>
      </c>
    </row>
    <row r="484" spans="3:16" x14ac:dyDescent="0.25">
      <c r="C484">
        <v>0.45600000000000002</v>
      </c>
      <c r="D484">
        <f t="shared" si="70"/>
        <v>-6798.0651288376075</v>
      </c>
      <c r="E484">
        <f t="shared" si="71"/>
        <v>4463.4646470507532</v>
      </c>
      <c r="F484">
        <f t="shared" si="74"/>
        <v>0.92723880110034951</v>
      </c>
      <c r="G484">
        <f t="shared" si="75"/>
        <v>1</v>
      </c>
      <c r="H484">
        <f t="shared" si="76"/>
        <v>4298.0147112965442</v>
      </c>
      <c r="K484">
        <v>0.45600000000000002</v>
      </c>
      <c r="L484">
        <f t="shared" si="72"/>
        <v>-7430.0651288376075</v>
      </c>
      <c r="M484">
        <f t="shared" si="73"/>
        <v>5595.1005084259878</v>
      </c>
      <c r="N484">
        <f t="shared" si="77"/>
        <v>0.92217515631201907</v>
      </c>
      <c r="O484">
        <f t="shared" si="78"/>
        <v>1</v>
      </c>
      <c r="P484">
        <f t="shared" si="79"/>
        <v>5372.9722982167859</v>
      </c>
    </row>
    <row r="485" spans="3:16" x14ac:dyDescent="0.25">
      <c r="C485">
        <v>0.45700000000000002</v>
      </c>
      <c r="D485">
        <f t="shared" si="70"/>
        <v>-6785.2132934292049</v>
      </c>
      <c r="E485">
        <f t="shared" si="71"/>
        <v>4460.787807771896</v>
      </c>
      <c r="F485">
        <f t="shared" si="74"/>
        <v>0.92810019104608132</v>
      </c>
      <c r="G485">
        <f t="shared" si="75"/>
        <v>1</v>
      </c>
      <c r="H485">
        <f t="shared" si="76"/>
        <v>4297.4318288901677</v>
      </c>
      <c r="K485">
        <v>0.45700000000000002</v>
      </c>
      <c r="L485">
        <f t="shared" si="72"/>
        <v>-7414.2132934292049</v>
      </c>
      <c r="M485">
        <f t="shared" si="73"/>
        <v>5591.7988153747801</v>
      </c>
      <c r="N485">
        <f t="shared" si="77"/>
        <v>0.92305487628555072</v>
      </c>
      <c r="O485">
        <f t="shared" si="78"/>
        <v>1</v>
      </c>
      <c r="P485">
        <f t="shared" si="79"/>
        <v>5372.3623665675423</v>
      </c>
    </row>
    <row r="486" spans="3:16" x14ac:dyDescent="0.25">
      <c r="C486">
        <v>0.45800000000000002</v>
      </c>
      <c r="D486">
        <f t="shared" si="70"/>
        <v>-6772.3614580208032</v>
      </c>
      <c r="E486">
        <f t="shared" si="71"/>
        <v>4458.1109684930389</v>
      </c>
      <c r="F486">
        <f t="shared" si="74"/>
        <v>0.92895645176433939</v>
      </c>
      <c r="G486">
        <f t="shared" si="75"/>
        <v>1</v>
      </c>
      <c r="H486">
        <f t="shared" si="76"/>
        <v>4296.8337651144484</v>
      </c>
      <c r="K486">
        <v>0.45800000000000002</v>
      </c>
      <c r="L486">
        <f t="shared" si="72"/>
        <v>-7398.3614580208032</v>
      </c>
      <c r="M486">
        <f t="shared" si="73"/>
        <v>5588.4971223235716</v>
      </c>
      <c r="N486">
        <f t="shared" si="77"/>
        <v>0.92392959584785361</v>
      </c>
      <c r="O486">
        <f t="shared" si="78"/>
        <v>1</v>
      </c>
      <c r="P486">
        <f t="shared" si="79"/>
        <v>5371.7336555774255</v>
      </c>
    </row>
    <row r="487" spans="3:16" x14ac:dyDescent="0.25">
      <c r="C487">
        <v>0.45900000000000002</v>
      </c>
      <c r="D487">
        <f t="shared" si="70"/>
        <v>-6759.5096226124006</v>
      </c>
      <c r="E487">
        <f t="shared" si="71"/>
        <v>4455.4341292141817</v>
      </c>
      <c r="F487">
        <f t="shared" si="74"/>
        <v>0.92980758325512392</v>
      </c>
      <c r="G487">
        <f t="shared" si="75"/>
        <v>1</v>
      </c>
      <c r="H487">
        <f t="shared" si="76"/>
        <v>4296.220560669005</v>
      </c>
      <c r="K487">
        <v>0.45900000000000002</v>
      </c>
      <c r="L487">
        <f t="shared" si="72"/>
        <v>-7382.5096226124006</v>
      </c>
      <c r="M487">
        <f t="shared" si="73"/>
        <v>5585.195429272364</v>
      </c>
      <c r="N487">
        <f t="shared" si="77"/>
        <v>0.92479931499892798</v>
      </c>
      <c r="O487">
        <f t="shared" si="78"/>
        <v>1</v>
      </c>
      <c r="P487">
        <f t="shared" si="79"/>
        <v>5371.086215527358</v>
      </c>
    </row>
    <row r="488" spans="3:16" x14ac:dyDescent="0.25">
      <c r="C488">
        <v>0.46</v>
      </c>
      <c r="D488">
        <f t="shared" si="70"/>
        <v>-6746.6577872039979</v>
      </c>
      <c r="E488">
        <f t="shared" si="71"/>
        <v>4452.7572899353245</v>
      </c>
      <c r="F488">
        <f t="shared" si="74"/>
        <v>0.93065358551843469</v>
      </c>
      <c r="G488">
        <f t="shared" si="75"/>
        <v>1</v>
      </c>
      <c r="H488">
        <f t="shared" si="76"/>
        <v>4295.5922560649742</v>
      </c>
      <c r="K488">
        <v>0.46</v>
      </c>
      <c r="L488">
        <f t="shared" si="72"/>
        <v>-7366.6577872039979</v>
      </c>
      <c r="M488">
        <f t="shared" si="73"/>
        <v>5581.8937362211555</v>
      </c>
      <c r="N488">
        <f t="shared" si="77"/>
        <v>0.92566403373877371</v>
      </c>
      <c r="O488">
        <f t="shared" si="78"/>
        <v>1</v>
      </c>
      <c r="P488">
        <f t="shared" si="79"/>
        <v>5370.4200964653</v>
      </c>
    </row>
    <row r="489" spans="3:16" x14ac:dyDescent="0.25">
      <c r="C489">
        <v>0.46100000000000002</v>
      </c>
      <c r="D489">
        <f t="shared" si="70"/>
        <v>-6733.8059517955953</v>
      </c>
      <c r="E489">
        <f t="shared" si="71"/>
        <v>4450.0804506564673</v>
      </c>
      <c r="F489">
        <f t="shared" si="74"/>
        <v>0.93149445855427182</v>
      </c>
      <c r="G489">
        <f t="shared" si="75"/>
        <v>1</v>
      </c>
      <c r="H489">
        <f t="shared" si="76"/>
        <v>4294.9488916263017</v>
      </c>
      <c r="K489">
        <v>0.46100000000000002</v>
      </c>
      <c r="L489">
        <f t="shared" si="72"/>
        <v>-7350.8059517955953</v>
      </c>
      <c r="M489">
        <f t="shared" si="73"/>
        <v>5578.5920431699478</v>
      </c>
      <c r="N489">
        <f t="shared" si="77"/>
        <v>0.92652375206739068</v>
      </c>
      <c r="O489">
        <f t="shared" si="78"/>
        <v>1</v>
      </c>
      <c r="P489">
        <f t="shared" si="79"/>
        <v>5369.7353482078661</v>
      </c>
    </row>
    <row r="490" spans="3:16" x14ac:dyDescent="0.25">
      <c r="C490">
        <v>0.46200000000000002</v>
      </c>
      <c r="D490">
        <f t="shared" si="70"/>
        <v>-6720.9541163871927</v>
      </c>
      <c r="E490">
        <f t="shared" si="71"/>
        <v>4447.4036113776092</v>
      </c>
      <c r="F490">
        <f t="shared" si="74"/>
        <v>0.93233020236263531</v>
      </c>
      <c r="G490">
        <f t="shared" si="75"/>
        <v>1</v>
      </c>
      <c r="H490">
        <f t="shared" si="76"/>
        <v>4294.2905074910186</v>
      </c>
      <c r="K490">
        <v>0.46200000000000002</v>
      </c>
      <c r="L490">
        <f t="shared" si="72"/>
        <v>-7334.9541163871927</v>
      </c>
      <c r="M490">
        <f t="shared" si="73"/>
        <v>5575.2903501187393</v>
      </c>
      <c r="N490">
        <f t="shared" si="77"/>
        <v>0.92737846998477902</v>
      </c>
      <c r="O490">
        <f t="shared" si="78"/>
        <v>1</v>
      </c>
      <c r="P490">
        <f t="shared" si="79"/>
        <v>5369.0320203418987</v>
      </c>
    </row>
    <row r="491" spans="3:16" x14ac:dyDescent="0.25">
      <c r="C491">
        <v>0.46300000000000002</v>
      </c>
      <c r="D491">
        <f t="shared" si="70"/>
        <v>-6708.1022809787901</v>
      </c>
      <c r="E491">
        <f t="shared" si="71"/>
        <v>4444.726772098752</v>
      </c>
      <c r="F491">
        <f t="shared" si="74"/>
        <v>0.93316081694352515</v>
      </c>
      <c r="G491">
        <f t="shared" si="75"/>
        <v>1</v>
      </c>
      <c r="H491">
        <f t="shared" si="76"/>
        <v>4293.6171436125169</v>
      </c>
      <c r="K491">
        <v>0.46300000000000002</v>
      </c>
      <c r="L491">
        <f t="shared" si="72"/>
        <v>-7319.1022809787901</v>
      </c>
      <c r="M491">
        <f t="shared" si="73"/>
        <v>5571.9886570675317</v>
      </c>
      <c r="N491">
        <f t="shared" si="77"/>
        <v>0.92822818749093872</v>
      </c>
      <c r="O491">
        <f t="shared" si="78"/>
        <v>1</v>
      </c>
      <c r="P491">
        <f t="shared" si="79"/>
        <v>5368.3101622260547</v>
      </c>
    </row>
    <row r="492" spans="3:16" x14ac:dyDescent="0.25">
      <c r="C492">
        <v>0.46400000000000002</v>
      </c>
      <c r="D492">
        <f t="shared" si="70"/>
        <v>-6695.2504455703884</v>
      </c>
      <c r="E492">
        <f t="shared" si="71"/>
        <v>4442.0499328198948</v>
      </c>
      <c r="F492">
        <f t="shared" si="74"/>
        <v>0.93398630229694124</v>
      </c>
      <c r="G492">
        <f t="shared" si="75"/>
        <v>1</v>
      </c>
      <c r="H492">
        <f t="shared" si="76"/>
        <v>4292.9288397607907</v>
      </c>
      <c r="K492">
        <v>0.46400000000000002</v>
      </c>
      <c r="L492">
        <f t="shared" si="72"/>
        <v>-7303.2504455703875</v>
      </c>
      <c r="M492">
        <f t="shared" si="73"/>
        <v>5568.6869640163231</v>
      </c>
      <c r="N492">
        <f t="shared" si="77"/>
        <v>0.92907290458586977</v>
      </c>
      <c r="O492">
        <f t="shared" si="78"/>
        <v>1</v>
      </c>
      <c r="P492">
        <f t="shared" si="79"/>
        <v>5367.5698229923491</v>
      </c>
    </row>
    <row r="493" spans="3:16" x14ac:dyDescent="0.25">
      <c r="C493">
        <v>0.46500000000000002</v>
      </c>
      <c r="D493">
        <f t="shared" si="70"/>
        <v>-6682.3986101619857</v>
      </c>
      <c r="E493">
        <f t="shared" si="71"/>
        <v>4439.3730935410376</v>
      </c>
      <c r="F493">
        <f t="shared" si="74"/>
        <v>0.93480665842288369</v>
      </c>
      <c r="G493">
        <f t="shared" si="75"/>
        <v>1</v>
      </c>
      <c r="H493">
        <f t="shared" si="76"/>
        <v>4292.2256355236905</v>
      </c>
      <c r="K493">
        <v>0.46500000000000002</v>
      </c>
      <c r="L493">
        <f t="shared" si="72"/>
        <v>-7287.3986101619857</v>
      </c>
      <c r="M493">
        <f t="shared" si="73"/>
        <v>5565.3852709651155</v>
      </c>
      <c r="N493">
        <f t="shared" si="77"/>
        <v>0.92991262126957208</v>
      </c>
      <c r="O493">
        <f t="shared" si="78"/>
        <v>1</v>
      </c>
      <c r="P493">
        <f t="shared" si="79"/>
        <v>5366.8110515477083</v>
      </c>
    </row>
    <row r="494" spans="3:16" x14ac:dyDescent="0.25">
      <c r="C494">
        <v>0.46600000000000003</v>
      </c>
      <c r="D494">
        <f t="shared" si="70"/>
        <v>-6669.5467747535831</v>
      </c>
      <c r="E494">
        <f t="shared" si="71"/>
        <v>4436.6962542621804</v>
      </c>
      <c r="F494">
        <f t="shared" si="74"/>
        <v>0.93562188532135249</v>
      </c>
      <c r="G494">
        <f t="shared" si="75"/>
        <v>1</v>
      </c>
      <c r="H494">
        <f t="shared" si="76"/>
        <v>4291.5075703081457</v>
      </c>
      <c r="K494">
        <v>0.46600000000000003</v>
      </c>
      <c r="L494">
        <f t="shared" si="72"/>
        <v>-7271.5467747535831</v>
      </c>
      <c r="M494">
        <f t="shared" si="73"/>
        <v>5562.083577913907</v>
      </c>
      <c r="N494">
        <f t="shared" si="77"/>
        <v>0.93074733754204575</v>
      </c>
      <c r="O494">
        <f t="shared" si="78"/>
        <v>1</v>
      </c>
      <c r="P494">
        <f t="shared" si="79"/>
        <v>5366.0338965754854</v>
      </c>
    </row>
    <row r="495" spans="3:16" x14ac:dyDescent="0.25">
      <c r="C495">
        <v>0.46700000000000003</v>
      </c>
      <c r="D495">
        <f t="shared" si="70"/>
        <v>-6656.6949393451805</v>
      </c>
      <c r="E495">
        <f t="shared" si="71"/>
        <v>4434.0194149833233</v>
      </c>
      <c r="F495">
        <f t="shared" si="74"/>
        <v>0.93643198299234753</v>
      </c>
      <c r="G495">
        <f t="shared" si="75"/>
        <v>1</v>
      </c>
      <c r="H495">
        <f t="shared" si="76"/>
        <v>4290.7746833413867</v>
      </c>
      <c r="K495">
        <v>0.46700000000000003</v>
      </c>
      <c r="L495">
        <f t="shared" si="72"/>
        <v>-7255.6949393451805</v>
      </c>
      <c r="M495">
        <f t="shared" si="73"/>
        <v>5558.7818848626994</v>
      </c>
      <c r="N495">
        <f t="shared" si="77"/>
        <v>0.93157705340329089</v>
      </c>
      <c r="O495">
        <f t="shared" si="78"/>
        <v>1</v>
      </c>
      <c r="P495">
        <f t="shared" si="79"/>
        <v>5365.2384065369833</v>
      </c>
    </row>
    <row r="496" spans="3:16" x14ac:dyDescent="0.25">
      <c r="C496">
        <v>0.46800000000000003</v>
      </c>
      <c r="D496">
        <f t="shared" si="70"/>
        <v>-6643.8431039367779</v>
      </c>
      <c r="E496">
        <f t="shared" si="71"/>
        <v>4431.3425757044661</v>
      </c>
      <c r="F496">
        <f t="shared" si="74"/>
        <v>0.93723695143586905</v>
      </c>
      <c r="G496">
        <f t="shared" si="75"/>
        <v>1</v>
      </c>
      <c r="H496">
        <f t="shared" si="76"/>
        <v>4290.027013672152</v>
      </c>
      <c r="K496">
        <v>0.46800000000000003</v>
      </c>
      <c r="L496">
        <f t="shared" si="72"/>
        <v>-7239.8431039367779</v>
      </c>
      <c r="M496">
        <f t="shared" si="73"/>
        <v>5555.4801918114908</v>
      </c>
      <c r="N496">
        <f t="shared" si="77"/>
        <v>0.93240176885330728</v>
      </c>
      <c r="O496">
        <f t="shared" si="78"/>
        <v>1</v>
      </c>
      <c r="P496">
        <f t="shared" si="79"/>
        <v>5364.4246296729443</v>
      </c>
    </row>
    <row r="497" spans="3:16" x14ac:dyDescent="0.25">
      <c r="C497">
        <v>0.46899999999999997</v>
      </c>
      <c r="D497">
        <f t="shared" si="70"/>
        <v>-6630.9912685283762</v>
      </c>
      <c r="E497">
        <f t="shared" si="71"/>
        <v>4428.6657364256089</v>
      </c>
      <c r="F497">
        <f t="shared" si="74"/>
        <v>0.9380367906519167</v>
      </c>
      <c r="G497">
        <f t="shared" si="75"/>
        <v>1</v>
      </c>
      <c r="H497">
        <f t="shared" si="76"/>
        <v>4289.2646001718786</v>
      </c>
      <c r="K497">
        <v>0.46899999999999997</v>
      </c>
      <c r="L497">
        <f t="shared" si="72"/>
        <v>-7223.9912685283762</v>
      </c>
      <c r="M497">
        <f t="shared" si="73"/>
        <v>5552.1784987602832</v>
      </c>
      <c r="N497">
        <f t="shared" si="77"/>
        <v>0.93322148389209492</v>
      </c>
      <c r="O497">
        <f t="shared" si="78"/>
        <v>1</v>
      </c>
      <c r="P497">
        <f t="shared" si="79"/>
        <v>5363.5926140050396</v>
      </c>
    </row>
    <row r="498" spans="3:16" x14ac:dyDescent="0.25">
      <c r="C498">
        <v>0.47</v>
      </c>
      <c r="D498">
        <f t="shared" si="70"/>
        <v>-6618.1394331199735</v>
      </c>
      <c r="E498">
        <f t="shared" si="71"/>
        <v>4425.9888971467517</v>
      </c>
      <c r="F498">
        <f t="shared" si="74"/>
        <v>0.93883150064049081</v>
      </c>
      <c r="G498">
        <f t="shared" si="75"/>
        <v>1</v>
      </c>
      <c r="H498">
        <f t="shared" si="76"/>
        <v>4288.4874815358926</v>
      </c>
      <c r="K498">
        <v>0.47</v>
      </c>
      <c r="L498">
        <f t="shared" si="72"/>
        <v>-7208.1394331199735</v>
      </c>
      <c r="M498">
        <f t="shared" si="73"/>
        <v>5548.8768057090747</v>
      </c>
      <c r="N498">
        <f t="shared" si="77"/>
        <v>0.93403619851965392</v>
      </c>
      <c r="O498">
        <f t="shared" si="78"/>
        <v>1</v>
      </c>
      <c r="P498">
        <f t="shared" si="79"/>
        <v>5362.7424073373313</v>
      </c>
    </row>
    <row r="499" spans="3:16" x14ac:dyDescent="0.25">
      <c r="C499">
        <v>0.47099999999999997</v>
      </c>
      <c r="D499">
        <f t="shared" si="70"/>
        <v>-6605.2875977115709</v>
      </c>
      <c r="E499">
        <f t="shared" si="71"/>
        <v>4423.3120578678945</v>
      </c>
      <c r="F499">
        <f t="shared" si="74"/>
        <v>0.93962108140159128</v>
      </c>
      <c r="G499">
        <f t="shared" si="75"/>
        <v>1</v>
      </c>
      <c r="H499">
        <f t="shared" si="76"/>
        <v>4287.6956962845761</v>
      </c>
      <c r="K499">
        <v>0.47099999999999997</v>
      </c>
      <c r="L499">
        <f t="shared" si="72"/>
        <v>-7192.2875977115718</v>
      </c>
      <c r="M499">
        <f t="shared" si="73"/>
        <v>5545.5751126578671</v>
      </c>
      <c r="N499">
        <f t="shared" si="77"/>
        <v>0.93484591273598427</v>
      </c>
      <c r="O499">
        <f t="shared" si="78"/>
        <v>1</v>
      </c>
      <c r="P499">
        <f t="shared" si="79"/>
        <v>5361.8740572577362</v>
      </c>
    </row>
    <row r="500" spans="3:16" x14ac:dyDescent="0.25">
      <c r="C500">
        <v>0.47199999999999998</v>
      </c>
      <c r="D500">
        <f t="shared" si="70"/>
        <v>-6592.4357623031692</v>
      </c>
      <c r="E500">
        <f t="shared" si="71"/>
        <v>4420.6352185890373</v>
      </c>
      <c r="F500">
        <f t="shared" si="74"/>
        <v>0.940405532935218</v>
      </c>
      <c r="G500">
        <f t="shared" si="75"/>
        <v>1</v>
      </c>
      <c r="H500">
        <f t="shared" si="76"/>
        <v>4286.8892827645304</v>
      </c>
      <c r="K500">
        <v>0.47199999999999998</v>
      </c>
      <c r="L500">
        <f t="shared" si="72"/>
        <v>-7176.4357623031692</v>
      </c>
      <c r="M500">
        <f t="shared" si="73"/>
        <v>5542.2734196066594</v>
      </c>
      <c r="N500">
        <f t="shared" si="77"/>
        <v>0.93565062654108611</v>
      </c>
      <c r="O500">
        <f t="shared" si="78"/>
        <v>1</v>
      </c>
      <c r="P500">
        <f t="shared" si="79"/>
        <v>5360.9876111394597</v>
      </c>
    </row>
    <row r="501" spans="3:16" x14ac:dyDescent="0.25">
      <c r="C501">
        <v>0.47299999999999998</v>
      </c>
      <c r="D501">
        <f t="shared" si="70"/>
        <v>-6579.5839268947666</v>
      </c>
      <c r="E501">
        <f t="shared" si="71"/>
        <v>4417.9583793101792</v>
      </c>
      <c r="F501">
        <f t="shared" si="74"/>
        <v>0.94118485524137108</v>
      </c>
      <c r="G501">
        <f t="shared" si="75"/>
        <v>1</v>
      </c>
      <c r="H501">
        <f t="shared" si="76"/>
        <v>4286.0682791497238</v>
      </c>
      <c r="K501">
        <v>0.47299999999999998</v>
      </c>
      <c r="L501">
        <f t="shared" si="72"/>
        <v>-7160.5839268947666</v>
      </c>
      <c r="M501">
        <f t="shared" si="73"/>
        <v>5538.9717265554509</v>
      </c>
      <c r="N501">
        <f t="shared" si="77"/>
        <v>0.93645033993495919</v>
      </c>
      <c r="O501">
        <f t="shared" si="78"/>
        <v>1</v>
      </c>
      <c r="P501">
        <f t="shared" si="79"/>
        <v>5360.0831161424267</v>
      </c>
    </row>
    <row r="502" spans="3:16" x14ac:dyDescent="0.25">
      <c r="C502">
        <v>0.47399999999999998</v>
      </c>
      <c r="D502">
        <f t="shared" si="70"/>
        <v>-6566.732091486364</v>
      </c>
      <c r="E502">
        <f t="shared" si="71"/>
        <v>4415.2815400313229</v>
      </c>
      <c r="F502">
        <f t="shared" si="74"/>
        <v>0.94195904832005051</v>
      </c>
      <c r="G502">
        <f t="shared" si="75"/>
        <v>1</v>
      </c>
      <c r="H502">
        <f t="shared" si="76"/>
        <v>4285.2327234426384</v>
      </c>
      <c r="K502">
        <v>0.47399999999999998</v>
      </c>
      <c r="L502">
        <f t="shared" si="72"/>
        <v>-7144.732091486364</v>
      </c>
      <c r="M502">
        <f t="shared" si="73"/>
        <v>5535.6700335042424</v>
      </c>
      <c r="N502">
        <f t="shared" si="77"/>
        <v>0.93724505291760352</v>
      </c>
      <c r="O502">
        <f t="shared" si="78"/>
        <v>1</v>
      </c>
      <c r="P502">
        <f t="shared" si="79"/>
        <v>5359.1606192146955</v>
      </c>
    </row>
    <row r="503" spans="3:16" x14ac:dyDescent="0.25">
      <c r="C503">
        <v>0.47499999999999998</v>
      </c>
      <c r="D503">
        <f t="shared" si="70"/>
        <v>-6553.8802560779613</v>
      </c>
      <c r="E503">
        <f t="shared" si="71"/>
        <v>4412.6047007524649</v>
      </c>
      <c r="F503">
        <f t="shared" si="74"/>
        <v>0.94272811217125629</v>
      </c>
      <c r="G503">
        <f t="shared" si="75"/>
        <v>1</v>
      </c>
      <c r="H503">
        <f t="shared" si="76"/>
        <v>4284.3826534753825</v>
      </c>
      <c r="K503">
        <v>0.47499999999999998</v>
      </c>
      <c r="L503">
        <f t="shared" si="72"/>
        <v>-7128.8802560779613</v>
      </c>
      <c r="M503">
        <f t="shared" si="73"/>
        <v>5532.3683404530348</v>
      </c>
      <c r="N503">
        <f t="shared" si="77"/>
        <v>0.93803476548901932</v>
      </c>
      <c r="O503">
        <f t="shared" si="78"/>
        <v>1</v>
      </c>
      <c r="P503">
        <f t="shared" si="79"/>
        <v>5358.2201670938593</v>
      </c>
    </row>
    <row r="504" spans="3:16" x14ac:dyDescent="0.25">
      <c r="C504">
        <v>0.47599999999999998</v>
      </c>
      <c r="D504">
        <f t="shared" si="70"/>
        <v>-6541.0284206695587</v>
      </c>
      <c r="E504">
        <f t="shared" si="71"/>
        <v>4409.9278614736077</v>
      </c>
      <c r="F504">
        <f t="shared" si="74"/>
        <v>0.94349204679498833</v>
      </c>
      <c r="G504">
        <f t="shared" si="75"/>
        <v>1</v>
      </c>
      <c r="H504">
        <f t="shared" si="76"/>
        <v>4283.5181069108266</v>
      </c>
      <c r="K504">
        <v>0.47599999999999998</v>
      </c>
      <c r="L504">
        <f t="shared" si="72"/>
        <v>-7113.0284206695587</v>
      </c>
      <c r="M504">
        <f t="shared" si="73"/>
        <v>5529.0666474018271</v>
      </c>
      <c r="N504">
        <f t="shared" si="77"/>
        <v>0.93881947764920648</v>
      </c>
      <c r="O504">
        <f t="shared" si="78"/>
        <v>1</v>
      </c>
      <c r="P504">
        <f t="shared" si="79"/>
        <v>5357.2618063084301</v>
      </c>
    </row>
    <row r="505" spans="3:16" x14ac:dyDescent="0.25">
      <c r="C505">
        <v>0.47699999999999998</v>
      </c>
      <c r="D505">
        <f t="shared" si="70"/>
        <v>-6528.1765852611561</v>
      </c>
      <c r="E505">
        <f t="shared" si="71"/>
        <v>4407.2510221947505</v>
      </c>
      <c r="F505">
        <f t="shared" si="74"/>
        <v>0.94425085219124671</v>
      </c>
      <c r="G505">
        <f t="shared" si="75"/>
        <v>1</v>
      </c>
      <c r="H505">
        <f t="shared" si="76"/>
        <v>4282.6391212436974</v>
      </c>
      <c r="K505">
        <v>0.47699999999999998</v>
      </c>
      <c r="L505">
        <f t="shared" si="72"/>
        <v>-7097.1765852611561</v>
      </c>
      <c r="M505">
        <f t="shared" si="73"/>
        <v>5525.7649543506186</v>
      </c>
      <c r="N505">
        <f t="shared" si="77"/>
        <v>0.93959918939816489</v>
      </c>
      <c r="O505">
        <f t="shared" si="78"/>
        <v>1</v>
      </c>
      <c r="P505">
        <f t="shared" si="79"/>
        <v>5356.2855831792149</v>
      </c>
    </row>
    <row r="506" spans="3:16" x14ac:dyDescent="0.25">
      <c r="C506">
        <v>0.47799999999999998</v>
      </c>
      <c r="D506">
        <f t="shared" si="70"/>
        <v>-6515.3247498527544</v>
      </c>
      <c r="E506">
        <f t="shared" si="71"/>
        <v>4404.5741829158933</v>
      </c>
      <c r="F506">
        <f t="shared" si="74"/>
        <v>0.94500452836003146</v>
      </c>
      <c r="G506">
        <f t="shared" si="75"/>
        <v>1</v>
      </c>
      <c r="H506">
        <f t="shared" si="76"/>
        <v>4281.7457338016784</v>
      </c>
      <c r="K506">
        <v>0.47799999999999998</v>
      </c>
      <c r="L506">
        <f t="shared" si="72"/>
        <v>-7081.3247498527544</v>
      </c>
      <c r="M506">
        <f t="shared" si="73"/>
        <v>5522.4632612994101</v>
      </c>
      <c r="N506">
        <f t="shared" si="77"/>
        <v>0.94037390073589455</v>
      </c>
      <c r="O506">
        <f t="shared" si="78"/>
        <v>1</v>
      </c>
      <c r="P506">
        <f t="shared" si="79"/>
        <v>5355.2915438206783</v>
      </c>
    </row>
    <row r="507" spans="3:16" x14ac:dyDescent="0.25">
      <c r="C507">
        <v>0.47899999999999998</v>
      </c>
      <c r="D507">
        <f t="shared" si="70"/>
        <v>-6502.4729144443518</v>
      </c>
      <c r="E507">
        <f t="shared" si="71"/>
        <v>4401.8973436370361</v>
      </c>
      <c r="F507">
        <f t="shared" si="74"/>
        <v>0.94575307530134245</v>
      </c>
      <c r="G507">
        <f t="shared" si="75"/>
        <v>1</v>
      </c>
      <c r="H507">
        <f t="shared" si="76"/>
        <v>4280.8379817464956</v>
      </c>
      <c r="K507">
        <v>0.47899999999999998</v>
      </c>
      <c r="L507">
        <f t="shared" si="72"/>
        <v>-7065.4729144443518</v>
      </c>
      <c r="M507">
        <f t="shared" si="73"/>
        <v>5519.1615682482025</v>
      </c>
      <c r="N507">
        <f t="shared" si="77"/>
        <v>0.94114361166239568</v>
      </c>
      <c r="O507">
        <f t="shared" si="78"/>
        <v>1</v>
      </c>
      <c r="P507">
        <f t="shared" si="79"/>
        <v>5354.2797341422893</v>
      </c>
    </row>
    <row r="508" spans="3:16" x14ac:dyDescent="0.25">
      <c r="C508">
        <v>0.48</v>
      </c>
      <c r="D508">
        <f t="shared" si="70"/>
        <v>-6489.6210790359492</v>
      </c>
      <c r="E508">
        <f t="shared" si="71"/>
        <v>4399.2205043581789</v>
      </c>
      <c r="F508">
        <f t="shared" si="74"/>
        <v>0.9464964930151798</v>
      </c>
      <c r="G508">
        <f t="shared" si="75"/>
        <v>1</v>
      </c>
      <c r="H508">
        <f t="shared" si="76"/>
        <v>4279.9159020749939</v>
      </c>
      <c r="K508">
        <v>0.48</v>
      </c>
      <c r="L508">
        <f t="shared" si="72"/>
        <v>-7049.6210790359492</v>
      </c>
      <c r="M508">
        <f t="shared" si="73"/>
        <v>5515.8598751969948</v>
      </c>
      <c r="N508">
        <f t="shared" si="77"/>
        <v>0.94190832217766818</v>
      </c>
      <c r="O508">
        <f t="shared" si="78"/>
        <v>1</v>
      </c>
      <c r="P508">
        <f t="shared" si="79"/>
        <v>5353.2501998498565</v>
      </c>
    </row>
    <row r="509" spans="3:16" x14ac:dyDescent="0.25">
      <c r="C509">
        <v>0.48099999999999998</v>
      </c>
      <c r="D509">
        <f t="shared" si="70"/>
        <v>-6476.7692436275465</v>
      </c>
      <c r="E509">
        <f t="shared" si="71"/>
        <v>4396.5436650793217</v>
      </c>
      <c r="F509">
        <f t="shared" si="74"/>
        <v>0.94723478150154361</v>
      </c>
      <c r="G509">
        <f t="shared" si="75"/>
        <v>1</v>
      </c>
      <c r="H509">
        <f t="shared" si="76"/>
        <v>4278.9795316202008</v>
      </c>
      <c r="K509">
        <v>0.48099999999999998</v>
      </c>
      <c r="L509">
        <f t="shared" si="72"/>
        <v>-7033.7692436275465</v>
      </c>
      <c r="M509">
        <f t="shared" si="73"/>
        <v>5512.5581821457863</v>
      </c>
      <c r="N509">
        <f t="shared" si="77"/>
        <v>0.94266803228171192</v>
      </c>
      <c r="O509">
        <f t="shared" si="78"/>
        <v>1</v>
      </c>
      <c r="P509">
        <f t="shared" si="79"/>
        <v>5352.2029864468495</v>
      </c>
    </row>
    <row r="510" spans="3:16" x14ac:dyDescent="0.25">
      <c r="C510">
        <v>0.48199999999999998</v>
      </c>
      <c r="D510">
        <f t="shared" si="70"/>
        <v>-6463.9174082191439</v>
      </c>
      <c r="E510">
        <f t="shared" si="71"/>
        <v>4393.8668258004636</v>
      </c>
      <c r="F510">
        <f t="shared" si="74"/>
        <v>0.94796794076043367</v>
      </c>
      <c r="G510">
        <f t="shared" si="75"/>
        <v>1</v>
      </c>
      <c r="H510">
        <f t="shared" si="76"/>
        <v>4278.0289070523822</v>
      </c>
      <c r="K510">
        <v>0.48199999999999998</v>
      </c>
      <c r="L510">
        <f t="shared" si="72"/>
        <v>-7017.9174082191439</v>
      </c>
      <c r="M510">
        <f t="shared" si="73"/>
        <v>5509.2564890945778</v>
      </c>
      <c r="N510">
        <f t="shared" si="77"/>
        <v>0.94342274197452702</v>
      </c>
      <c r="O510">
        <f t="shared" si="78"/>
        <v>1</v>
      </c>
      <c r="P510">
        <f t="shared" si="79"/>
        <v>5351.1381392357162</v>
      </c>
    </row>
    <row r="511" spans="3:16" x14ac:dyDescent="0.25">
      <c r="C511">
        <v>0.48299999999999998</v>
      </c>
      <c r="D511">
        <f t="shared" si="70"/>
        <v>-6451.0655728107413</v>
      </c>
      <c r="E511">
        <f t="shared" si="71"/>
        <v>4391.1899865216074</v>
      </c>
      <c r="F511">
        <f t="shared" si="74"/>
        <v>0.94869597079184997</v>
      </c>
      <c r="G511">
        <f t="shared" si="75"/>
        <v>1</v>
      </c>
      <c r="H511">
        <f t="shared" si="76"/>
        <v>4277.0640648800918</v>
      </c>
      <c r="K511">
        <v>0.48299999999999998</v>
      </c>
      <c r="L511">
        <f t="shared" si="72"/>
        <v>-7002.0655728107413</v>
      </c>
      <c r="M511">
        <f t="shared" si="73"/>
        <v>5505.9547960433702</v>
      </c>
      <c r="N511">
        <f t="shared" si="77"/>
        <v>0.9441724512561136</v>
      </c>
      <c r="O511">
        <f t="shared" si="78"/>
        <v>1</v>
      </c>
      <c r="P511">
        <f t="shared" si="79"/>
        <v>5350.0557033191744</v>
      </c>
    </row>
    <row r="512" spans="3:16" x14ac:dyDescent="0.25">
      <c r="C512">
        <v>0.48399999999999999</v>
      </c>
      <c r="D512">
        <f t="shared" si="70"/>
        <v>-6438.2137374023387</v>
      </c>
      <c r="E512">
        <f t="shared" si="71"/>
        <v>4388.5131472427493</v>
      </c>
      <c r="F512">
        <f t="shared" si="74"/>
        <v>0.94941887159579275</v>
      </c>
      <c r="G512">
        <f t="shared" si="75"/>
        <v>1</v>
      </c>
      <c r="H512">
        <f t="shared" si="76"/>
        <v>4276.0850414511997</v>
      </c>
      <c r="K512">
        <v>0.48399999999999999</v>
      </c>
      <c r="L512">
        <f t="shared" si="72"/>
        <v>-6986.2137374023396</v>
      </c>
      <c r="M512">
        <f t="shared" si="73"/>
        <v>5502.6531029921625</v>
      </c>
      <c r="N512">
        <f t="shared" si="77"/>
        <v>0.94491716012647131</v>
      </c>
      <c r="O512">
        <f t="shared" si="78"/>
        <v>1</v>
      </c>
      <c r="P512">
        <f t="shared" si="79"/>
        <v>5348.9557236014989</v>
      </c>
    </row>
    <row r="513" spans="3:16" x14ac:dyDescent="0.25">
      <c r="C513">
        <v>0.48499999999999999</v>
      </c>
      <c r="D513">
        <f t="shared" si="70"/>
        <v>-6425.361901993937</v>
      </c>
      <c r="E513">
        <f t="shared" si="71"/>
        <v>4385.836307963893</v>
      </c>
      <c r="F513">
        <f t="shared" si="74"/>
        <v>0.95013664317226165</v>
      </c>
      <c r="G513">
        <f t="shared" si="75"/>
        <v>1</v>
      </c>
      <c r="H513">
        <f t="shared" si="76"/>
        <v>4275.0918729539244</v>
      </c>
      <c r="K513">
        <v>0.48499999999999999</v>
      </c>
      <c r="L513">
        <f t="shared" si="72"/>
        <v>-6970.361901993937</v>
      </c>
      <c r="M513">
        <f t="shared" si="73"/>
        <v>5499.351409940954</v>
      </c>
      <c r="N513">
        <f t="shared" si="77"/>
        <v>0.9456568685856005</v>
      </c>
      <c r="O513">
        <f t="shared" si="78"/>
        <v>1</v>
      </c>
      <c r="P513">
        <f t="shared" si="79"/>
        <v>5347.8382447897993</v>
      </c>
    </row>
    <row r="514" spans="3:16" x14ac:dyDescent="0.25">
      <c r="C514">
        <v>0.48599999999999999</v>
      </c>
      <c r="D514">
        <f t="shared" si="70"/>
        <v>-6412.5100665855343</v>
      </c>
      <c r="E514">
        <f t="shared" si="71"/>
        <v>4383.1594686850349</v>
      </c>
      <c r="F514">
        <f t="shared" si="74"/>
        <v>0.95084928552125703</v>
      </c>
      <c r="G514">
        <f t="shared" si="75"/>
        <v>1</v>
      </c>
      <c r="H514">
        <f t="shared" si="76"/>
        <v>4274.0845954178458</v>
      </c>
      <c r="K514">
        <v>0.48599999999999999</v>
      </c>
      <c r="L514">
        <f t="shared" si="72"/>
        <v>-6954.5100665855343</v>
      </c>
      <c r="M514">
        <f t="shared" si="73"/>
        <v>5496.0497168897455</v>
      </c>
      <c r="N514">
        <f t="shared" si="77"/>
        <v>0.94639157663350093</v>
      </c>
      <c r="O514">
        <f t="shared" si="78"/>
        <v>1</v>
      </c>
      <c r="P514">
        <f t="shared" si="79"/>
        <v>5346.7033113952784</v>
      </c>
    </row>
    <row r="515" spans="3:16" x14ac:dyDescent="0.25">
      <c r="C515">
        <v>0.48699999999999999</v>
      </c>
      <c r="D515">
        <f t="shared" si="70"/>
        <v>-6399.6582311771317</v>
      </c>
      <c r="E515">
        <f t="shared" si="71"/>
        <v>4380.4826294061777</v>
      </c>
      <c r="F515">
        <f t="shared" si="74"/>
        <v>0.95155679864277876</v>
      </c>
      <c r="G515">
        <f t="shared" si="75"/>
        <v>1</v>
      </c>
      <c r="H515">
        <f t="shared" si="76"/>
        <v>4273.0632447149146</v>
      </c>
      <c r="K515">
        <v>0.48699999999999999</v>
      </c>
      <c r="L515">
        <f t="shared" si="72"/>
        <v>-6938.6582311771317</v>
      </c>
      <c r="M515">
        <f t="shared" si="73"/>
        <v>5492.7480238385378</v>
      </c>
      <c r="N515">
        <f t="shared" si="77"/>
        <v>0.94712128427017273</v>
      </c>
      <c r="O515">
        <f t="shared" si="78"/>
        <v>1</v>
      </c>
      <c r="P515">
        <f t="shared" si="79"/>
        <v>5345.550967734488</v>
      </c>
    </row>
    <row r="516" spans="3:16" x14ac:dyDescent="0.25">
      <c r="C516">
        <v>0.48799999999999999</v>
      </c>
      <c r="D516">
        <f t="shared" si="70"/>
        <v>-6386.8063957687291</v>
      </c>
      <c r="E516">
        <f t="shared" si="71"/>
        <v>4377.8057901273205</v>
      </c>
      <c r="F516">
        <f t="shared" si="74"/>
        <v>0.95225918253682673</v>
      </c>
      <c r="G516">
        <f t="shared" si="75"/>
        <v>1</v>
      </c>
      <c r="H516">
        <f t="shared" si="76"/>
        <v>4272.0278565604476</v>
      </c>
      <c r="K516">
        <v>0.48799999999999999</v>
      </c>
      <c r="L516">
        <f t="shared" si="72"/>
        <v>-6922.8063957687291</v>
      </c>
      <c r="M516">
        <f t="shared" si="73"/>
        <v>5489.4463307873302</v>
      </c>
      <c r="N516">
        <f t="shared" si="77"/>
        <v>0.94784599149561588</v>
      </c>
      <c r="O516">
        <f t="shared" si="78"/>
        <v>1</v>
      </c>
      <c r="P516">
        <f t="shared" si="79"/>
        <v>5344.3812579305586</v>
      </c>
    </row>
    <row r="517" spans="3:16" x14ac:dyDescent="0.25">
      <c r="C517">
        <v>0.48899999999999999</v>
      </c>
      <c r="D517">
        <f t="shared" si="70"/>
        <v>-6373.9545603603265</v>
      </c>
      <c r="E517">
        <f t="shared" si="71"/>
        <v>4375.1289508484633</v>
      </c>
      <c r="F517">
        <f t="shared" si="74"/>
        <v>0.95295643720340117</v>
      </c>
      <c r="G517">
        <f t="shared" si="75"/>
        <v>1</v>
      </c>
      <c r="H517">
        <f t="shared" si="76"/>
        <v>4270.978466514116</v>
      </c>
      <c r="K517">
        <v>0.48899999999999999</v>
      </c>
      <c r="L517">
        <f t="shared" si="72"/>
        <v>-6906.9545603603265</v>
      </c>
      <c r="M517">
        <f t="shared" si="73"/>
        <v>5486.1446377361217</v>
      </c>
      <c r="N517">
        <f t="shared" si="77"/>
        <v>0.9485656983098304</v>
      </c>
      <c r="O517">
        <f t="shared" si="78"/>
        <v>1</v>
      </c>
      <c r="P517">
        <f t="shared" si="79"/>
        <v>5343.1942259144344</v>
      </c>
    </row>
    <row r="518" spans="3:16" x14ac:dyDescent="0.25">
      <c r="C518">
        <v>0.49</v>
      </c>
      <c r="D518">
        <f t="shared" si="70"/>
        <v>-6361.1027249519238</v>
      </c>
      <c r="E518">
        <f t="shared" si="71"/>
        <v>4372.4521115696061</v>
      </c>
      <c r="F518">
        <f t="shared" si="74"/>
        <v>0.95364856264250186</v>
      </c>
      <c r="G518">
        <f t="shared" si="75"/>
        <v>1</v>
      </c>
      <c r="H518">
        <f t="shared" si="76"/>
        <v>4269.9151099809242</v>
      </c>
      <c r="K518">
        <v>0.49</v>
      </c>
      <c r="L518">
        <f t="shared" si="72"/>
        <v>-6891.1027249519238</v>
      </c>
      <c r="M518">
        <f t="shared" si="73"/>
        <v>5482.8429446849132</v>
      </c>
      <c r="N518">
        <f t="shared" si="77"/>
        <v>0.94928040471281627</v>
      </c>
      <c r="O518">
        <f t="shared" si="78"/>
        <v>1</v>
      </c>
      <c r="P518">
        <f t="shared" si="79"/>
        <v>5341.9899154260893</v>
      </c>
    </row>
    <row r="519" spans="3:16" x14ac:dyDescent="0.25">
      <c r="C519">
        <v>0.49099999999999999</v>
      </c>
      <c r="D519">
        <f t="shared" si="70"/>
        <v>-6348.2508895435221</v>
      </c>
      <c r="E519">
        <f t="shared" si="71"/>
        <v>4369.7752722907489</v>
      </c>
      <c r="F519">
        <f t="shared" si="74"/>
        <v>0.9543355588541288</v>
      </c>
      <c r="G519">
        <f t="shared" si="75"/>
        <v>1</v>
      </c>
      <c r="H519">
        <f t="shared" si="76"/>
        <v>4268.8378222121819</v>
      </c>
      <c r="K519">
        <v>0.49099999999999999</v>
      </c>
      <c r="L519">
        <f t="shared" si="72"/>
        <v>-6875.2508895435221</v>
      </c>
      <c r="M519">
        <f t="shared" si="73"/>
        <v>5479.5412516337055</v>
      </c>
      <c r="N519">
        <f t="shared" si="77"/>
        <v>0.9499901107045734</v>
      </c>
      <c r="O519">
        <f t="shared" si="78"/>
        <v>1</v>
      </c>
      <c r="P519">
        <f t="shared" si="79"/>
        <v>5340.7683700157277</v>
      </c>
    </row>
    <row r="520" spans="3:16" x14ac:dyDescent="0.25">
      <c r="C520">
        <v>0.49199999999999999</v>
      </c>
      <c r="D520">
        <f t="shared" si="70"/>
        <v>-6335.3990541351195</v>
      </c>
      <c r="E520">
        <f t="shared" si="71"/>
        <v>4367.0984330118918</v>
      </c>
      <c r="F520">
        <f t="shared" si="74"/>
        <v>0.95501742583828209</v>
      </c>
      <c r="G520">
        <f t="shared" si="75"/>
        <v>1</v>
      </c>
      <c r="H520">
        <f t="shared" si="76"/>
        <v>4267.7466383064602</v>
      </c>
      <c r="K520">
        <v>0.49199999999999999</v>
      </c>
      <c r="L520">
        <f t="shared" si="72"/>
        <v>-6859.3990541351195</v>
      </c>
      <c r="M520">
        <f t="shared" si="73"/>
        <v>5476.2395585824979</v>
      </c>
      <c r="N520">
        <f t="shared" si="77"/>
        <v>0.95069481628510188</v>
      </c>
      <c r="O520">
        <f t="shared" si="78"/>
        <v>1</v>
      </c>
      <c r="P520">
        <f t="shared" si="79"/>
        <v>5339.5296330449783</v>
      </c>
    </row>
    <row r="521" spans="3:16" x14ac:dyDescent="0.25">
      <c r="C521">
        <v>0.49299999999999999</v>
      </c>
      <c r="D521">
        <f t="shared" si="70"/>
        <v>-6322.5472187267169</v>
      </c>
      <c r="E521">
        <f t="shared" si="71"/>
        <v>4364.4215937330337</v>
      </c>
      <c r="F521">
        <f t="shared" si="74"/>
        <v>0.95569416359496173</v>
      </c>
      <c r="G521">
        <f t="shared" si="75"/>
        <v>1</v>
      </c>
      <c r="H521">
        <f t="shared" si="76"/>
        <v>4266.6415932105492</v>
      </c>
      <c r="K521">
        <v>0.49299999999999999</v>
      </c>
      <c r="L521">
        <f t="shared" si="72"/>
        <v>-6843.5472187267169</v>
      </c>
      <c r="M521">
        <f t="shared" si="73"/>
        <v>5472.9378655312894</v>
      </c>
      <c r="N521">
        <f t="shared" si="77"/>
        <v>0.95139452145440173</v>
      </c>
      <c r="O521">
        <f t="shared" si="78"/>
        <v>1</v>
      </c>
      <c r="P521">
        <f t="shared" si="79"/>
        <v>5338.2737476880793</v>
      </c>
    </row>
    <row r="522" spans="3:16" x14ac:dyDescent="0.25">
      <c r="C522">
        <v>0.49399999999999999</v>
      </c>
      <c r="D522">
        <f t="shared" si="70"/>
        <v>-6309.6953833183143</v>
      </c>
      <c r="E522">
        <f t="shared" si="71"/>
        <v>4361.7447544541774</v>
      </c>
      <c r="F522">
        <f t="shared" si="74"/>
        <v>0.95636577212416773</v>
      </c>
      <c r="G522">
        <f t="shared" si="75"/>
        <v>1</v>
      </c>
      <c r="H522">
        <f t="shared" si="76"/>
        <v>4265.5227217203965</v>
      </c>
      <c r="K522">
        <v>0.49399999999999999</v>
      </c>
      <c r="L522">
        <f t="shared" si="72"/>
        <v>-6827.6953833183143</v>
      </c>
      <c r="M522">
        <f t="shared" si="73"/>
        <v>5469.6361724800809</v>
      </c>
      <c r="N522">
        <f t="shared" si="77"/>
        <v>0.95208922621247294</v>
      </c>
      <c r="O522">
        <f t="shared" si="78"/>
        <v>1</v>
      </c>
      <c r="P522">
        <f t="shared" si="79"/>
        <v>5337.0007569330483</v>
      </c>
    </row>
    <row r="523" spans="3:16" x14ac:dyDescent="0.25">
      <c r="C523">
        <v>0.495</v>
      </c>
      <c r="D523">
        <f t="shared" si="70"/>
        <v>-6296.8435479099116</v>
      </c>
      <c r="E523">
        <f t="shared" si="71"/>
        <v>4359.0679151753193</v>
      </c>
      <c r="F523">
        <f t="shared" si="74"/>
        <v>0.95703225142590009</v>
      </c>
      <c r="G523">
        <f t="shared" si="75"/>
        <v>1</v>
      </c>
      <c r="H523">
        <f t="shared" si="76"/>
        <v>4264.3900584820403</v>
      </c>
      <c r="K523">
        <v>0.495</v>
      </c>
      <c r="L523">
        <f t="shared" si="72"/>
        <v>-6811.8435479099116</v>
      </c>
      <c r="M523">
        <f t="shared" si="73"/>
        <v>5466.3344794288732</v>
      </c>
      <c r="N523">
        <f t="shared" si="77"/>
        <v>0.95277893055931551</v>
      </c>
      <c r="O523">
        <f t="shared" si="78"/>
        <v>1</v>
      </c>
      <c r="P523">
        <f t="shared" si="79"/>
        <v>5335.710703582844</v>
      </c>
    </row>
    <row r="524" spans="3:16" x14ac:dyDescent="0.25">
      <c r="C524">
        <v>0.496</v>
      </c>
      <c r="D524">
        <f t="shared" si="70"/>
        <v>-6283.991712501509</v>
      </c>
      <c r="E524">
        <f t="shared" si="71"/>
        <v>4356.3910758964621</v>
      </c>
      <c r="F524">
        <f t="shared" si="74"/>
        <v>0.9576936015001587</v>
      </c>
      <c r="G524">
        <f t="shared" si="75"/>
        <v>1</v>
      </c>
      <c r="H524">
        <f t="shared" si="76"/>
        <v>4263.2436379925412</v>
      </c>
      <c r="K524">
        <v>0.496</v>
      </c>
      <c r="L524">
        <f t="shared" si="72"/>
        <v>-6795.991712501509</v>
      </c>
      <c r="M524">
        <f t="shared" si="73"/>
        <v>5463.0327863776647</v>
      </c>
      <c r="N524">
        <f t="shared" si="77"/>
        <v>0.95346363449492932</v>
      </c>
      <c r="O524">
        <f t="shared" si="78"/>
        <v>1</v>
      </c>
      <c r="P524">
        <f t="shared" si="79"/>
        <v>5334.403630256511</v>
      </c>
    </row>
    <row r="525" spans="3:16" x14ac:dyDescent="0.25">
      <c r="C525">
        <v>0.497</v>
      </c>
      <c r="D525">
        <f t="shared" si="70"/>
        <v>-6271.1398770931073</v>
      </c>
      <c r="E525">
        <f t="shared" si="71"/>
        <v>4353.7142366176049</v>
      </c>
      <c r="F525">
        <f t="shared" si="74"/>
        <v>0.95834982234694366</v>
      </c>
      <c r="G525">
        <f t="shared" si="75"/>
        <v>1</v>
      </c>
      <c r="H525">
        <f t="shared" si="76"/>
        <v>4262.0834946008945</v>
      </c>
      <c r="K525">
        <v>0.497</v>
      </c>
      <c r="L525">
        <f t="shared" si="72"/>
        <v>-6780.1398770931073</v>
      </c>
      <c r="M525">
        <f t="shared" si="73"/>
        <v>5459.7310933264571</v>
      </c>
      <c r="N525">
        <f t="shared" si="77"/>
        <v>0.9541433380193145</v>
      </c>
      <c r="O525">
        <f t="shared" si="78"/>
        <v>1</v>
      </c>
      <c r="P525">
        <f t="shared" si="79"/>
        <v>5333.0795793903308</v>
      </c>
    </row>
    <row r="526" spans="3:16" x14ac:dyDescent="0.25">
      <c r="C526">
        <v>0.498</v>
      </c>
      <c r="D526">
        <f t="shared" si="70"/>
        <v>-6258.2880416847047</v>
      </c>
      <c r="E526">
        <f t="shared" si="71"/>
        <v>4351.0373973387477</v>
      </c>
      <c r="F526">
        <f t="shared" si="74"/>
        <v>0.95900091396625498</v>
      </c>
      <c r="G526">
        <f t="shared" si="75"/>
        <v>1</v>
      </c>
      <c r="H526">
        <f t="shared" si="76"/>
        <v>4260.9096625089342</v>
      </c>
      <c r="K526">
        <v>0.498</v>
      </c>
      <c r="L526">
        <f t="shared" si="72"/>
        <v>-6764.2880416847047</v>
      </c>
      <c r="M526">
        <f t="shared" si="73"/>
        <v>5456.4294002752486</v>
      </c>
      <c r="N526">
        <f t="shared" si="77"/>
        <v>0.95481804113247104</v>
      </c>
      <c r="O526">
        <f t="shared" si="78"/>
        <v>1</v>
      </c>
      <c r="P526">
        <f t="shared" si="79"/>
        <v>5331.738593238937</v>
      </c>
    </row>
    <row r="527" spans="3:16" x14ac:dyDescent="0.25">
      <c r="C527">
        <v>0.499</v>
      </c>
      <c r="D527">
        <f t="shared" si="70"/>
        <v>-6245.4362062763021</v>
      </c>
      <c r="E527">
        <f t="shared" si="71"/>
        <v>4348.3605580598905</v>
      </c>
      <c r="F527">
        <f t="shared" si="74"/>
        <v>0.95964687635809265</v>
      </c>
      <c r="G527">
        <f t="shared" si="75"/>
        <v>1</v>
      </c>
      <c r="H527">
        <f t="shared" si="76"/>
        <v>4259.7221757722464</v>
      </c>
      <c r="K527">
        <v>0.499</v>
      </c>
      <c r="L527">
        <f t="shared" si="72"/>
        <v>-6748.4362062763021</v>
      </c>
      <c r="M527">
        <f t="shared" si="73"/>
        <v>5453.1277072240409</v>
      </c>
      <c r="N527">
        <f t="shared" si="77"/>
        <v>0.95548774383439894</v>
      </c>
      <c r="O527">
        <f t="shared" si="78"/>
        <v>1</v>
      </c>
      <c r="P527">
        <f t="shared" si="79"/>
        <v>5330.3807138764441</v>
      </c>
    </row>
    <row r="528" spans="3:16" x14ac:dyDescent="0.25">
      <c r="C528">
        <v>0.5</v>
      </c>
      <c r="D528">
        <f t="shared" si="70"/>
        <v>-6232.5843708678995</v>
      </c>
      <c r="E528">
        <f t="shared" si="71"/>
        <v>4345.6837187810333</v>
      </c>
      <c r="F528">
        <f t="shared" si="74"/>
        <v>0.96028770952245657</v>
      </c>
      <c r="G528">
        <f t="shared" si="75"/>
        <v>1</v>
      </c>
      <c r="H528">
        <f t="shared" si="76"/>
        <v>4258.5210683010473</v>
      </c>
      <c r="K528">
        <v>0.5</v>
      </c>
      <c r="L528">
        <f t="shared" si="72"/>
        <v>-6732.5843708678995</v>
      </c>
      <c r="M528">
        <f t="shared" si="73"/>
        <v>5449.8260141728333</v>
      </c>
      <c r="N528">
        <f t="shared" si="77"/>
        <v>0.9561524461250982</v>
      </c>
      <c r="O528">
        <f t="shared" si="78"/>
        <v>1</v>
      </c>
      <c r="P528">
        <f t="shared" si="79"/>
        <v>5329.0059831975514</v>
      </c>
    </row>
    <row r="529" spans="3:16" x14ac:dyDescent="0.25">
      <c r="C529">
        <v>0.501</v>
      </c>
      <c r="D529">
        <f t="shared" si="70"/>
        <v>-6219.7325354594968</v>
      </c>
      <c r="E529">
        <f t="shared" si="71"/>
        <v>4343.0068795021762</v>
      </c>
      <c r="F529">
        <f t="shared" si="74"/>
        <v>0.96092341345934695</v>
      </c>
      <c r="G529">
        <f t="shared" si="75"/>
        <v>1</v>
      </c>
      <c r="H529">
        <f t="shared" si="76"/>
        <v>4257.3063738610726</v>
      </c>
      <c r="K529">
        <v>0.501</v>
      </c>
      <c r="L529">
        <f t="shared" si="72"/>
        <v>-6716.7325354594968</v>
      </c>
      <c r="M529">
        <f t="shared" si="73"/>
        <v>5446.5243211216248</v>
      </c>
      <c r="N529">
        <f t="shared" si="77"/>
        <v>0.95681214800456882</v>
      </c>
      <c r="O529">
        <f t="shared" si="78"/>
        <v>1</v>
      </c>
      <c r="P529">
        <f t="shared" si="79"/>
        <v>5327.6144429186406</v>
      </c>
    </row>
    <row r="530" spans="3:16" x14ac:dyDescent="0.25">
      <c r="C530">
        <v>0.502</v>
      </c>
      <c r="D530">
        <f t="shared" si="70"/>
        <v>-6206.8807000510942</v>
      </c>
      <c r="E530">
        <f t="shared" si="71"/>
        <v>4340.3300402233181</v>
      </c>
      <c r="F530">
        <f t="shared" si="74"/>
        <v>0.96155398816876347</v>
      </c>
      <c r="G530">
        <f t="shared" si="75"/>
        <v>1</v>
      </c>
      <c r="H530">
        <f t="shared" si="76"/>
        <v>4256.0781260744552</v>
      </c>
      <c r="K530">
        <v>0.502</v>
      </c>
      <c r="L530">
        <f t="shared" si="72"/>
        <v>-6700.8807000510942</v>
      </c>
      <c r="M530">
        <f t="shared" si="73"/>
        <v>5443.2226280704162</v>
      </c>
      <c r="N530">
        <f t="shared" si="77"/>
        <v>0.95746684947281069</v>
      </c>
      <c r="O530">
        <f t="shared" si="78"/>
        <v>1</v>
      </c>
      <c r="P530">
        <f t="shared" si="79"/>
        <v>5326.2061345788661</v>
      </c>
    </row>
    <row r="531" spans="3:16" x14ac:dyDescent="0.25">
      <c r="C531">
        <v>0.503</v>
      </c>
      <c r="D531">
        <f t="shared" si="70"/>
        <v>-6194.0288646426916</v>
      </c>
      <c r="E531">
        <f t="shared" si="71"/>
        <v>4337.6532009444618</v>
      </c>
      <c r="F531">
        <f t="shared" si="74"/>
        <v>0.96217943365070646</v>
      </c>
      <c r="G531">
        <f t="shared" si="75"/>
        <v>1</v>
      </c>
      <c r="H531">
        <f t="shared" si="76"/>
        <v>4254.8363584205908</v>
      </c>
      <c r="K531">
        <v>0.503</v>
      </c>
      <c r="L531">
        <f t="shared" si="72"/>
        <v>-6685.0288646426916</v>
      </c>
      <c r="M531">
        <f t="shared" si="73"/>
        <v>5439.9209350192086</v>
      </c>
      <c r="N531">
        <f t="shared" si="77"/>
        <v>0.95811655052982392</v>
      </c>
      <c r="O531">
        <f t="shared" si="78"/>
        <v>1</v>
      </c>
      <c r="P531">
        <f t="shared" si="79"/>
        <v>5324.7810995412337</v>
      </c>
    </row>
    <row r="532" spans="3:16" x14ac:dyDescent="0.25">
      <c r="C532">
        <v>0.504</v>
      </c>
      <c r="D532">
        <f t="shared" si="70"/>
        <v>-6181.1770292342899</v>
      </c>
      <c r="E532">
        <f t="shared" si="71"/>
        <v>4334.9763616656037</v>
      </c>
      <c r="F532">
        <f t="shared" si="74"/>
        <v>0.96279974990517569</v>
      </c>
      <c r="G532">
        <f t="shared" si="75"/>
        <v>1</v>
      </c>
      <c r="H532">
        <f t="shared" si="76"/>
        <v>4253.5811042369905</v>
      </c>
      <c r="K532">
        <v>0.504</v>
      </c>
      <c r="L532">
        <f t="shared" si="72"/>
        <v>-6669.1770292342899</v>
      </c>
      <c r="M532">
        <f t="shared" si="73"/>
        <v>5436.619241968001</v>
      </c>
      <c r="N532">
        <f t="shared" si="77"/>
        <v>0.95876125117560851</v>
      </c>
      <c r="O532">
        <f t="shared" si="78"/>
        <v>1</v>
      </c>
      <c r="P532">
        <f t="shared" si="79"/>
        <v>5323.3393789936636</v>
      </c>
    </row>
    <row r="533" spans="3:16" x14ac:dyDescent="0.25">
      <c r="C533">
        <v>0.505</v>
      </c>
      <c r="D533">
        <f t="shared" si="70"/>
        <v>-6168.3251938258873</v>
      </c>
      <c r="E533">
        <f t="shared" si="71"/>
        <v>4332.2995223867465</v>
      </c>
      <c r="F533">
        <f t="shared" si="74"/>
        <v>0.96341493693217128</v>
      </c>
      <c r="G533">
        <f t="shared" si="75"/>
        <v>1</v>
      </c>
      <c r="H533">
        <f t="shared" si="76"/>
        <v>4252.3123967201445</v>
      </c>
      <c r="K533">
        <v>0.505</v>
      </c>
      <c r="L533">
        <f t="shared" si="72"/>
        <v>-6653.3251938258873</v>
      </c>
      <c r="M533">
        <f t="shared" si="73"/>
        <v>5433.3175489167925</v>
      </c>
      <c r="N533">
        <f t="shared" si="77"/>
        <v>0.95940095141016435</v>
      </c>
      <c r="O533">
        <f t="shared" si="78"/>
        <v>1</v>
      </c>
      <c r="P533">
        <f t="shared" si="79"/>
        <v>5321.8810139500547</v>
      </c>
    </row>
    <row r="534" spans="3:16" x14ac:dyDescent="0.25">
      <c r="C534">
        <v>0.50600000000000001</v>
      </c>
      <c r="D534">
        <f t="shared" si="70"/>
        <v>-6155.4733584174846</v>
      </c>
      <c r="E534">
        <f t="shared" si="71"/>
        <v>4329.6226831078893</v>
      </c>
      <c r="F534">
        <f t="shared" si="74"/>
        <v>0.96402499473169323</v>
      </c>
      <c r="G534">
        <f t="shared" si="75"/>
        <v>1</v>
      </c>
      <c r="H534">
        <f t="shared" si="76"/>
        <v>4251.0302689263581</v>
      </c>
      <c r="K534">
        <v>0.50600000000000001</v>
      </c>
      <c r="L534">
        <f t="shared" si="72"/>
        <v>-6637.4733584174846</v>
      </c>
      <c r="M534">
        <f t="shared" si="73"/>
        <v>5430.0158558655839</v>
      </c>
      <c r="N534">
        <f t="shared" si="77"/>
        <v>0.96003565123349166</v>
      </c>
      <c r="O534">
        <f t="shared" si="78"/>
        <v>1</v>
      </c>
      <c r="P534">
        <f t="shared" si="79"/>
        <v>5320.4060452513322</v>
      </c>
    </row>
    <row r="535" spans="3:16" x14ac:dyDescent="0.25">
      <c r="C535">
        <v>0.50700000000000001</v>
      </c>
      <c r="D535">
        <f t="shared" si="70"/>
        <v>-6142.621523009082</v>
      </c>
      <c r="E535">
        <f t="shared" si="71"/>
        <v>4326.9458438290321</v>
      </c>
      <c r="F535">
        <f t="shared" si="74"/>
        <v>0.96462992330374153</v>
      </c>
      <c r="G535">
        <f t="shared" si="75"/>
        <v>1</v>
      </c>
      <c r="H535">
        <f t="shared" si="76"/>
        <v>4249.7347537725855</v>
      </c>
      <c r="K535">
        <v>0.50700000000000001</v>
      </c>
      <c r="L535">
        <f t="shared" si="72"/>
        <v>-6621.621523009082</v>
      </c>
      <c r="M535">
        <f t="shared" si="73"/>
        <v>5426.7141628143763</v>
      </c>
      <c r="N535">
        <f t="shared" si="77"/>
        <v>0.96066535064559022</v>
      </c>
      <c r="O535">
        <f t="shared" si="78"/>
        <v>1</v>
      </c>
      <c r="P535">
        <f t="shared" si="79"/>
        <v>5318.9145135664876</v>
      </c>
    </row>
    <row r="536" spans="3:16" x14ac:dyDescent="0.25">
      <c r="C536">
        <v>0.50800000000000001</v>
      </c>
      <c r="D536">
        <f t="shared" si="70"/>
        <v>-6129.7696876006794</v>
      </c>
      <c r="E536">
        <f t="shared" si="71"/>
        <v>4324.2690045501749</v>
      </c>
      <c r="F536">
        <f t="shared" si="74"/>
        <v>0.96522972264831619</v>
      </c>
      <c r="G536">
        <f t="shared" si="75"/>
        <v>1</v>
      </c>
      <c r="H536">
        <f t="shared" si="76"/>
        <v>4248.4258840372668</v>
      </c>
      <c r="K536">
        <v>0.50800000000000001</v>
      </c>
      <c r="L536">
        <f t="shared" si="72"/>
        <v>-6605.7696876006794</v>
      </c>
      <c r="M536">
        <f t="shared" si="73"/>
        <v>5423.4124697631678</v>
      </c>
      <c r="N536">
        <f t="shared" si="77"/>
        <v>0.96129004964646014</v>
      </c>
      <c r="O536">
        <f t="shared" si="78"/>
        <v>1</v>
      </c>
      <c r="P536">
        <f t="shared" si="79"/>
        <v>5317.4064593936027</v>
      </c>
    </row>
    <row r="537" spans="3:16" x14ac:dyDescent="0.25">
      <c r="C537">
        <v>0.50900000000000001</v>
      </c>
      <c r="D537">
        <f t="shared" si="70"/>
        <v>-6116.9178521922768</v>
      </c>
      <c r="E537">
        <f t="shared" si="71"/>
        <v>4321.5921652713178</v>
      </c>
      <c r="F537">
        <f t="shared" si="74"/>
        <v>0.96582439276541709</v>
      </c>
      <c r="G537">
        <f t="shared" si="75"/>
        <v>1</v>
      </c>
      <c r="H537">
        <f t="shared" si="76"/>
        <v>4247.10369236114</v>
      </c>
      <c r="K537">
        <v>0.50900000000000001</v>
      </c>
      <c r="L537">
        <f t="shared" si="72"/>
        <v>-6589.9178521922768</v>
      </c>
      <c r="M537">
        <f t="shared" si="73"/>
        <v>5420.1107767119602</v>
      </c>
      <c r="N537">
        <f t="shared" si="77"/>
        <v>0.96190974823610143</v>
      </c>
      <c r="O537">
        <f t="shared" si="78"/>
        <v>1</v>
      </c>
      <c r="P537">
        <f t="shared" si="79"/>
        <v>5315.8819230608797</v>
      </c>
    </row>
    <row r="538" spans="3:16" x14ac:dyDescent="0.25">
      <c r="C538">
        <v>0.51</v>
      </c>
      <c r="D538">
        <f t="shared" si="70"/>
        <v>-6104.0660167838751</v>
      </c>
      <c r="E538">
        <f t="shared" si="71"/>
        <v>4318.9153259924606</v>
      </c>
      <c r="F538">
        <f t="shared" si="74"/>
        <v>0.96641393365504424</v>
      </c>
      <c r="G538">
        <f t="shared" si="75"/>
        <v>1</v>
      </c>
      <c r="H538">
        <f t="shared" si="76"/>
        <v>4245.7682112480579</v>
      </c>
      <c r="K538">
        <v>0.51</v>
      </c>
      <c r="L538">
        <f t="shared" si="72"/>
        <v>-6574.0660167838751</v>
      </c>
      <c r="M538">
        <f t="shared" si="73"/>
        <v>5416.8090836607516</v>
      </c>
      <c r="N538">
        <f t="shared" si="77"/>
        <v>0.96252444641451407</v>
      </c>
      <c r="O538">
        <f t="shared" si="78"/>
        <v>1</v>
      </c>
      <c r="P538">
        <f t="shared" si="79"/>
        <v>5314.3409447276435</v>
      </c>
    </row>
    <row r="539" spans="3:16" x14ac:dyDescent="0.25">
      <c r="C539">
        <v>0.51100000000000001</v>
      </c>
      <c r="D539">
        <f t="shared" si="70"/>
        <v>-6091.2141813754724</v>
      </c>
      <c r="E539">
        <f t="shared" si="71"/>
        <v>4316.2384867136034</v>
      </c>
      <c r="F539">
        <f t="shared" si="74"/>
        <v>0.96699834531719786</v>
      </c>
      <c r="G539">
        <f t="shared" si="75"/>
        <v>1</v>
      </c>
      <c r="H539">
        <f t="shared" si="76"/>
        <v>4244.4194730657955</v>
      </c>
      <c r="K539">
        <v>0.51100000000000001</v>
      </c>
      <c r="L539">
        <f t="shared" si="72"/>
        <v>-6558.2141813754724</v>
      </c>
      <c r="M539">
        <f t="shared" si="73"/>
        <v>5413.507390609544</v>
      </c>
      <c r="N539">
        <f t="shared" si="77"/>
        <v>0.96313414418169796</v>
      </c>
      <c r="O539">
        <f t="shared" si="78"/>
        <v>1</v>
      </c>
      <c r="P539">
        <f t="shared" si="79"/>
        <v>5312.7835643853496</v>
      </c>
    </row>
    <row r="540" spans="3:16" x14ac:dyDescent="0.25">
      <c r="C540">
        <v>0.51200000000000001</v>
      </c>
      <c r="D540">
        <f t="shared" ref="D540:D603" si="80">-$J$23+($J$15+$J$23)*C540</f>
        <v>-6078.3623459670698</v>
      </c>
      <c r="E540">
        <f t="shared" ref="E540:E603" si="81">$J$12-$J$11*D540</f>
        <v>4313.5616474347462</v>
      </c>
      <c r="F540">
        <f t="shared" si="74"/>
        <v>0.96757762775187772</v>
      </c>
      <c r="G540">
        <f t="shared" si="75"/>
        <v>1</v>
      </c>
      <c r="H540">
        <f t="shared" si="76"/>
        <v>4243.057510046845</v>
      </c>
      <c r="K540">
        <v>0.51200000000000001</v>
      </c>
      <c r="L540">
        <f t="shared" ref="L540:L603" si="82">-$M$23+($M$15+$M$23)*K540</f>
        <v>-6542.3623459670698</v>
      </c>
      <c r="M540">
        <f t="shared" ref="M540:M603" si="83">$J$12-$J$11*L540+$E$18</f>
        <v>5410.2056975583364</v>
      </c>
      <c r="N540">
        <f t="shared" si="77"/>
        <v>0.96373884153765321</v>
      </c>
      <c r="O540">
        <f t="shared" si="78"/>
        <v>1</v>
      </c>
      <c r="P540">
        <f t="shared" si="79"/>
        <v>5311.2098218585743</v>
      </c>
    </row>
    <row r="541" spans="3:16" x14ac:dyDescent="0.25">
      <c r="C541">
        <v>0.51300000000000001</v>
      </c>
      <c r="D541">
        <f t="shared" si="80"/>
        <v>-6065.5105105586672</v>
      </c>
      <c r="E541">
        <f t="shared" si="81"/>
        <v>4310.8848081558881</v>
      </c>
      <c r="F541">
        <f t="shared" ref="F541:F604" si="84">IF(D541&lt;$J$20,MAX(1-(D541-$J$20)^2/$J$22^2,0),1)</f>
        <v>0.96815178095908405</v>
      </c>
      <c r="G541">
        <f t="shared" ref="G541:G604" si="85">IF(D541&gt;$J$17,MAX(1-(D541-$J$17)^2/($J$15-$J$17)^2,0),1)</f>
        <v>1</v>
      </c>
      <c r="H541">
        <f t="shared" ref="H541:H604" si="86">SQRT(E541^2*F541*G541)</f>
        <v>4241.6823542892089</v>
      </c>
      <c r="K541">
        <v>0.51300000000000001</v>
      </c>
      <c r="L541">
        <f t="shared" si="82"/>
        <v>-6526.5105105586672</v>
      </c>
      <c r="M541">
        <f t="shared" si="83"/>
        <v>5406.9040045071279</v>
      </c>
      <c r="N541">
        <f t="shared" ref="N541:N604" si="87">IF(L541&lt;$J$20,MAX(1-(L541-$J$20)^2/$M$22^2,0),1)</f>
        <v>0.96433853848237994</v>
      </c>
      <c r="O541">
        <f t="shared" ref="O541:O604" si="88">IF(L541&gt;$J$17,MAX(1-(L541-$J$17)^2/($M$15-$J$17)^2,0),1)</f>
        <v>1</v>
      </c>
      <c r="P541">
        <f t="shared" ref="P541:P604" si="89">SQRT(M541^2*N541*O541)</f>
        <v>5309.6197568059997</v>
      </c>
    </row>
    <row r="542" spans="3:16" x14ac:dyDescent="0.25">
      <c r="C542">
        <v>0.51400000000000001</v>
      </c>
      <c r="D542">
        <f t="shared" si="80"/>
        <v>-6052.6586751502646</v>
      </c>
      <c r="E542">
        <f t="shared" si="81"/>
        <v>4308.2079688770309</v>
      </c>
      <c r="F542">
        <f t="shared" si="84"/>
        <v>0.96872080493881663</v>
      </c>
      <c r="G542">
        <f t="shared" si="85"/>
        <v>1</v>
      </c>
      <c r="H542">
        <f t="shared" si="86"/>
        <v>4240.2940377571831</v>
      </c>
      <c r="K542">
        <v>0.51400000000000001</v>
      </c>
      <c r="L542">
        <f t="shared" si="82"/>
        <v>-6510.6586751502646</v>
      </c>
      <c r="M542">
        <f t="shared" si="83"/>
        <v>5403.6023114559193</v>
      </c>
      <c r="N542">
        <f t="shared" si="87"/>
        <v>0.96493323501587791</v>
      </c>
      <c r="O542">
        <f t="shared" si="88"/>
        <v>1</v>
      </c>
      <c r="P542">
        <f t="shared" si="89"/>
        <v>5308.0134087213901</v>
      </c>
    </row>
    <row r="543" spans="3:16" x14ac:dyDescent="0.25">
      <c r="C543">
        <v>0.51500000000000001</v>
      </c>
      <c r="D543">
        <f t="shared" si="80"/>
        <v>-6039.8068397418619</v>
      </c>
      <c r="E543">
        <f t="shared" si="81"/>
        <v>4305.5311295981737</v>
      </c>
      <c r="F543">
        <f t="shared" si="84"/>
        <v>0.96928469969107545</v>
      </c>
      <c r="G543">
        <f t="shared" si="85"/>
        <v>1</v>
      </c>
      <c r="H543">
        <f t="shared" si="86"/>
        <v>4238.8925922821363</v>
      </c>
      <c r="K543">
        <v>0.51500000000000001</v>
      </c>
      <c r="L543">
        <f t="shared" si="82"/>
        <v>-6494.8068397418619</v>
      </c>
      <c r="M543">
        <f t="shared" si="83"/>
        <v>5400.3006184047117</v>
      </c>
      <c r="N543">
        <f t="shared" si="87"/>
        <v>0.96552293113814713</v>
      </c>
      <c r="O543">
        <f t="shared" si="88"/>
        <v>1</v>
      </c>
      <c r="P543">
        <f t="shared" si="89"/>
        <v>5306.3908169345559</v>
      </c>
    </row>
    <row r="544" spans="3:16" x14ac:dyDescent="0.25">
      <c r="C544">
        <v>0.51600000000000001</v>
      </c>
      <c r="D544">
        <f t="shared" si="80"/>
        <v>-6026.9550043334602</v>
      </c>
      <c r="E544">
        <f t="shared" si="81"/>
        <v>4302.8542903193165</v>
      </c>
      <c r="F544">
        <f t="shared" si="84"/>
        <v>0.96984346521586062</v>
      </c>
      <c r="G544">
        <f t="shared" si="85"/>
        <v>1</v>
      </c>
      <c r="H544">
        <f t="shared" si="86"/>
        <v>4237.4780495632731</v>
      </c>
      <c r="K544">
        <v>0.51600000000000001</v>
      </c>
      <c r="L544">
        <f t="shared" si="82"/>
        <v>-6478.9550043334593</v>
      </c>
      <c r="M544">
        <f t="shared" si="83"/>
        <v>5396.9989253535032</v>
      </c>
      <c r="N544">
        <f t="shared" si="87"/>
        <v>0.96610762684918783</v>
      </c>
      <c r="O544">
        <f t="shared" si="88"/>
        <v>1</v>
      </c>
      <c r="P544">
        <f t="shared" si="89"/>
        <v>5304.7520206123108</v>
      </c>
    </row>
    <row r="545" spans="3:16" x14ac:dyDescent="0.25">
      <c r="C545">
        <v>0.51700000000000002</v>
      </c>
      <c r="D545">
        <f t="shared" si="80"/>
        <v>-6014.1031689250576</v>
      </c>
      <c r="E545">
        <f t="shared" si="81"/>
        <v>4300.1774510404593</v>
      </c>
      <c r="F545">
        <f t="shared" si="84"/>
        <v>0.97039710151317227</v>
      </c>
      <c r="G545">
        <f t="shared" si="85"/>
        <v>1</v>
      </c>
      <c r="H545">
        <f t="shared" si="86"/>
        <v>4236.0504411684051</v>
      </c>
      <c r="K545">
        <v>0.51700000000000002</v>
      </c>
      <c r="L545">
        <f t="shared" si="82"/>
        <v>-6463.1031689250576</v>
      </c>
      <c r="M545">
        <f t="shared" si="83"/>
        <v>5393.6972323022956</v>
      </c>
      <c r="N545">
        <f t="shared" si="87"/>
        <v>0.96668732214899977</v>
      </c>
      <c r="O545">
        <f t="shared" si="88"/>
        <v>1</v>
      </c>
      <c r="P545">
        <f t="shared" si="89"/>
        <v>5303.0970587594247</v>
      </c>
    </row>
    <row r="546" spans="3:16" x14ac:dyDescent="0.25">
      <c r="C546">
        <v>0.51800000000000002</v>
      </c>
      <c r="D546">
        <f t="shared" si="80"/>
        <v>-6001.251333516655</v>
      </c>
      <c r="E546">
        <f t="shared" si="81"/>
        <v>4297.5006117616022</v>
      </c>
      <c r="F546">
        <f t="shared" si="84"/>
        <v>0.97094560858301016</v>
      </c>
      <c r="G546">
        <f t="shared" si="85"/>
        <v>1</v>
      </c>
      <c r="H546">
        <f t="shared" si="86"/>
        <v>4234.6097985346978</v>
      </c>
      <c r="K546">
        <v>0.51800000000000002</v>
      </c>
      <c r="L546">
        <f t="shared" si="82"/>
        <v>-6447.251333516655</v>
      </c>
      <c r="M546">
        <f t="shared" si="83"/>
        <v>5390.395539251087</v>
      </c>
      <c r="N546">
        <f t="shared" si="87"/>
        <v>0.96726201703758308</v>
      </c>
      <c r="O546">
        <f t="shared" si="88"/>
        <v>1</v>
      </c>
      <c r="P546">
        <f t="shared" si="89"/>
        <v>5301.4259702195586</v>
      </c>
    </row>
    <row r="547" spans="3:16" x14ac:dyDescent="0.25">
      <c r="C547">
        <v>0.51900000000000002</v>
      </c>
      <c r="D547">
        <f t="shared" si="80"/>
        <v>-5988.3994981082524</v>
      </c>
      <c r="E547">
        <f t="shared" si="81"/>
        <v>4294.823772482745</v>
      </c>
      <c r="F547">
        <f t="shared" si="84"/>
        <v>0.97148898642537429</v>
      </c>
      <c r="G547">
        <f t="shared" si="85"/>
        <v>1</v>
      </c>
      <c r="H547">
        <f t="shared" si="86"/>
        <v>4233.15615296943</v>
      </c>
      <c r="K547">
        <v>0.51900000000000002</v>
      </c>
      <c r="L547">
        <f t="shared" si="82"/>
        <v>-6431.3994981082524</v>
      </c>
      <c r="M547">
        <f t="shared" si="83"/>
        <v>5387.0938461998794</v>
      </c>
      <c r="N547">
        <f t="shared" si="87"/>
        <v>0.96783171151493774</v>
      </c>
      <c r="O547">
        <f t="shared" si="88"/>
        <v>1</v>
      </c>
      <c r="P547">
        <f t="shared" si="89"/>
        <v>5299.7387936762016</v>
      </c>
    </row>
    <row r="548" spans="3:16" x14ac:dyDescent="0.25">
      <c r="C548">
        <v>0.52</v>
      </c>
      <c r="D548">
        <f t="shared" si="80"/>
        <v>-5975.5476626998498</v>
      </c>
      <c r="E548">
        <f t="shared" si="81"/>
        <v>4292.1469332038878</v>
      </c>
      <c r="F548">
        <f t="shared" si="84"/>
        <v>0.97202723504026489</v>
      </c>
      <c r="G548">
        <f t="shared" si="85"/>
        <v>1</v>
      </c>
      <c r="H548">
        <f t="shared" si="86"/>
        <v>4231.6895356507239</v>
      </c>
      <c r="K548">
        <v>0.52</v>
      </c>
      <c r="L548">
        <f t="shared" si="82"/>
        <v>-6415.5476626998498</v>
      </c>
      <c r="M548">
        <f t="shared" si="83"/>
        <v>5383.7921531486709</v>
      </c>
      <c r="N548">
        <f t="shared" si="87"/>
        <v>0.96839640558106377</v>
      </c>
      <c r="O548">
        <f t="shared" si="88"/>
        <v>1</v>
      </c>
      <c r="P548">
        <f t="shared" si="89"/>
        <v>5298.0355676535892</v>
      </c>
    </row>
    <row r="549" spans="3:16" x14ac:dyDescent="0.25">
      <c r="C549">
        <v>0.52100000000000002</v>
      </c>
      <c r="D549">
        <f t="shared" si="80"/>
        <v>-5962.6958272914471</v>
      </c>
      <c r="E549">
        <f t="shared" si="81"/>
        <v>4289.4700939250306</v>
      </c>
      <c r="F549">
        <f t="shared" si="84"/>
        <v>0.97256035442768174</v>
      </c>
      <c r="G549">
        <f t="shared" si="85"/>
        <v>1</v>
      </c>
      <c r="H549">
        <f t="shared" si="86"/>
        <v>4230.2099776282912</v>
      </c>
      <c r="K549">
        <v>0.52100000000000002</v>
      </c>
      <c r="L549">
        <f t="shared" si="82"/>
        <v>-6399.6958272914471</v>
      </c>
      <c r="M549">
        <f t="shared" si="83"/>
        <v>5380.4904600974633</v>
      </c>
      <c r="N549">
        <f t="shared" si="87"/>
        <v>0.96895609923596104</v>
      </c>
      <c r="O549">
        <f t="shared" si="88"/>
        <v>1</v>
      </c>
      <c r="P549">
        <f t="shared" si="89"/>
        <v>5296.3163305176249</v>
      </c>
    </row>
    <row r="550" spans="3:16" x14ac:dyDescent="0.25">
      <c r="C550">
        <v>0.52200000000000002</v>
      </c>
      <c r="D550">
        <f t="shared" si="80"/>
        <v>-5949.8439918830445</v>
      </c>
      <c r="E550">
        <f t="shared" si="81"/>
        <v>4286.7932546461725</v>
      </c>
      <c r="F550">
        <f t="shared" si="84"/>
        <v>0.97308834458762494</v>
      </c>
      <c r="G550">
        <f t="shared" si="85"/>
        <v>1</v>
      </c>
      <c r="H550">
        <f t="shared" si="86"/>
        <v>4228.7175098241532</v>
      </c>
      <c r="K550">
        <v>0.52200000000000002</v>
      </c>
      <c r="L550">
        <f t="shared" si="82"/>
        <v>-6383.8439918830445</v>
      </c>
      <c r="M550">
        <f t="shared" si="83"/>
        <v>5377.1887670462547</v>
      </c>
      <c r="N550">
        <f t="shared" si="87"/>
        <v>0.96951079247962979</v>
      </c>
      <c r="O550">
        <f t="shared" si="88"/>
        <v>1</v>
      </c>
      <c r="P550">
        <f t="shared" si="89"/>
        <v>5294.5811204767806</v>
      </c>
    </row>
    <row r="551" spans="3:16" x14ac:dyDescent="0.25">
      <c r="C551">
        <v>0.52300000000000002</v>
      </c>
      <c r="D551">
        <f t="shared" si="80"/>
        <v>-5936.9921564746428</v>
      </c>
      <c r="E551">
        <f t="shared" si="81"/>
        <v>4284.1164153673162</v>
      </c>
      <c r="F551">
        <f t="shared" si="84"/>
        <v>0.97361120552009439</v>
      </c>
      <c r="G551">
        <f t="shared" si="85"/>
        <v>1</v>
      </c>
      <c r="H551">
        <f t="shared" si="86"/>
        <v>4227.2121630333722</v>
      </c>
      <c r="K551">
        <v>0.52300000000000002</v>
      </c>
      <c r="L551">
        <f t="shared" si="82"/>
        <v>-6367.9921564746419</v>
      </c>
      <c r="M551">
        <f t="shared" si="83"/>
        <v>5373.8870739950471</v>
      </c>
      <c r="N551">
        <f t="shared" si="87"/>
        <v>0.97006048531206979</v>
      </c>
      <c r="O551">
        <f t="shared" si="88"/>
        <v>1</v>
      </c>
      <c r="P551">
        <f t="shared" si="89"/>
        <v>5292.8299755829985</v>
      </c>
    </row>
    <row r="552" spans="3:16" x14ac:dyDescent="0.25">
      <c r="C552">
        <v>0.52400000000000002</v>
      </c>
      <c r="D552">
        <f t="shared" si="80"/>
        <v>-5924.1403210662402</v>
      </c>
      <c r="E552">
        <f t="shared" si="81"/>
        <v>4281.4395760884581</v>
      </c>
      <c r="F552">
        <f t="shared" si="84"/>
        <v>0.97412893722509031</v>
      </c>
      <c r="G552">
        <f t="shared" si="85"/>
        <v>1</v>
      </c>
      <c r="H552">
        <f t="shared" si="86"/>
        <v>4225.6939679247535</v>
      </c>
      <c r="K552">
        <v>0.52400000000000002</v>
      </c>
      <c r="L552">
        <f t="shared" si="82"/>
        <v>-6352.1403210662393</v>
      </c>
      <c r="M552">
        <f t="shared" si="83"/>
        <v>5370.5853809438386</v>
      </c>
      <c r="N552">
        <f t="shared" si="87"/>
        <v>0.97060517773328114</v>
      </c>
      <c r="O552">
        <f t="shared" si="88"/>
        <v>1</v>
      </c>
      <c r="P552">
        <f t="shared" si="89"/>
        <v>5291.0629337325827</v>
      </c>
    </row>
    <row r="553" spans="3:16" x14ac:dyDescent="0.25">
      <c r="C553">
        <v>0.52500000000000002</v>
      </c>
      <c r="D553">
        <f t="shared" si="80"/>
        <v>-5911.2884856578376</v>
      </c>
      <c r="E553">
        <f t="shared" si="81"/>
        <v>4278.7627368096009</v>
      </c>
      <c r="F553">
        <f t="shared" si="84"/>
        <v>0.97464153970261247</v>
      </c>
      <c r="G553">
        <f t="shared" si="85"/>
        <v>1</v>
      </c>
      <c r="H553">
        <f t="shared" si="86"/>
        <v>4224.1629550415691</v>
      </c>
      <c r="K553">
        <v>0.52500000000000002</v>
      </c>
      <c r="L553">
        <f t="shared" si="82"/>
        <v>-6336.2884856578366</v>
      </c>
      <c r="M553">
        <f t="shared" si="83"/>
        <v>5367.283687892631</v>
      </c>
      <c r="N553">
        <f t="shared" si="87"/>
        <v>0.97114486974326386</v>
      </c>
      <c r="O553">
        <f t="shared" si="88"/>
        <v>1</v>
      </c>
      <c r="P553">
        <f t="shared" si="89"/>
        <v>5289.2800326670804</v>
      </c>
    </row>
    <row r="554" spans="3:16" x14ac:dyDescent="0.25">
      <c r="C554">
        <v>0.52600000000000002</v>
      </c>
      <c r="D554">
        <f t="shared" si="80"/>
        <v>-5898.4366502494349</v>
      </c>
      <c r="E554">
        <f t="shared" si="81"/>
        <v>4276.0858975307438</v>
      </c>
      <c r="F554">
        <f t="shared" si="84"/>
        <v>0.97514901295266099</v>
      </c>
      <c r="G554">
        <f t="shared" si="85"/>
        <v>1</v>
      </c>
      <c r="H554">
        <f t="shared" si="86"/>
        <v>4222.6191548022507</v>
      </c>
      <c r="K554">
        <v>0.52600000000000002</v>
      </c>
      <c r="L554">
        <f t="shared" si="82"/>
        <v>-6320.4366502494358</v>
      </c>
      <c r="M554">
        <f t="shared" si="83"/>
        <v>5363.9819948414224</v>
      </c>
      <c r="N554">
        <f t="shared" si="87"/>
        <v>0.97167956134201783</v>
      </c>
      <c r="O554">
        <f t="shared" si="88"/>
        <v>1</v>
      </c>
      <c r="P554">
        <f t="shared" si="89"/>
        <v>5287.4813099741568</v>
      </c>
    </row>
    <row r="555" spans="3:16" x14ac:dyDescent="0.25">
      <c r="C555">
        <v>0.52700000000000002</v>
      </c>
      <c r="D555">
        <f t="shared" si="80"/>
        <v>-5885.5848148410323</v>
      </c>
      <c r="E555">
        <f t="shared" si="81"/>
        <v>4273.4090582518866</v>
      </c>
      <c r="F555">
        <f t="shared" si="84"/>
        <v>0.97565135697523586</v>
      </c>
      <c r="G555">
        <f t="shared" si="85"/>
        <v>1</v>
      </c>
      <c r="H555">
        <f t="shared" si="86"/>
        <v>4221.0625975010889</v>
      </c>
      <c r="K555">
        <v>0.52700000000000002</v>
      </c>
      <c r="L555">
        <f t="shared" si="82"/>
        <v>-6304.5848148410332</v>
      </c>
      <c r="M555">
        <f t="shared" si="83"/>
        <v>5360.6803017902148</v>
      </c>
      <c r="N555">
        <f t="shared" si="87"/>
        <v>0.97220925252954316</v>
      </c>
      <c r="O555">
        <f t="shared" si="88"/>
        <v>1</v>
      </c>
      <c r="P555">
        <f t="shared" si="89"/>
        <v>5285.6668030884621</v>
      </c>
    </row>
    <row r="556" spans="3:16" x14ac:dyDescent="0.25">
      <c r="C556">
        <v>0.52800000000000002</v>
      </c>
      <c r="D556">
        <f t="shared" si="80"/>
        <v>-5872.7329794326297</v>
      </c>
      <c r="E556">
        <f t="shared" si="81"/>
        <v>4270.7322189730294</v>
      </c>
      <c r="F556">
        <f t="shared" si="84"/>
        <v>0.97614857177033698</v>
      </c>
      <c r="G556">
        <f t="shared" si="85"/>
        <v>1</v>
      </c>
      <c r="H556">
        <f t="shared" si="86"/>
        <v>4219.4933133089235</v>
      </c>
      <c r="K556">
        <v>0.52800000000000002</v>
      </c>
      <c r="L556">
        <f t="shared" si="82"/>
        <v>-6288.7329794326306</v>
      </c>
      <c r="M556">
        <f t="shared" si="83"/>
        <v>5357.3786087390072</v>
      </c>
      <c r="N556">
        <f t="shared" si="87"/>
        <v>0.97273394330583984</v>
      </c>
      <c r="O556">
        <f t="shared" si="88"/>
        <v>1</v>
      </c>
      <c r="P556">
        <f t="shared" si="89"/>
        <v>5283.8365492924913</v>
      </c>
    </row>
    <row r="557" spans="3:16" x14ac:dyDescent="0.25">
      <c r="C557">
        <v>0.52900000000000003</v>
      </c>
      <c r="D557">
        <f t="shared" si="80"/>
        <v>-5859.881144024228</v>
      </c>
      <c r="E557">
        <f t="shared" si="81"/>
        <v>4268.0553796941722</v>
      </c>
      <c r="F557">
        <f t="shared" si="84"/>
        <v>0.97664065733796446</v>
      </c>
      <c r="G557">
        <f t="shared" si="85"/>
        <v>1</v>
      </c>
      <c r="H557">
        <f t="shared" si="86"/>
        <v>4217.911332273824</v>
      </c>
      <c r="K557">
        <v>0.52900000000000003</v>
      </c>
      <c r="L557">
        <f t="shared" si="82"/>
        <v>-6272.881144024228</v>
      </c>
      <c r="M557">
        <f t="shared" si="83"/>
        <v>5354.0769156877986</v>
      </c>
      <c r="N557">
        <f t="shared" si="87"/>
        <v>0.97325363367090789</v>
      </c>
      <c r="O557">
        <f t="shared" si="88"/>
        <v>1</v>
      </c>
      <c r="P557">
        <f t="shared" si="89"/>
        <v>5281.9905857174335</v>
      </c>
    </row>
    <row r="558" spans="3:16" x14ac:dyDescent="0.25">
      <c r="C558">
        <v>0.53</v>
      </c>
      <c r="D558">
        <f t="shared" si="80"/>
        <v>-5847.0293086158254</v>
      </c>
      <c r="E558">
        <f t="shared" si="81"/>
        <v>4265.378540415315</v>
      </c>
      <c r="F558">
        <f t="shared" si="84"/>
        <v>0.97712761367811829</v>
      </c>
      <c r="G558">
        <f t="shared" si="85"/>
        <v>1</v>
      </c>
      <c r="H558">
        <f t="shared" si="86"/>
        <v>4216.3166843217732</v>
      </c>
      <c r="K558">
        <v>0.53</v>
      </c>
      <c r="L558">
        <f t="shared" si="82"/>
        <v>-6257.0293086158254</v>
      </c>
      <c r="M558">
        <f t="shared" si="83"/>
        <v>5350.7752226365901</v>
      </c>
      <c r="N558">
        <f t="shared" si="87"/>
        <v>0.9737683236247473</v>
      </c>
      <c r="O558">
        <f t="shared" si="88"/>
        <v>1</v>
      </c>
      <c r="P558">
        <f t="shared" si="89"/>
        <v>5280.1289493440199</v>
      </c>
    </row>
    <row r="559" spans="3:16" x14ac:dyDescent="0.25">
      <c r="C559">
        <v>0.53100000000000003</v>
      </c>
      <c r="D559">
        <f t="shared" si="80"/>
        <v>-5834.1774732074227</v>
      </c>
      <c r="E559">
        <f t="shared" si="81"/>
        <v>4262.7017011364578</v>
      </c>
      <c r="F559">
        <f t="shared" si="84"/>
        <v>0.97760944079079848</v>
      </c>
      <c r="G559">
        <f t="shared" si="85"/>
        <v>1</v>
      </c>
      <c r="H559">
        <f t="shared" si="86"/>
        <v>4214.7093992573336</v>
      </c>
      <c r="K559">
        <v>0.53100000000000003</v>
      </c>
      <c r="L559">
        <f t="shared" si="82"/>
        <v>-6241.1774732074227</v>
      </c>
      <c r="M559">
        <f t="shared" si="83"/>
        <v>5347.4735295853825</v>
      </c>
      <c r="N559">
        <f t="shared" si="87"/>
        <v>0.97427801316735807</v>
      </c>
      <c r="O559">
        <f t="shared" si="88"/>
        <v>1</v>
      </c>
      <c r="P559">
        <f t="shared" si="89"/>
        <v>5278.2516770033571</v>
      </c>
    </row>
    <row r="560" spans="3:16" x14ac:dyDescent="0.25">
      <c r="C560">
        <v>0.53200000000000003</v>
      </c>
      <c r="D560">
        <f t="shared" si="80"/>
        <v>-5821.3256377990201</v>
      </c>
      <c r="E560">
        <f t="shared" si="81"/>
        <v>4260.0248618576006</v>
      </c>
      <c r="F560">
        <f t="shared" si="84"/>
        <v>0.97808613867600491</v>
      </c>
      <c r="G560">
        <f t="shared" si="85"/>
        <v>1</v>
      </c>
      <c r="H560">
        <f t="shared" si="86"/>
        <v>4213.0895067643123</v>
      </c>
      <c r="K560">
        <v>0.53200000000000003</v>
      </c>
      <c r="L560">
        <f t="shared" si="82"/>
        <v>-6225.3256377990201</v>
      </c>
      <c r="M560">
        <f t="shared" si="83"/>
        <v>5344.171836534174</v>
      </c>
      <c r="N560">
        <f t="shared" si="87"/>
        <v>0.97478270229874009</v>
      </c>
      <c r="O560">
        <f t="shared" si="88"/>
        <v>1</v>
      </c>
      <c r="P560">
        <f t="shared" si="89"/>
        <v>5276.358805377753</v>
      </c>
    </row>
    <row r="561" spans="3:16" x14ac:dyDescent="0.25">
      <c r="C561">
        <v>0.53300000000000003</v>
      </c>
      <c r="D561">
        <f t="shared" si="80"/>
        <v>-5808.4738023906175</v>
      </c>
      <c r="E561">
        <f t="shared" si="81"/>
        <v>4257.3480225787425</v>
      </c>
      <c r="F561">
        <f t="shared" si="84"/>
        <v>0.97855770733373781</v>
      </c>
      <c r="G561">
        <f t="shared" si="85"/>
        <v>1</v>
      </c>
      <c r="H561">
        <f t="shared" si="86"/>
        <v>4211.4570364064239</v>
      </c>
      <c r="K561">
        <v>0.53300000000000003</v>
      </c>
      <c r="L561">
        <f t="shared" si="82"/>
        <v>-6209.4738023906175</v>
      </c>
      <c r="M561">
        <f t="shared" si="83"/>
        <v>5340.8701434829663</v>
      </c>
      <c r="N561">
        <f t="shared" si="87"/>
        <v>0.97528239101889347</v>
      </c>
      <c r="O561">
        <f t="shared" si="88"/>
        <v>1</v>
      </c>
      <c r="P561">
        <f t="shared" si="89"/>
        <v>5274.4503710015479</v>
      </c>
    </row>
    <row r="562" spans="3:16" x14ac:dyDescent="0.25">
      <c r="C562">
        <v>0.53400000000000003</v>
      </c>
      <c r="D562">
        <f t="shared" si="80"/>
        <v>-5795.6219669822149</v>
      </c>
      <c r="E562">
        <f t="shared" si="81"/>
        <v>4254.6711832998853</v>
      </c>
      <c r="F562">
        <f t="shared" si="84"/>
        <v>0.97902414676399696</v>
      </c>
      <c r="G562">
        <f t="shared" si="85"/>
        <v>1</v>
      </c>
      <c r="H562">
        <f t="shared" si="86"/>
        <v>4209.8120176279408</v>
      </c>
      <c r="K562">
        <v>0.53400000000000003</v>
      </c>
      <c r="L562">
        <f t="shared" si="82"/>
        <v>-6193.6219669822149</v>
      </c>
      <c r="M562">
        <f t="shared" si="83"/>
        <v>5337.5684504317578</v>
      </c>
      <c r="N562">
        <f t="shared" si="87"/>
        <v>0.97577707932781821</v>
      </c>
      <c r="O562">
        <f t="shared" si="88"/>
        <v>1</v>
      </c>
      <c r="P562">
        <f t="shared" si="89"/>
        <v>5272.5264102619149</v>
      </c>
    </row>
    <row r="563" spans="3:16" x14ac:dyDescent="0.25">
      <c r="C563">
        <v>0.53500000000000003</v>
      </c>
      <c r="D563">
        <f t="shared" si="80"/>
        <v>-5782.7701315738132</v>
      </c>
      <c r="E563">
        <f t="shared" si="81"/>
        <v>4251.9943440210282</v>
      </c>
      <c r="F563">
        <f t="shared" si="84"/>
        <v>0.97948545696678235</v>
      </c>
      <c r="G563">
        <f t="shared" si="85"/>
        <v>1</v>
      </c>
      <c r="H563">
        <f t="shared" si="86"/>
        <v>4208.1544797543438</v>
      </c>
      <c r="K563">
        <v>0.53500000000000003</v>
      </c>
      <c r="L563">
        <f t="shared" si="82"/>
        <v>-6177.7701315738123</v>
      </c>
      <c r="M563">
        <f t="shared" si="83"/>
        <v>5334.2667573805502</v>
      </c>
      <c r="N563">
        <f t="shared" si="87"/>
        <v>0.97626676722551431</v>
      </c>
      <c r="O563">
        <f t="shared" si="88"/>
        <v>1</v>
      </c>
      <c r="P563">
        <f t="shared" si="89"/>
        <v>5270.5869593996795</v>
      </c>
    </row>
    <row r="564" spans="3:16" x14ac:dyDescent="0.25">
      <c r="C564">
        <v>0.53600000000000003</v>
      </c>
      <c r="D564">
        <f t="shared" si="80"/>
        <v>-5769.9182961654105</v>
      </c>
      <c r="E564">
        <f t="shared" si="81"/>
        <v>4249.317504742171</v>
      </c>
      <c r="F564">
        <f t="shared" si="84"/>
        <v>0.97994163794209421</v>
      </c>
      <c r="G564">
        <f t="shared" si="85"/>
        <v>1</v>
      </c>
      <c r="H564">
        <f t="shared" si="86"/>
        <v>4206.4844519929575</v>
      </c>
      <c r="K564">
        <v>0.53600000000000003</v>
      </c>
      <c r="L564">
        <f t="shared" si="82"/>
        <v>-6161.9182961654096</v>
      </c>
      <c r="M564">
        <f t="shared" si="83"/>
        <v>5330.9650643293417</v>
      </c>
      <c r="N564">
        <f t="shared" si="87"/>
        <v>0.97675145471198177</v>
      </c>
      <c r="O564">
        <f t="shared" si="88"/>
        <v>1</v>
      </c>
      <c r="P564">
        <f t="shared" si="89"/>
        <v>5268.6320545101098</v>
      </c>
    </row>
    <row r="565" spans="3:16" x14ac:dyDescent="0.25">
      <c r="C565">
        <v>0.53700000000000003</v>
      </c>
      <c r="D565">
        <f t="shared" si="80"/>
        <v>-5757.0664607570079</v>
      </c>
      <c r="E565">
        <f t="shared" si="81"/>
        <v>4246.6406654633138</v>
      </c>
      <c r="F565">
        <f t="shared" si="84"/>
        <v>0.98039268968993232</v>
      </c>
      <c r="G565">
        <f t="shared" si="85"/>
        <v>1</v>
      </c>
      <c r="H565">
        <f t="shared" si="86"/>
        <v>4204.8019634335933</v>
      </c>
      <c r="K565">
        <v>0.53700000000000003</v>
      </c>
      <c r="L565">
        <f t="shared" si="82"/>
        <v>-6146.066460757007</v>
      </c>
      <c r="M565">
        <f t="shared" si="83"/>
        <v>5327.663371278134</v>
      </c>
      <c r="N565">
        <f t="shared" si="87"/>
        <v>0.97723114178722048</v>
      </c>
      <c r="O565">
        <f t="shared" si="88"/>
        <v>1</v>
      </c>
      <c r="P565">
        <f t="shared" si="89"/>
        <v>5266.6617315437152</v>
      </c>
    </row>
    <row r="566" spans="3:16" x14ac:dyDescent="0.25">
      <c r="C566">
        <v>0.53800000000000003</v>
      </c>
      <c r="D566">
        <f t="shared" si="80"/>
        <v>-5744.2146253486053</v>
      </c>
      <c r="E566">
        <f t="shared" si="81"/>
        <v>4243.9638261844566</v>
      </c>
      <c r="F566">
        <f t="shared" si="84"/>
        <v>0.98083861221029678</v>
      </c>
      <c r="G566">
        <f t="shared" si="85"/>
        <v>1</v>
      </c>
      <c r="H566">
        <f t="shared" si="86"/>
        <v>4203.1070430491736</v>
      </c>
      <c r="K566">
        <v>0.53800000000000003</v>
      </c>
      <c r="L566">
        <f t="shared" si="82"/>
        <v>-6130.2146253486044</v>
      </c>
      <c r="M566">
        <f t="shared" si="83"/>
        <v>5324.3616782269255</v>
      </c>
      <c r="N566">
        <f t="shared" si="87"/>
        <v>0.97770582845123055</v>
      </c>
      <c r="O566">
        <f t="shared" si="88"/>
        <v>1</v>
      </c>
      <c r="P566">
        <f t="shared" si="89"/>
        <v>5264.6760263070264</v>
      </c>
    </row>
    <row r="567" spans="3:16" x14ac:dyDescent="0.25">
      <c r="C567">
        <v>0.53900000000000003</v>
      </c>
      <c r="D567">
        <f t="shared" si="80"/>
        <v>-5731.3627899402027</v>
      </c>
      <c r="E567">
        <f t="shared" si="81"/>
        <v>4241.2869869055994</v>
      </c>
      <c r="F567">
        <f t="shared" si="84"/>
        <v>0.9812794055031876</v>
      </c>
      <c r="G567">
        <f t="shared" si="85"/>
        <v>1</v>
      </c>
      <c r="H567">
        <f t="shared" si="86"/>
        <v>4201.3997196963601</v>
      </c>
      <c r="K567">
        <v>0.53900000000000003</v>
      </c>
      <c r="L567">
        <f t="shared" si="82"/>
        <v>-6114.3627899402036</v>
      </c>
      <c r="M567">
        <f t="shared" si="83"/>
        <v>5321.0599851757179</v>
      </c>
      <c r="N567">
        <f t="shared" si="87"/>
        <v>0.97817551470401198</v>
      </c>
      <c r="O567">
        <f t="shared" si="88"/>
        <v>1</v>
      </c>
      <c r="P567">
        <f t="shared" si="89"/>
        <v>5262.6749744633817</v>
      </c>
    </row>
    <row r="568" spans="3:16" x14ac:dyDescent="0.25">
      <c r="C568">
        <v>0.54</v>
      </c>
      <c r="D568">
        <f t="shared" si="80"/>
        <v>-5718.5109545318001</v>
      </c>
      <c r="E568">
        <f t="shared" si="81"/>
        <v>4238.6101476267422</v>
      </c>
      <c r="F568">
        <f t="shared" si="84"/>
        <v>0.98171506956860466</v>
      </c>
      <c r="G568">
        <f t="shared" si="85"/>
        <v>1</v>
      </c>
      <c r="H568">
        <f t="shared" si="86"/>
        <v>4199.6800221161693</v>
      </c>
      <c r="K568">
        <v>0.54</v>
      </c>
      <c r="L568">
        <f t="shared" si="82"/>
        <v>-6098.510954531801</v>
      </c>
      <c r="M568">
        <f t="shared" si="83"/>
        <v>5317.7582921245103</v>
      </c>
      <c r="N568">
        <f t="shared" si="87"/>
        <v>0.97864020054556478</v>
      </c>
      <c r="O568">
        <f t="shared" si="88"/>
        <v>1</v>
      </c>
      <c r="P568">
        <f t="shared" si="89"/>
        <v>5260.6586115336868</v>
      </c>
    </row>
    <row r="569" spans="3:16" x14ac:dyDescent="0.25">
      <c r="C569">
        <v>0.54100000000000004</v>
      </c>
      <c r="D569">
        <f t="shared" si="80"/>
        <v>-5705.6591191233974</v>
      </c>
      <c r="E569">
        <f t="shared" si="81"/>
        <v>4235.933308347885</v>
      </c>
      <c r="F569">
        <f t="shared" si="84"/>
        <v>0.98214560440654808</v>
      </c>
      <c r="G569">
        <f t="shared" si="85"/>
        <v>1</v>
      </c>
      <c r="H569">
        <f t="shared" si="86"/>
        <v>4197.9479789345887</v>
      </c>
      <c r="K569">
        <v>0.54100000000000004</v>
      </c>
      <c r="L569">
        <f t="shared" si="82"/>
        <v>-6082.6591191233983</v>
      </c>
      <c r="M569">
        <f t="shared" si="83"/>
        <v>5314.4565990733017</v>
      </c>
      <c r="N569">
        <f t="shared" si="87"/>
        <v>0.97909988597588893</v>
      </c>
      <c r="O569">
        <f t="shared" si="88"/>
        <v>1</v>
      </c>
      <c r="P569">
        <f t="shared" si="89"/>
        <v>5258.6269728971874</v>
      </c>
    </row>
    <row r="570" spans="3:16" x14ac:dyDescent="0.25">
      <c r="C570">
        <v>0.54200000000000004</v>
      </c>
      <c r="D570">
        <f t="shared" si="80"/>
        <v>-5692.8072837149957</v>
      </c>
      <c r="E570">
        <f t="shared" si="81"/>
        <v>4233.2564690690269</v>
      </c>
      <c r="F570">
        <f t="shared" si="84"/>
        <v>0.98257101001701785</v>
      </c>
      <c r="G570">
        <f t="shared" si="85"/>
        <v>1</v>
      </c>
      <c r="H570">
        <f t="shared" si="86"/>
        <v>4196.2036186631794</v>
      </c>
      <c r="K570">
        <v>0.54200000000000004</v>
      </c>
      <c r="L570">
        <f t="shared" si="82"/>
        <v>-6066.8072837149957</v>
      </c>
      <c r="M570">
        <f t="shared" si="83"/>
        <v>5311.1549060220932</v>
      </c>
      <c r="N570">
        <f t="shared" si="87"/>
        <v>0.97955457099498433</v>
      </c>
      <c r="O570">
        <f t="shared" si="88"/>
        <v>1</v>
      </c>
      <c r="P570">
        <f t="shared" si="89"/>
        <v>5256.5800937922268</v>
      </c>
    </row>
    <row r="571" spans="3:16" x14ac:dyDescent="0.25">
      <c r="C571">
        <v>0.54300000000000004</v>
      </c>
      <c r="D571">
        <f t="shared" si="80"/>
        <v>-5679.9554483065931</v>
      </c>
      <c r="E571">
        <f t="shared" si="81"/>
        <v>4230.5796297901707</v>
      </c>
      <c r="F571">
        <f t="shared" si="84"/>
        <v>0.98299128640001399</v>
      </c>
      <c r="G571">
        <f t="shared" si="85"/>
        <v>1</v>
      </c>
      <c r="H571">
        <f t="shared" si="86"/>
        <v>4194.4469696996885</v>
      </c>
      <c r="K571">
        <v>0.54300000000000004</v>
      </c>
      <c r="L571">
        <f t="shared" si="82"/>
        <v>-6050.9554483065931</v>
      </c>
      <c r="M571">
        <f t="shared" si="83"/>
        <v>5307.8532129708856</v>
      </c>
      <c r="N571">
        <f t="shared" si="87"/>
        <v>0.98000425560285109</v>
      </c>
      <c r="O571">
        <f t="shared" si="88"/>
        <v>1</v>
      </c>
      <c r="P571">
        <f t="shared" si="89"/>
        <v>5254.5180093169947</v>
      </c>
    </row>
    <row r="572" spans="3:16" x14ac:dyDescent="0.25">
      <c r="C572">
        <v>0.54400000000000004</v>
      </c>
      <c r="D572">
        <f t="shared" si="80"/>
        <v>-5667.1036128981905</v>
      </c>
      <c r="E572">
        <f t="shared" si="81"/>
        <v>4227.9027905113126</v>
      </c>
      <c r="F572">
        <f t="shared" si="84"/>
        <v>0.98340643355553636</v>
      </c>
      <c r="G572">
        <f t="shared" si="85"/>
        <v>1</v>
      </c>
      <c r="H572">
        <f t="shared" si="86"/>
        <v>4192.6780603286261</v>
      </c>
      <c r="K572">
        <v>0.54400000000000004</v>
      </c>
      <c r="L572">
        <f t="shared" si="82"/>
        <v>-6035.1036128981905</v>
      </c>
      <c r="M572">
        <f t="shared" si="83"/>
        <v>5304.551519919677</v>
      </c>
      <c r="N572">
        <f t="shared" si="87"/>
        <v>0.98044893979948922</v>
      </c>
      <c r="O572">
        <f t="shared" si="88"/>
        <v>1</v>
      </c>
      <c r="P572">
        <f t="shared" si="89"/>
        <v>5252.4407544302694</v>
      </c>
    </row>
    <row r="573" spans="3:16" x14ac:dyDescent="0.25">
      <c r="C573">
        <v>0.54500000000000004</v>
      </c>
      <c r="D573">
        <f t="shared" si="80"/>
        <v>-5654.2517774897879</v>
      </c>
      <c r="E573">
        <f t="shared" si="81"/>
        <v>4225.2259512324554</v>
      </c>
      <c r="F573">
        <f t="shared" si="84"/>
        <v>0.98381645148358521</v>
      </c>
      <c r="G573">
        <f t="shared" si="85"/>
        <v>1</v>
      </c>
      <c r="H573">
        <f t="shared" si="86"/>
        <v>4190.8969187218809</v>
      </c>
      <c r="K573">
        <v>0.54500000000000004</v>
      </c>
      <c r="L573">
        <f t="shared" si="82"/>
        <v>-6019.2517774897879</v>
      </c>
      <c r="M573">
        <f t="shared" si="83"/>
        <v>5301.2498268684694</v>
      </c>
      <c r="N573">
        <f t="shared" si="87"/>
        <v>0.9808886235848987</v>
      </c>
      <c r="O573">
        <f t="shared" si="88"/>
        <v>1</v>
      </c>
      <c r="P573">
        <f t="shared" si="89"/>
        <v>5250.3483639521592</v>
      </c>
    </row>
    <row r="574" spans="3:16" x14ac:dyDescent="0.25">
      <c r="C574">
        <v>0.54600000000000004</v>
      </c>
      <c r="D574">
        <f t="shared" si="80"/>
        <v>-5641.3999420813852</v>
      </c>
      <c r="E574">
        <f t="shared" si="81"/>
        <v>4222.5491119535982</v>
      </c>
      <c r="F574">
        <f t="shared" si="84"/>
        <v>0.9842213401841603</v>
      </c>
      <c r="G574">
        <f t="shared" si="85"/>
        <v>1</v>
      </c>
      <c r="H574">
        <f t="shared" si="86"/>
        <v>4189.103572939287</v>
      </c>
      <c r="K574">
        <v>0.54600000000000004</v>
      </c>
      <c r="L574">
        <f t="shared" si="82"/>
        <v>-6003.3999420813852</v>
      </c>
      <c r="M574">
        <f t="shared" si="83"/>
        <v>5297.9481338172609</v>
      </c>
      <c r="N574">
        <f t="shared" si="87"/>
        <v>0.98132330695907954</v>
      </c>
      <c r="O574">
        <f t="shared" si="88"/>
        <v>1</v>
      </c>
      <c r="P574">
        <f t="shared" si="89"/>
        <v>5248.2408725648302</v>
      </c>
    </row>
    <row r="575" spans="3:16" x14ac:dyDescent="0.25">
      <c r="C575">
        <v>0.54700000000000004</v>
      </c>
      <c r="D575">
        <f t="shared" si="80"/>
        <v>-5628.5481066729826</v>
      </c>
      <c r="E575">
        <f t="shared" si="81"/>
        <v>4219.872272674741</v>
      </c>
      <c r="F575">
        <f t="shared" si="84"/>
        <v>0.98462109965726163</v>
      </c>
      <c r="G575">
        <f t="shared" si="85"/>
        <v>1</v>
      </c>
      <c r="H575">
        <f t="shared" si="86"/>
        <v>4187.2980509292111</v>
      </c>
      <c r="K575">
        <v>0.54700000000000004</v>
      </c>
      <c r="L575">
        <f t="shared" si="82"/>
        <v>-5987.5481066729826</v>
      </c>
      <c r="M575">
        <f t="shared" si="83"/>
        <v>5294.6464407660533</v>
      </c>
      <c r="N575">
        <f t="shared" si="87"/>
        <v>0.98175298992203164</v>
      </c>
      <c r="O575">
        <f t="shared" si="88"/>
        <v>1</v>
      </c>
      <c r="P575">
        <f t="shared" si="89"/>
        <v>5246.1183148132332</v>
      </c>
    </row>
    <row r="576" spans="3:16" x14ac:dyDescent="0.25">
      <c r="C576">
        <v>0.54800000000000004</v>
      </c>
      <c r="D576">
        <f t="shared" si="80"/>
        <v>-5615.6962712645809</v>
      </c>
      <c r="E576">
        <f t="shared" si="81"/>
        <v>4217.1954333958838</v>
      </c>
      <c r="F576">
        <f t="shared" si="84"/>
        <v>0.98501572990288944</v>
      </c>
      <c r="G576">
        <f t="shared" si="85"/>
        <v>1</v>
      </c>
      <c r="H576">
        <f t="shared" si="86"/>
        <v>4185.4803805291313</v>
      </c>
      <c r="K576">
        <v>0.54800000000000004</v>
      </c>
      <c r="L576">
        <f t="shared" si="82"/>
        <v>-5971.69627126458</v>
      </c>
      <c r="M576">
        <f t="shared" si="83"/>
        <v>5291.3447477148447</v>
      </c>
      <c r="N576">
        <f t="shared" si="87"/>
        <v>0.9821776724737552</v>
      </c>
      <c r="O576">
        <f t="shared" si="88"/>
        <v>1</v>
      </c>
      <c r="P576">
        <f t="shared" si="89"/>
        <v>5243.9807251058201</v>
      </c>
    </row>
    <row r="577" spans="3:16" x14ac:dyDescent="0.25">
      <c r="C577">
        <v>0.54900000000000004</v>
      </c>
      <c r="D577">
        <f t="shared" si="80"/>
        <v>-5602.8444358561783</v>
      </c>
      <c r="E577">
        <f t="shared" si="81"/>
        <v>4214.5185941170266</v>
      </c>
      <c r="F577">
        <f t="shared" si="84"/>
        <v>0.98540523092104348</v>
      </c>
      <c r="G577">
        <f t="shared" si="85"/>
        <v>1</v>
      </c>
      <c r="H577">
        <f t="shared" si="86"/>
        <v>4183.6505894661996</v>
      </c>
      <c r="K577">
        <v>0.54900000000000004</v>
      </c>
      <c r="L577">
        <f t="shared" si="82"/>
        <v>-5955.8444358561774</v>
      </c>
      <c r="M577">
        <f t="shared" si="83"/>
        <v>5288.0430546636371</v>
      </c>
      <c r="N577">
        <f t="shared" si="87"/>
        <v>0.98259735461425002</v>
      </c>
      <c r="O577">
        <f t="shared" si="88"/>
        <v>1</v>
      </c>
      <c r="P577">
        <f t="shared" si="89"/>
        <v>5241.8281377152562</v>
      </c>
    </row>
    <row r="578" spans="3:16" x14ac:dyDescent="0.25">
      <c r="C578">
        <v>0.55000000000000004</v>
      </c>
      <c r="D578">
        <f t="shared" si="80"/>
        <v>-5589.9926004477757</v>
      </c>
      <c r="E578">
        <f t="shared" si="81"/>
        <v>4211.8417548381694</v>
      </c>
      <c r="F578">
        <f t="shared" si="84"/>
        <v>0.98578960271172389</v>
      </c>
      <c r="G578">
        <f t="shared" si="85"/>
        <v>1</v>
      </c>
      <c r="H578">
        <f t="shared" si="86"/>
        <v>4181.8087053578138</v>
      </c>
      <c r="K578">
        <v>0.55000000000000004</v>
      </c>
      <c r="L578">
        <f t="shared" si="82"/>
        <v>-5939.9926004477747</v>
      </c>
      <c r="M578">
        <f t="shared" si="83"/>
        <v>5284.7413616124286</v>
      </c>
      <c r="N578">
        <f t="shared" si="87"/>
        <v>0.98301203634351619</v>
      </c>
      <c r="O578">
        <f t="shared" si="88"/>
        <v>1</v>
      </c>
      <c r="P578">
        <f t="shared" si="89"/>
        <v>5239.6605867791222</v>
      </c>
    </row>
    <row r="579" spans="3:16" x14ac:dyDescent="0.25">
      <c r="C579">
        <v>0.55100000000000005</v>
      </c>
      <c r="D579">
        <f t="shared" si="80"/>
        <v>-5577.140765039373</v>
      </c>
      <c r="E579">
        <f t="shared" si="81"/>
        <v>4209.1649155593113</v>
      </c>
      <c r="F579">
        <f t="shared" si="84"/>
        <v>0.98616884527493065</v>
      </c>
      <c r="G579">
        <f t="shared" si="85"/>
        <v>1</v>
      </c>
      <c r="H579">
        <f t="shared" si="86"/>
        <v>4179.9547557121705</v>
      </c>
      <c r="K579">
        <v>0.55100000000000005</v>
      </c>
      <c r="L579">
        <f t="shared" si="82"/>
        <v>-5924.1407650393721</v>
      </c>
      <c r="M579">
        <f t="shared" si="83"/>
        <v>5281.439668561221</v>
      </c>
      <c r="N579">
        <f t="shared" si="87"/>
        <v>0.98342171766155362</v>
      </c>
      <c r="O579">
        <f t="shared" si="88"/>
        <v>1</v>
      </c>
      <c r="P579">
        <f t="shared" si="89"/>
        <v>5237.4781063006212</v>
      </c>
    </row>
    <row r="580" spans="3:16" x14ac:dyDescent="0.25">
      <c r="C580">
        <v>0.55200000000000005</v>
      </c>
      <c r="D580">
        <f t="shared" si="80"/>
        <v>-5564.2889296309704</v>
      </c>
      <c r="E580">
        <f t="shared" si="81"/>
        <v>4206.4880762804551</v>
      </c>
      <c r="F580">
        <f t="shared" si="84"/>
        <v>0.98654295861066366</v>
      </c>
      <c r="G580">
        <f t="shared" si="85"/>
        <v>1</v>
      </c>
      <c r="H580">
        <f t="shared" si="86"/>
        <v>4178.0887679288271</v>
      </c>
      <c r="K580">
        <v>0.55200000000000005</v>
      </c>
      <c r="L580">
        <f t="shared" si="82"/>
        <v>-5908.2889296309713</v>
      </c>
      <c r="M580">
        <f t="shared" si="83"/>
        <v>5278.1379755100133</v>
      </c>
      <c r="N580">
        <f t="shared" si="87"/>
        <v>0.9838263985683624</v>
      </c>
      <c r="O580">
        <f t="shared" si="88"/>
        <v>1</v>
      </c>
      <c r="P580">
        <f t="shared" si="89"/>
        <v>5235.2807301492612</v>
      </c>
    </row>
    <row r="581" spans="3:16" x14ac:dyDescent="0.25">
      <c r="C581">
        <v>0.55300000000000005</v>
      </c>
      <c r="D581">
        <f t="shared" si="80"/>
        <v>-5551.4370942225678</v>
      </c>
      <c r="E581">
        <f t="shared" si="81"/>
        <v>4203.811237001597</v>
      </c>
      <c r="F581">
        <f t="shared" si="84"/>
        <v>0.98691194271892313</v>
      </c>
      <c r="G581">
        <f t="shared" si="85"/>
        <v>1</v>
      </c>
      <c r="H581">
        <f t="shared" si="86"/>
        <v>4176.2107692992431</v>
      </c>
      <c r="K581">
        <v>0.55300000000000005</v>
      </c>
      <c r="L581">
        <f t="shared" si="82"/>
        <v>-5892.4370942225687</v>
      </c>
      <c r="M581">
        <f t="shared" si="83"/>
        <v>5274.8362824588048</v>
      </c>
      <c r="N581">
        <f t="shared" si="87"/>
        <v>0.98422607906394266</v>
      </c>
      <c r="O581">
        <f t="shared" si="88"/>
        <v>1</v>
      </c>
      <c r="P581">
        <f t="shared" si="89"/>
        <v>5233.0684920615467</v>
      </c>
    </row>
    <row r="582" spans="3:16" x14ac:dyDescent="0.25">
      <c r="C582">
        <v>0.55400000000000005</v>
      </c>
      <c r="D582">
        <f t="shared" si="80"/>
        <v>-5538.5852588141661</v>
      </c>
      <c r="E582">
        <f t="shared" si="81"/>
        <v>4201.1343977227407</v>
      </c>
      <c r="F582">
        <f t="shared" si="84"/>
        <v>0.98727579759970874</v>
      </c>
      <c r="G582">
        <f t="shared" si="85"/>
        <v>1</v>
      </c>
      <c r="H582">
        <f t="shared" si="86"/>
        <v>4174.3207870073338</v>
      </c>
      <c r="K582">
        <v>0.55400000000000005</v>
      </c>
      <c r="L582">
        <f t="shared" si="82"/>
        <v>-5876.5852588141661</v>
      </c>
      <c r="M582">
        <f t="shared" si="83"/>
        <v>5271.5345894075963</v>
      </c>
      <c r="N582">
        <f t="shared" si="87"/>
        <v>0.98462075914829417</v>
      </c>
      <c r="O582">
        <f t="shared" si="88"/>
        <v>1</v>
      </c>
      <c r="P582">
        <f t="shared" si="89"/>
        <v>5230.84142564166</v>
      </c>
    </row>
    <row r="583" spans="3:16" x14ac:dyDescent="0.25">
      <c r="C583">
        <v>0.55500000000000005</v>
      </c>
      <c r="D583">
        <f t="shared" si="80"/>
        <v>-5525.7334234057635</v>
      </c>
      <c r="E583">
        <f t="shared" si="81"/>
        <v>4198.4575584438826</v>
      </c>
      <c r="F583">
        <f t="shared" si="84"/>
        <v>0.98763452325302081</v>
      </c>
      <c r="G583">
        <f t="shared" si="85"/>
        <v>1</v>
      </c>
      <c r="H583">
        <f t="shared" si="86"/>
        <v>4172.4188481299998</v>
      </c>
      <c r="K583">
        <v>0.55500000000000005</v>
      </c>
      <c r="L583">
        <f t="shared" si="82"/>
        <v>-5860.7334234057635</v>
      </c>
      <c r="M583">
        <f t="shared" si="83"/>
        <v>5268.2328963563887</v>
      </c>
      <c r="N583">
        <f t="shared" si="87"/>
        <v>0.98501043882141703</v>
      </c>
      <c r="O583">
        <f t="shared" si="88"/>
        <v>1</v>
      </c>
      <c r="P583">
        <f t="shared" si="89"/>
        <v>5228.5995643621327</v>
      </c>
    </row>
    <row r="584" spans="3:16" x14ac:dyDescent="0.25">
      <c r="C584">
        <v>0.55600000000000005</v>
      </c>
      <c r="D584">
        <f t="shared" si="80"/>
        <v>-5512.8815879973608</v>
      </c>
      <c r="E584">
        <f t="shared" si="81"/>
        <v>4195.7807191650254</v>
      </c>
      <c r="F584">
        <f t="shared" si="84"/>
        <v>0.98798811967885924</v>
      </c>
      <c r="G584">
        <f t="shared" si="85"/>
        <v>1</v>
      </c>
      <c r="H584">
        <f t="shared" si="86"/>
        <v>4170.5049796376707</v>
      </c>
      <c r="K584">
        <v>0.55600000000000005</v>
      </c>
      <c r="L584">
        <f t="shared" si="82"/>
        <v>-5844.8815879973608</v>
      </c>
      <c r="M584">
        <f t="shared" si="83"/>
        <v>5264.9312033051801</v>
      </c>
      <c r="N584">
        <f t="shared" si="87"/>
        <v>0.98539511808331115</v>
      </c>
      <c r="O584">
        <f t="shared" si="88"/>
        <v>1</v>
      </c>
      <c r="P584">
        <f t="shared" si="89"/>
        <v>5226.3429415645151</v>
      </c>
    </row>
    <row r="585" spans="3:16" x14ac:dyDescent="0.25">
      <c r="C585">
        <v>0.55700000000000005</v>
      </c>
      <c r="D585">
        <f t="shared" si="80"/>
        <v>-5500.0297525889582</v>
      </c>
      <c r="E585">
        <f t="shared" si="81"/>
        <v>4193.1038798861682</v>
      </c>
      <c r="F585">
        <f t="shared" si="84"/>
        <v>0.98833658687722392</v>
      </c>
      <c r="G585">
        <f t="shared" si="85"/>
        <v>1</v>
      </c>
      <c r="H585">
        <f t="shared" si="86"/>
        <v>4168.5792083948299</v>
      </c>
      <c r="K585">
        <v>0.55700000000000005</v>
      </c>
      <c r="L585">
        <f t="shared" si="82"/>
        <v>-5829.0297525889582</v>
      </c>
      <c r="M585">
        <f t="shared" si="83"/>
        <v>5261.6295102539725</v>
      </c>
      <c r="N585">
        <f t="shared" si="87"/>
        <v>0.98577479693397674</v>
      </c>
      <c r="O585">
        <f t="shared" si="88"/>
        <v>1</v>
      </c>
      <c r="P585">
        <f t="shared" si="89"/>
        <v>5224.0715904600402</v>
      </c>
    </row>
    <row r="586" spans="3:16" x14ac:dyDescent="0.25">
      <c r="C586">
        <v>0.55800000000000005</v>
      </c>
      <c r="D586">
        <f t="shared" si="80"/>
        <v>-5487.1779171805556</v>
      </c>
      <c r="E586">
        <f t="shared" si="81"/>
        <v>4190.427040607311</v>
      </c>
      <c r="F586">
        <f t="shared" si="84"/>
        <v>0.98867992484811495</v>
      </c>
      <c r="G586">
        <f t="shared" si="85"/>
        <v>1</v>
      </c>
      <c r="H586">
        <f t="shared" si="86"/>
        <v>4166.6415611605416</v>
      </c>
      <c r="K586">
        <v>0.55800000000000005</v>
      </c>
      <c r="L586">
        <f t="shared" si="82"/>
        <v>-5813.1779171805556</v>
      </c>
      <c r="M586">
        <f t="shared" si="83"/>
        <v>5258.327817202764</v>
      </c>
      <c r="N586">
        <f t="shared" si="87"/>
        <v>0.98614947537341358</v>
      </c>
      <c r="O586">
        <f t="shared" si="88"/>
        <v>1</v>
      </c>
      <c r="P586">
        <f t="shared" si="89"/>
        <v>5221.7855441302727</v>
      </c>
    </row>
    <row r="587" spans="3:16" x14ac:dyDescent="0.25">
      <c r="C587">
        <v>0.55900000000000005</v>
      </c>
      <c r="D587">
        <f t="shared" si="80"/>
        <v>-5474.326081772153</v>
      </c>
      <c r="E587">
        <f t="shared" si="81"/>
        <v>4187.7502013284538</v>
      </c>
      <c r="F587">
        <f t="shared" si="84"/>
        <v>0.98901813359153234</v>
      </c>
      <c r="G587">
        <f t="shared" si="85"/>
        <v>1</v>
      </c>
      <c r="H587">
        <f t="shared" si="86"/>
        <v>4164.6920645889686</v>
      </c>
      <c r="K587">
        <v>0.55900000000000005</v>
      </c>
      <c r="L587">
        <f t="shared" si="82"/>
        <v>-5797.326081772153</v>
      </c>
      <c r="M587">
        <f t="shared" si="83"/>
        <v>5255.0261241515564</v>
      </c>
      <c r="N587">
        <f t="shared" si="87"/>
        <v>0.98651915340162177</v>
      </c>
      <c r="O587">
        <f t="shared" si="88"/>
        <v>1</v>
      </c>
      <c r="P587">
        <f t="shared" si="89"/>
        <v>5219.48483552777</v>
      </c>
    </row>
    <row r="588" spans="3:16" x14ac:dyDescent="0.25">
      <c r="C588">
        <v>0.56000000000000005</v>
      </c>
      <c r="D588">
        <f t="shared" si="80"/>
        <v>-5461.4742463637504</v>
      </c>
      <c r="E588">
        <f t="shared" si="81"/>
        <v>4185.0733620495957</v>
      </c>
      <c r="F588">
        <f t="shared" si="84"/>
        <v>0.98935121310747598</v>
      </c>
      <c r="G588">
        <f t="shared" si="85"/>
        <v>1</v>
      </c>
      <c r="H588">
        <f t="shared" si="86"/>
        <v>4162.7307452298901</v>
      </c>
      <c r="K588">
        <v>0.56000000000000005</v>
      </c>
      <c r="L588">
        <f t="shared" si="82"/>
        <v>-5781.4742463637504</v>
      </c>
      <c r="M588">
        <f t="shared" si="83"/>
        <v>5251.7244311003478</v>
      </c>
      <c r="N588">
        <f t="shared" si="87"/>
        <v>0.98688383101860133</v>
      </c>
      <c r="O588">
        <f t="shared" si="88"/>
        <v>1</v>
      </c>
      <c r="P588">
        <f t="shared" si="89"/>
        <v>5217.1694974767179</v>
      </c>
    </row>
    <row r="589" spans="3:16" x14ac:dyDescent="0.25">
      <c r="C589">
        <v>0.56100000000000005</v>
      </c>
      <c r="D589">
        <f t="shared" si="80"/>
        <v>-5448.6224109553486</v>
      </c>
      <c r="E589">
        <f t="shared" si="81"/>
        <v>4182.3965227707395</v>
      </c>
      <c r="F589">
        <f t="shared" si="84"/>
        <v>0.98967916339594597</v>
      </c>
      <c r="G589">
        <f t="shared" si="85"/>
        <v>1</v>
      </c>
      <c r="H589">
        <f t="shared" si="86"/>
        <v>4160.7576295292138</v>
      </c>
      <c r="K589">
        <v>0.56100000000000005</v>
      </c>
      <c r="L589">
        <f t="shared" si="82"/>
        <v>-5765.6224109553477</v>
      </c>
      <c r="M589">
        <f t="shared" si="83"/>
        <v>5248.4227380491402</v>
      </c>
      <c r="N589">
        <f t="shared" si="87"/>
        <v>0.98724350822435225</v>
      </c>
      <c r="O589">
        <f t="shared" si="88"/>
        <v>1</v>
      </c>
      <c r="P589">
        <f t="shared" si="89"/>
        <v>5214.8395626735737</v>
      </c>
    </row>
    <row r="590" spans="3:16" x14ac:dyDescent="0.25">
      <c r="C590">
        <v>0.56200000000000006</v>
      </c>
      <c r="D590">
        <f t="shared" si="80"/>
        <v>-5435.770575546946</v>
      </c>
      <c r="E590">
        <f t="shared" si="81"/>
        <v>4179.7196834918814</v>
      </c>
      <c r="F590">
        <f t="shared" si="84"/>
        <v>0.99000198445694232</v>
      </c>
      <c r="G590">
        <f t="shared" si="85"/>
        <v>1</v>
      </c>
      <c r="H590">
        <f t="shared" si="86"/>
        <v>4158.772743829476</v>
      </c>
      <c r="K590">
        <v>0.56200000000000006</v>
      </c>
      <c r="L590">
        <f t="shared" si="82"/>
        <v>-5749.7705755469451</v>
      </c>
      <c r="M590">
        <f t="shared" si="83"/>
        <v>5245.1210449979317</v>
      </c>
      <c r="N590">
        <f t="shared" si="87"/>
        <v>0.98759818501887442</v>
      </c>
      <c r="O590">
        <f t="shared" si="88"/>
        <v>1</v>
      </c>
      <c r="P590">
        <f t="shared" si="89"/>
        <v>5212.4950636876965</v>
      </c>
    </row>
    <row r="591" spans="3:16" x14ac:dyDescent="0.25">
      <c r="C591">
        <v>0.56299999999999994</v>
      </c>
      <c r="D591">
        <f t="shared" si="80"/>
        <v>-5422.9187401385443</v>
      </c>
      <c r="E591">
        <f t="shared" si="81"/>
        <v>4177.0428442130251</v>
      </c>
      <c r="F591">
        <f t="shared" si="84"/>
        <v>0.99031967629046502</v>
      </c>
      <c r="G591">
        <f t="shared" si="85"/>
        <v>1</v>
      </c>
      <c r="H591">
        <f t="shared" si="86"/>
        <v>4156.776114370351</v>
      </c>
      <c r="K591">
        <v>0.56299999999999994</v>
      </c>
      <c r="L591">
        <f t="shared" si="82"/>
        <v>-5733.9187401385443</v>
      </c>
      <c r="M591">
        <f t="shared" si="83"/>
        <v>5241.8193519467241</v>
      </c>
      <c r="N591">
        <f t="shared" si="87"/>
        <v>0.98794786140216795</v>
      </c>
      <c r="O591">
        <f t="shared" si="88"/>
        <v>1</v>
      </c>
      <c r="P591">
        <f t="shared" si="89"/>
        <v>5210.1360329619793</v>
      </c>
    </row>
    <row r="592" spans="3:16" x14ac:dyDescent="0.25">
      <c r="C592">
        <v>0.56399999999999995</v>
      </c>
      <c r="D592">
        <f t="shared" si="80"/>
        <v>-5410.0669047301426</v>
      </c>
      <c r="E592">
        <f t="shared" si="81"/>
        <v>4174.3660049341679</v>
      </c>
      <c r="F592">
        <f t="shared" si="84"/>
        <v>0.99063223889651397</v>
      </c>
      <c r="G592">
        <f t="shared" si="85"/>
        <v>1</v>
      </c>
      <c r="H592">
        <f t="shared" si="86"/>
        <v>4154.7677672891386</v>
      </c>
      <c r="K592">
        <v>0.56399999999999995</v>
      </c>
      <c r="L592">
        <f t="shared" si="82"/>
        <v>-5718.0669047301417</v>
      </c>
      <c r="M592">
        <f t="shared" si="83"/>
        <v>5238.5176588955164</v>
      </c>
      <c r="N592">
        <f t="shared" si="87"/>
        <v>0.98829253737423284</v>
      </c>
      <c r="O592">
        <f t="shared" si="88"/>
        <v>1</v>
      </c>
      <c r="P592">
        <f t="shared" si="89"/>
        <v>5207.7625028134635</v>
      </c>
    </row>
    <row r="593" spans="3:16" x14ac:dyDescent="0.25">
      <c r="C593">
        <v>0.56499999999999995</v>
      </c>
      <c r="D593">
        <f t="shared" si="80"/>
        <v>-5397.21506932174</v>
      </c>
      <c r="E593">
        <f t="shared" si="81"/>
        <v>4171.6891656553107</v>
      </c>
      <c r="F593">
        <f t="shared" si="84"/>
        <v>0.99093967227508939</v>
      </c>
      <c r="G593">
        <f t="shared" si="85"/>
        <v>1</v>
      </c>
      <c r="H593">
        <f t="shared" si="86"/>
        <v>4152.747728621267</v>
      </c>
      <c r="K593">
        <v>0.56499999999999995</v>
      </c>
      <c r="L593">
        <f t="shared" si="82"/>
        <v>-5702.2150693217391</v>
      </c>
      <c r="M593">
        <f t="shared" si="83"/>
        <v>5235.2159658443079</v>
      </c>
      <c r="N593">
        <f t="shared" si="87"/>
        <v>0.98863221293506909</v>
      </c>
      <c r="O593">
        <f t="shared" si="88"/>
        <v>1</v>
      </c>
      <c r="P593">
        <f t="shared" si="89"/>
        <v>5205.3745054339606</v>
      </c>
    </row>
    <row r="594" spans="3:16" x14ac:dyDescent="0.25">
      <c r="C594">
        <v>0.56599999999999995</v>
      </c>
      <c r="D594">
        <f t="shared" si="80"/>
        <v>-5384.3632339133374</v>
      </c>
      <c r="E594">
        <f t="shared" si="81"/>
        <v>4169.0123263764526</v>
      </c>
      <c r="F594">
        <f t="shared" si="84"/>
        <v>0.99124197642619105</v>
      </c>
      <c r="G594">
        <f t="shared" si="85"/>
        <v>1</v>
      </c>
      <c r="H594">
        <f t="shared" si="86"/>
        <v>4150.7160243007711</v>
      </c>
      <c r="K594">
        <v>0.56599999999999995</v>
      </c>
      <c r="L594">
        <f t="shared" si="82"/>
        <v>-5686.3632339133383</v>
      </c>
      <c r="M594">
        <f t="shared" si="83"/>
        <v>5231.9142727931003</v>
      </c>
      <c r="N594">
        <f t="shared" si="87"/>
        <v>0.9889668880846767</v>
      </c>
      <c r="O594">
        <f t="shared" si="88"/>
        <v>1</v>
      </c>
      <c r="P594">
        <f t="shared" si="89"/>
        <v>5202.9720728906623</v>
      </c>
    </row>
    <row r="595" spans="3:16" x14ac:dyDescent="0.25">
      <c r="C595">
        <v>0.56699999999999995</v>
      </c>
      <c r="D595">
        <f t="shared" si="80"/>
        <v>-5371.5113985049347</v>
      </c>
      <c r="E595">
        <f t="shared" si="81"/>
        <v>4166.3354870975954</v>
      </c>
      <c r="F595">
        <f t="shared" si="84"/>
        <v>0.99153915134981907</v>
      </c>
      <c r="G595">
        <f t="shared" si="85"/>
        <v>1</v>
      </c>
      <c r="H595">
        <f t="shared" si="86"/>
        <v>4148.6726801607811</v>
      </c>
      <c r="K595">
        <v>0.56699999999999995</v>
      </c>
      <c r="L595">
        <f t="shared" si="82"/>
        <v>-5670.5113985049356</v>
      </c>
      <c r="M595">
        <f t="shared" si="83"/>
        <v>5228.6125797418918</v>
      </c>
      <c r="N595">
        <f t="shared" si="87"/>
        <v>0.98929656282305556</v>
      </c>
      <c r="O595">
        <f t="shared" si="88"/>
        <v>1</v>
      </c>
      <c r="P595">
        <f t="shared" si="89"/>
        <v>5200.5552371267404</v>
      </c>
    </row>
    <row r="596" spans="3:16" x14ac:dyDescent="0.25">
      <c r="C596">
        <v>0.56799999999999995</v>
      </c>
      <c r="D596">
        <f t="shared" si="80"/>
        <v>-5358.6595630965321</v>
      </c>
      <c r="E596">
        <f t="shared" si="81"/>
        <v>4163.6586478187382</v>
      </c>
      <c r="F596">
        <f t="shared" si="84"/>
        <v>0.99183119704597333</v>
      </c>
      <c r="G596">
        <f t="shared" si="85"/>
        <v>1</v>
      </c>
      <c r="H596">
        <f t="shared" si="86"/>
        <v>4146.6177219339997</v>
      </c>
      <c r="K596">
        <v>0.56799999999999995</v>
      </c>
      <c r="L596">
        <f t="shared" si="82"/>
        <v>-5654.659563096533</v>
      </c>
      <c r="M596">
        <f t="shared" si="83"/>
        <v>5225.3108866906841</v>
      </c>
      <c r="N596">
        <f t="shared" si="87"/>
        <v>0.98962123715020589</v>
      </c>
      <c r="O596">
        <f t="shared" si="88"/>
        <v>1</v>
      </c>
      <c r="P596">
        <f t="shared" si="89"/>
        <v>5198.1240299619531</v>
      </c>
    </row>
    <row r="597" spans="3:16" x14ac:dyDescent="0.25">
      <c r="C597">
        <v>0.56899999999999995</v>
      </c>
      <c r="D597">
        <f t="shared" si="80"/>
        <v>-5345.8077276881295</v>
      </c>
      <c r="E597">
        <f t="shared" si="81"/>
        <v>4160.9818085398811</v>
      </c>
      <c r="F597">
        <f t="shared" si="84"/>
        <v>0.99211811351465395</v>
      </c>
      <c r="G597">
        <f t="shared" si="85"/>
        <v>1</v>
      </c>
      <c r="H597">
        <f t="shared" si="86"/>
        <v>4144.5511752531766</v>
      </c>
      <c r="K597">
        <v>0.56899999999999995</v>
      </c>
      <c r="L597">
        <f t="shared" si="82"/>
        <v>-5638.8077276881304</v>
      </c>
      <c r="M597">
        <f t="shared" si="83"/>
        <v>5222.0091936394756</v>
      </c>
      <c r="N597">
        <f t="shared" si="87"/>
        <v>0.98994091106612747</v>
      </c>
      <c r="O597">
        <f t="shared" si="88"/>
        <v>1</v>
      </c>
      <c r="P597">
        <f t="shared" si="89"/>
        <v>5195.6784830932329</v>
      </c>
    </row>
    <row r="598" spans="3:16" x14ac:dyDescent="0.25">
      <c r="C598">
        <v>0.56999999999999995</v>
      </c>
      <c r="D598">
        <f t="shared" si="80"/>
        <v>-5332.9558922797278</v>
      </c>
      <c r="E598">
        <f t="shared" si="81"/>
        <v>4158.3049692610239</v>
      </c>
      <c r="F598">
        <f t="shared" si="84"/>
        <v>0.99239990075586093</v>
      </c>
      <c r="G598">
        <f t="shared" si="85"/>
        <v>1</v>
      </c>
      <c r="H598">
        <f t="shared" si="86"/>
        <v>4142.4730656515776</v>
      </c>
      <c r="K598">
        <v>0.56999999999999995</v>
      </c>
      <c r="L598">
        <f t="shared" si="82"/>
        <v>-5622.9558922797278</v>
      </c>
      <c r="M598">
        <f t="shared" si="83"/>
        <v>5218.707500588268</v>
      </c>
      <c r="N598">
        <f t="shared" si="87"/>
        <v>0.99025558457082041</v>
      </c>
      <c r="O598">
        <f t="shared" si="88"/>
        <v>1</v>
      </c>
      <c r="P598">
        <f t="shared" si="89"/>
        <v>5193.2186280952819</v>
      </c>
    </row>
    <row r="599" spans="3:16" x14ac:dyDescent="0.25">
      <c r="C599">
        <v>0.57099999999999995</v>
      </c>
      <c r="D599">
        <f t="shared" si="80"/>
        <v>-5320.1040568713252</v>
      </c>
      <c r="E599">
        <f t="shared" si="81"/>
        <v>4155.6281299821667</v>
      </c>
      <c r="F599">
        <f t="shared" si="84"/>
        <v>0.99267655876959426</v>
      </c>
      <c r="G599">
        <f t="shared" si="85"/>
        <v>1</v>
      </c>
      <c r="H599">
        <f t="shared" si="86"/>
        <v>4140.3834185634514</v>
      </c>
      <c r="K599">
        <v>0.57099999999999995</v>
      </c>
      <c r="L599">
        <f t="shared" si="82"/>
        <v>-5607.1040568713252</v>
      </c>
      <c r="M599">
        <f t="shared" si="83"/>
        <v>5215.4058075370594</v>
      </c>
      <c r="N599">
        <f t="shared" si="87"/>
        <v>0.99056525766428472</v>
      </c>
      <c r="O599">
        <f t="shared" si="88"/>
        <v>1</v>
      </c>
      <c r="P599">
        <f t="shared" si="89"/>
        <v>5190.7444964211472</v>
      </c>
    </row>
    <row r="600" spans="3:16" x14ac:dyDescent="0.25">
      <c r="C600">
        <v>0.57199999999999995</v>
      </c>
      <c r="D600">
        <f t="shared" si="80"/>
        <v>-5307.2522214629225</v>
      </c>
      <c r="E600">
        <f t="shared" si="81"/>
        <v>4152.9512907033095</v>
      </c>
      <c r="F600">
        <f t="shared" si="84"/>
        <v>0.99294808755585395</v>
      </c>
      <c r="G600">
        <f t="shared" si="85"/>
        <v>1</v>
      </c>
      <c r="H600">
        <f t="shared" si="86"/>
        <v>4138.282259324491</v>
      </c>
      <c r="K600">
        <v>0.57199999999999995</v>
      </c>
      <c r="L600">
        <f t="shared" si="82"/>
        <v>-5591.2522214629225</v>
      </c>
      <c r="M600">
        <f t="shared" si="83"/>
        <v>5212.1041144858518</v>
      </c>
      <c r="N600">
        <f t="shared" si="87"/>
        <v>0.99086993034652027</v>
      </c>
      <c r="O600">
        <f t="shared" si="88"/>
        <v>1</v>
      </c>
      <c r="P600">
        <f t="shared" si="89"/>
        <v>5188.2561194028076</v>
      </c>
    </row>
    <row r="601" spans="3:16" x14ac:dyDescent="0.25">
      <c r="C601">
        <v>0.57299999999999995</v>
      </c>
      <c r="D601">
        <f t="shared" si="80"/>
        <v>-5294.4003860545199</v>
      </c>
      <c r="E601">
        <f t="shared" si="81"/>
        <v>4150.2744514244523</v>
      </c>
      <c r="F601">
        <f t="shared" si="84"/>
        <v>0.99321448711463989</v>
      </c>
      <c r="G601">
        <f t="shared" si="85"/>
        <v>1</v>
      </c>
      <c r="H601">
        <f t="shared" si="86"/>
        <v>4136.1696131722883</v>
      </c>
      <c r="K601">
        <v>0.57299999999999995</v>
      </c>
      <c r="L601">
        <f t="shared" si="82"/>
        <v>-5575.4003860545199</v>
      </c>
      <c r="M601">
        <f t="shared" si="83"/>
        <v>5208.8024214346433</v>
      </c>
      <c r="N601">
        <f t="shared" si="87"/>
        <v>0.99116960261752718</v>
      </c>
      <c r="O601">
        <f t="shared" si="88"/>
        <v>1</v>
      </c>
      <c r="P601">
        <f t="shared" si="89"/>
        <v>5185.7535282517383</v>
      </c>
    </row>
    <row r="602" spans="3:16" x14ac:dyDescent="0.25">
      <c r="C602">
        <v>0.57399999999999995</v>
      </c>
      <c r="D602">
        <f t="shared" si="80"/>
        <v>-5281.5485506461173</v>
      </c>
      <c r="E602">
        <f t="shared" si="81"/>
        <v>4147.5976121455951</v>
      </c>
      <c r="F602">
        <f t="shared" si="84"/>
        <v>0.99347575744595218</v>
      </c>
      <c r="G602">
        <f t="shared" si="85"/>
        <v>1</v>
      </c>
      <c r="H602">
        <f t="shared" si="86"/>
        <v>4134.0455052467905</v>
      </c>
      <c r="K602">
        <v>0.57399999999999995</v>
      </c>
      <c r="L602">
        <f t="shared" si="82"/>
        <v>-5559.5485506461173</v>
      </c>
      <c r="M602">
        <f t="shared" si="83"/>
        <v>5205.5007283834348</v>
      </c>
      <c r="N602">
        <f t="shared" si="87"/>
        <v>0.99146427447730556</v>
      </c>
      <c r="O602">
        <f t="shared" si="88"/>
        <v>1</v>
      </c>
      <c r="P602">
        <f t="shared" si="89"/>
        <v>5183.2367540594842</v>
      </c>
    </row>
    <row r="603" spans="3:16" x14ac:dyDescent="0.25">
      <c r="C603">
        <v>0.57499999999999996</v>
      </c>
      <c r="D603">
        <f t="shared" si="80"/>
        <v>-5268.6967152377147</v>
      </c>
      <c r="E603">
        <f t="shared" si="81"/>
        <v>4144.920772866737</v>
      </c>
      <c r="F603">
        <f t="shared" si="84"/>
        <v>0.99373189854979083</v>
      </c>
      <c r="G603">
        <f t="shared" si="85"/>
        <v>1</v>
      </c>
      <c r="H603">
        <f t="shared" si="86"/>
        <v>4131.909960590745</v>
      </c>
      <c r="K603">
        <v>0.57499999999999996</v>
      </c>
      <c r="L603">
        <f t="shared" si="82"/>
        <v>-5543.6967152377147</v>
      </c>
      <c r="M603">
        <f t="shared" si="83"/>
        <v>5202.1990353322271</v>
      </c>
      <c r="N603">
        <f t="shared" si="87"/>
        <v>0.9917539459258552</v>
      </c>
      <c r="O603">
        <f t="shared" si="88"/>
        <v>1</v>
      </c>
      <c r="P603">
        <f t="shared" si="89"/>
        <v>5180.7058277982223</v>
      </c>
    </row>
    <row r="604" spans="3:16" x14ac:dyDescent="0.25">
      <c r="C604">
        <v>0.57599999999999996</v>
      </c>
      <c r="D604">
        <f t="shared" ref="D604:D667" si="90">-$J$23+($J$15+$J$23)*C604</f>
        <v>-5255.844879829313</v>
      </c>
      <c r="E604">
        <f t="shared" ref="E604:E667" si="91">$J$12-$J$11*D604</f>
        <v>4142.2439335878807</v>
      </c>
      <c r="F604">
        <f t="shared" si="84"/>
        <v>0.99398291042615572</v>
      </c>
      <c r="G604">
        <f t="shared" si="85"/>
        <v>1</v>
      </c>
      <c r="H604">
        <f t="shared" si="86"/>
        <v>4129.7630041501488</v>
      </c>
      <c r="K604">
        <v>0.57599999999999996</v>
      </c>
      <c r="L604">
        <f t="shared" ref="L604:L667" si="92">-$M$23+($M$15+$M$23)*K604</f>
        <v>-5527.844879829312</v>
      </c>
      <c r="M604">
        <f t="shared" ref="M604:M667" si="93">$J$12-$J$11*L604+$E$18</f>
        <v>5198.8973422810195</v>
      </c>
      <c r="N604">
        <f t="shared" si="87"/>
        <v>0.99203861696317608</v>
      </c>
      <c r="O604">
        <f t="shared" si="88"/>
        <v>1</v>
      </c>
      <c r="P604">
        <f t="shared" si="89"/>
        <v>5178.1607803213128</v>
      </c>
    </row>
    <row r="605" spans="3:16" x14ac:dyDescent="0.25">
      <c r="C605">
        <v>0.57699999999999996</v>
      </c>
      <c r="D605">
        <f t="shared" si="90"/>
        <v>-5242.9930444209103</v>
      </c>
      <c r="E605">
        <f t="shared" si="91"/>
        <v>4139.5670943090227</v>
      </c>
      <c r="F605">
        <f t="shared" ref="F605:F668" si="94">IF(D605&lt;$J$20,MAX(1-(D605-$J$20)^2/$J$22^2,0),1)</f>
        <v>0.99422879307504708</v>
      </c>
      <c r="G605">
        <f t="shared" ref="G605:G668" si="95">IF(D605&gt;$J$17,MAX(1-(D605-$J$17)^2/($J$15-$J$17)^2,0),1)</f>
        <v>1</v>
      </c>
      <c r="H605">
        <f t="shared" ref="H605:H668" si="96">SQRT(E605^2*F605*G605)</f>
        <v>4127.6046607746794</v>
      </c>
      <c r="K605">
        <v>0.57699999999999996</v>
      </c>
      <c r="L605">
        <f t="shared" si="92"/>
        <v>-5511.9930444209094</v>
      </c>
      <c r="M605">
        <f t="shared" si="93"/>
        <v>5195.595649229811</v>
      </c>
      <c r="N605">
        <f t="shared" ref="N605:N668" si="97">IF(L605&lt;$J$20,MAX(1-(L605-$J$20)^2/$M$22^2,0),1)</f>
        <v>0.99231828758926843</v>
      </c>
      <c r="O605">
        <f t="shared" ref="O605:O668" si="98">IF(L605&gt;$J$17,MAX(1-(L605-$J$17)^2/($M$15-$J$17)^2,0),1)</f>
        <v>1</v>
      </c>
      <c r="P605">
        <f t="shared" ref="P605:P668" si="99">SQRT(M605^2*N605*O605)</f>
        <v>5175.6016423638584</v>
      </c>
    </row>
    <row r="606" spans="3:16" x14ac:dyDescent="0.25">
      <c r="C606">
        <v>0.57799999999999996</v>
      </c>
      <c r="D606">
        <f t="shared" si="90"/>
        <v>-5230.1412090125077</v>
      </c>
      <c r="E606">
        <f t="shared" si="91"/>
        <v>4136.8902550301655</v>
      </c>
      <c r="F606">
        <f t="shared" si="94"/>
        <v>0.99446954649646468</v>
      </c>
      <c r="G606">
        <f t="shared" si="95"/>
        <v>1</v>
      </c>
      <c r="H606">
        <f t="shared" si="96"/>
        <v>4125.4349552181429</v>
      </c>
      <c r="K606">
        <v>0.57799999999999996</v>
      </c>
      <c r="L606">
        <f t="shared" si="92"/>
        <v>-5496.1412090125068</v>
      </c>
      <c r="M606">
        <f t="shared" si="93"/>
        <v>5192.2939561786025</v>
      </c>
      <c r="N606">
        <f t="shared" si="97"/>
        <v>0.99259295780413204</v>
      </c>
      <c r="O606">
        <f t="shared" si="98"/>
        <v>1</v>
      </c>
      <c r="P606">
        <f t="shared" si="99"/>
        <v>5173.028444543249</v>
      </c>
    </row>
    <row r="607" spans="3:16" x14ac:dyDescent="0.25">
      <c r="C607">
        <v>0.57899999999999996</v>
      </c>
      <c r="D607">
        <f t="shared" si="90"/>
        <v>-5217.2893736041051</v>
      </c>
      <c r="E607">
        <f t="shared" si="91"/>
        <v>4134.2134157513083</v>
      </c>
      <c r="F607">
        <f t="shared" si="94"/>
        <v>0.99470517069040854</v>
      </c>
      <c r="G607">
        <f t="shared" si="95"/>
        <v>1</v>
      </c>
      <c r="H607">
        <f t="shared" si="96"/>
        <v>4123.2539121388963</v>
      </c>
      <c r="K607">
        <v>0.57899999999999996</v>
      </c>
      <c r="L607">
        <f t="shared" si="92"/>
        <v>-5480.289373604106</v>
      </c>
      <c r="M607">
        <f t="shared" si="93"/>
        <v>5188.9922631273948</v>
      </c>
      <c r="N607">
        <f t="shared" si="97"/>
        <v>0.992862627607767</v>
      </c>
      <c r="O607">
        <f t="shared" si="98"/>
        <v>1</v>
      </c>
      <c r="P607">
        <f t="shared" si="99"/>
        <v>5170.4412173597038</v>
      </c>
    </row>
    <row r="608" spans="3:16" x14ac:dyDescent="0.25">
      <c r="C608">
        <v>0.57999999999999996</v>
      </c>
      <c r="D608">
        <f t="shared" si="90"/>
        <v>-5204.4375381957025</v>
      </c>
      <c r="E608">
        <f t="shared" si="91"/>
        <v>4131.5365764724511</v>
      </c>
      <c r="F608">
        <f t="shared" si="94"/>
        <v>0.99493566565687885</v>
      </c>
      <c r="G608">
        <f t="shared" si="95"/>
        <v>1</v>
      </c>
      <c r="H608">
        <f t="shared" si="96"/>
        <v>4121.0615561002805</v>
      </c>
      <c r="K608">
        <v>0.57999999999999996</v>
      </c>
      <c r="L608">
        <f t="shared" si="92"/>
        <v>-5464.4375381957034</v>
      </c>
      <c r="M608">
        <f t="shared" si="93"/>
        <v>5185.6905700761872</v>
      </c>
      <c r="N608">
        <f t="shared" si="97"/>
        <v>0.99312729700017333</v>
      </c>
      <c r="O608">
        <f t="shared" si="98"/>
        <v>1</v>
      </c>
      <c r="P608">
        <f t="shared" si="99"/>
        <v>5167.8399911968063</v>
      </c>
    </row>
    <row r="609" spans="3:16" x14ac:dyDescent="0.25">
      <c r="C609">
        <v>0.58099999999999996</v>
      </c>
      <c r="D609">
        <f t="shared" si="90"/>
        <v>-5191.5857027872999</v>
      </c>
      <c r="E609">
        <f t="shared" si="91"/>
        <v>4128.8597371935939</v>
      </c>
      <c r="F609">
        <f t="shared" si="94"/>
        <v>0.99516103139587542</v>
      </c>
      <c r="G609">
        <f t="shared" si="95"/>
        <v>1</v>
      </c>
      <c r="H609">
        <f t="shared" si="96"/>
        <v>4118.857911571039</v>
      </c>
      <c r="K609">
        <v>0.58099999999999996</v>
      </c>
      <c r="L609">
        <f t="shared" si="92"/>
        <v>-5448.5857027873008</v>
      </c>
      <c r="M609">
        <f t="shared" si="93"/>
        <v>5182.3888770249787</v>
      </c>
      <c r="N609">
        <f t="shared" si="97"/>
        <v>0.99338696598135101</v>
      </c>
      <c r="O609">
        <f t="shared" si="98"/>
        <v>1</v>
      </c>
      <c r="P609">
        <f t="shared" si="99"/>
        <v>5165.2247963220398</v>
      </c>
    </row>
    <row r="610" spans="3:16" x14ac:dyDescent="0.25">
      <c r="C610">
        <v>0.58199999999999996</v>
      </c>
      <c r="D610">
        <f t="shared" si="90"/>
        <v>-5178.7338673788972</v>
      </c>
      <c r="E610">
        <f t="shared" si="91"/>
        <v>4126.1828979147367</v>
      </c>
      <c r="F610">
        <f t="shared" si="94"/>
        <v>0.99538126790739834</v>
      </c>
      <c r="G610">
        <f t="shared" si="95"/>
        <v>1</v>
      </c>
      <c r="H610">
        <f t="shared" si="96"/>
        <v>4116.6430029257453</v>
      </c>
      <c r="K610">
        <v>0.58199999999999996</v>
      </c>
      <c r="L610">
        <f t="shared" si="92"/>
        <v>-5432.7338673788981</v>
      </c>
      <c r="M610">
        <f t="shared" si="93"/>
        <v>5179.0871839737711</v>
      </c>
      <c r="N610">
        <f t="shared" si="97"/>
        <v>0.99364163455130006</v>
      </c>
      <c r="O610">
        <f t="shared" si="98"/>
        <v>1</v>
      </c>
      <c r="P610">
        <f t="shared" si="99"/>
        <v>5162.5956628873164</v>
      </c>
    </row>
    <row r="611" spans="3:16" x14ac:dyDescent="0.25">
      <c r="C611">
        <v>0.58299999999999996</v>
      </c>
      <c r="D611">
        <f t="shared" si="90"/>
        <v>-5165.8820319704955</v>
      </c>
      <c r="E611">
        <f t="shared" si="91"/>
        <v>4123.5060586358795</v>
      </c>
      <c r="F611">
        <f t="shared" si="94"/>
        <v>0.99559637519144761</v>
      </c>
      <c r="G611">
        <f t="shared" si="95"/>
        <v>1</v>
      </c>
      <c r="H611">
        <f t="shared" si="96"/>
        <v>4114.4168544452132</v>
      </c>
      <c r="K611">
        <v>0.58299999999999996</v>
      </c>
      <c r="L611">
        <f t="shared" si="92"/>
        <v>-5416.8820319704955</v>
      </c>
      <c r="M611">
        <f t="shared" si="93"/>
        <v>5175.7854909225625</v>
      </c>
      <c r="N611">
        <f t="shared" si="97"/>
        <v>0.99389130271002035</v>
      </c>
      <c r="O611">
        <f t="shared" si="98"/>
        <v>1</v>
      </c>
      <c r="P611">
        <f t="shared" si="99"/>
        <v>5159.95262092949</v>
      </c>
    </row>
    <row r="612" spans="3:16" x14ac:dyDescent="0.25">
      <c r="C612">
        <v>0.58399999999999996</v>
      </c>
      <c r="D612">
        <f t="shared" si="90"/>
        <v>-5153.0301965620929</v>
      </c>
      <c r="E612">
        <f t="shared" si="91"/>
        <v>4120.8292193570214</v>
      </c>
      <c r="F612">
        <f t="shared" si="94"/>
        <v>0.99580635324802325</v>
      </c>
      <c r="G612">
        <f t="shared" si="95"/>
        <v>1</v>
      </c>
      <c r="H612">
        <f t="shared" si="96"/>
        <v>4112.1794903169084</v>
      </c>
      <c r="K612">
        <v>0.58399999999999996</v>
      </c>
      <c r="L612">
        <f t="shared" si="92"/>
        <v>-5401.0301965620929</v>
      </c>
      <c r="M612">
        <f t="shared" si="93"/>
        <v>5172.4837978713549</v>
      </c>
      <c r="N612">
        <f t="shared" si="97"/>
        <v>0.99413597045751201</v>
      </c>
      <c r="O612">
        <f t="shared" si="98"/>
        <v>1</v>
      </c>
      <c r="P612">
        <f t="shared" si="99"/>
        <v>5157.295700370888</v>
      </c>
    </row>
    <row r="613" spans="3:16" x14ac:dyDescent="0.25">
      <c r="C613">
        <v>0.58499999999999996</v>
      </c>
      <c r="D613">
        <f t="shared" si="90"/>
        <v>-5140.1783611536903</v>
      </c>
      <c r="E613">
        <f t="shared" si="91"/>
        <v>4118.1523800781652</v>
      </c>
      <c r="F613">
        <f t="shared" si="94"/>
        <v>0.99601120207712512</v>
      </c>
      <c r="G613">
        <f t="shared" si="95"/>
        <v>1</v>
      </c>
      <c r="H613">
        <f t="shared" si="96"/>
        <v>4109.9309346353621</v>
      </c>
      <c r="K613">
        <v>0.58499999999999996</v>
      </c>
      <c r="L613">
        <f t="shared" si="92"/>
        <v>-5385.1783611536903</v>
      </c>
      <c r="M613">
        <f t="shared" si="93"/>
        <v>5169.1821048201464</v>
      </c>
      <c r="N613">
        <f t="shared" si="97"/>
        <v>0.99437563779377502</v>
      </c>
      <c r="O613">
        <f t="shared" si="98"/>
        <v>1</v>
      </c>
      <c r="P613">
        <f t="shared" si="99"/>
        <v>5154.6249310198109</v>
      </c>
    </row>
    <row r="614" spans="3:16" x14ac:dyDescent="0.25">
      <c r="C614">
        <v>0.58599999999999997</v>
      </c>
      <c r="D614">
        <f t="shared" si="90"/>
        <v>-5127.3265257452877</v>
      </c>
      <c r="E614">
        <f t="shared" si="91"/>
        <v>4115.4755407993071</v>
      </c>
      <c r="F614">
        <f t="shared" si="94"/>
        <v>0.99621092167875336</v>
      </c>
      <c r="G614">
        <f t="shared" si="95"/>
        <v>1</v>
      </c>
      <c r="H614">
        <f t="shared" si="96"/>
        <v>4107.6712114025659</v>
      </c>
      <c r="K614">
        <v>0.58599999999999997</v>
      </c>
      <c r="L614">
        <f t="shared" si="92"/>
        <v>-5369.3265257452877</v>
      </c>
      <c r="M614">
        <f t="shared" si="93"/>
        <v>5165.8804117689378</v>
      </c>
      <c r="N614">
        <f t="shared" si="97"/>
        <v>0.9946103047188094</v>
      </c>
      <c r="O614">
        <f t="shared" si="98"/>
        <v>1</v>
      </c>
      <c r="P614">
        <f t="shared" si="99"/>
        <v>5151.9403425710507</v>
      </c>
    </row>
    <row r="615" spans="3:16" x14ac:dyDescent="0.25">
      <c r="C615">
        <v>0.58699999999999997</v>
      </c>
      <c r="D615">
        <f t="shared" si="90"/>
        <v>-5114.474690336885</v>
      </c>
      <c r="E615">
        <f t="shared" si="91"/>
        <v>4112.7987015204499</v>
      </c>
      <c r="F615">
        <f t="shared" si="94"/>
        <v>0.99640551205290795</v>
      </c>
      <c r="G615">
        <f t="shared" si="95"/>
        <v>1</v>
      </c>
      <c r="H615">
        <f t="shared" si="96"/>
        <v>4105.4003445283815</v>
      </c>
      <c r="K615">
        <v>0.58699999999999997</v>
      </c>
      <c r="L615">
        <f t="shared" si="92"/>
        <v>-5353.474690336885</v>
      </c>
      <c r="M615">
        <f t="shared" si="93"/>
        <v>5162.5787187177302</v>
      </c>
      <c r="N615">
        <f t="shared" si="97"/>
        <v>0.99483997123261514</v>
      </c>
      <c r="O615">
        <f t="shared" si="98"/>
        <v>1</v>
      </c>
      <c r="P615">
        <f t="shared" si="99"/>
        <v>5149.241964606389</v>
      </c>
    </row>
    <row r="616" spans="3:16" x14ac:dyDescent="0.25">
      <c r="C616">
        <v>0.58799999999999997</v>
      </c>
      <c r="D616">
        <f t="shared" si="90"/>
        <v>-5101.6228549284824</v>
      </c>
      <c r="E616">
        <f t="shared" si="91"/>
        <v>4110.1218622415927</v>
      </c>
      <c r="F616">
        <f t="shared" si="94"/>
        <v>0.99659497319958879</v>
      </c>
      <c r="G616">
        <f t="shared" si="95"/>
        <v>1</v>
      </c>
      <c r="H616">
        <f t="shared" si="96"/>
        <v>4103.118357830931</v>
      </c>
      <c r="K616">
        <v>0.58799999999999997</v>
      </c>
      <c r="L616">
        <f t="shared" si="92"/>
        <v>-5337.6228549284824</v>
      </c>
      <c r="M616">
        <f t="shared" si="93"/>
        <v>5159.2770256665226</v>
      </c>
      <c r="N616">
        <f t="shared" si="97"/>
        <v>0.99506463733519213</v>
      </c>
      <c r="O616">
        <f t="shared" si="98"/>
        <v>1</v>
      </c>
      <c r="P616">
        <f t="shared" si="99"/>
        <v>5146.5298265950933</v>
      </c>
    </row>
    <row r="617" spans="3:16" x14ac:dyDescent="0.25">
      <c r="C617">
        <v>0.58899999999999997</v>
      </c>
      <c r="D617">
        <f t="shared" si="90"/>
        <v>-5088.7710195200807</v>
      </c>
      <c r="E617">
        <f t="shared" si="91"/>
        <v>4107.4450229627355</v>
      </c>
      <c r="F617">
        <f t="shared" si="94"/>
        <v>0.99677930511879609</v>
      </c>
      <c r="G617">
        <f t="shared" si="95"/>
        <v>1</v>
      </c>
      <c r="H617">
        <f t="shared" si="96"/>
        <v>4100.8252750369911</v>
      </c>
      <c r="K617">
        <v>0.58899999999999997</v>
      </c>
      <c r="L617">
        <f t="shared" si="92"/>
        <v>-5321.7710195200798</v>
      </c>
      <c r="M617">
        <f t="shared" si="93"/>
        <v>5155.9753326153141</v>
      </c>
      <c r="N617">
        <f t="shared" si="97"/>
        <v>0.99528430302654047</v>
      </c>
      <c r="O617">
        <f t="shared" si="98"/>
        <v>1</v>
      </c>
      <c r="P617">
        <f t="shared" si="99"/>
        <v>5143.8039578944172</v>
      </c>
    </row>
    <row r="618" spans="3:16" x14ac:dyDescent="0.25">
      <c r="C618">
        <v>0.59</v>
      </c>
      <c r="D618">
        <f t="shared" si="90"/>
        <v>-5075.9191841116781</v>
      </c>
      <c r="E618">
        <f t="shared" si="91"/>
        <v>4104.7681836838783</v>
      </c>
      <c r="F618">
        <f t="shared" si="94"/>
        <v>0.99695850781052964</v>
      </c>
      <c r="G618">
        <f t="shared" si="95"/>
        <v>1</v>
      </c>
      <c r="H618">
        <f t="shared" si="96"/>
        <v>4098.5211197823819</v>
      </c>
      <c r="K618">
        <v>0.59</v>
      </c>
      <c r="L618">
        <f t="shared" si="92"/>
        <v>-5305.9191841116772</v>
      </c>
      <c r="M618">
        <f t="shared" si="93"/>
        <v>5152.6736395641055</v>
      </c>
      <c r="N618">
        <f t="shared" si="97"/>
        <v>0.99549896830666018</v>
      </c>
      <c r="O618">
        <f t="shared" si="98"/>
        <v>1</v>
      </c>
      <c r="P618">
        <f t="shared" si="99"/>
        <v>5141.0643877500879</v>
      </c>
    </row>
    <row r="619" spans="3:16" x14ac:dyDescent="0.25">
      <c r="C619">
        <v>0.59099999999999997</v>
      </c>
      <c r="D619">
        <f t="shared" si="90"/>
        <v>-5063.0673487032755</v>
      </c>
      <c r="E619">
        <f t="shared" si="91"/>
        <v>4102.0913444050211</v>
      </c>
      <c r="F619">
        <f t="shared" si="94"/>
        <v>0.99713258127478954</v>
      </c>
      <c r="G619">
        <f t="shared" si="95"/>
        <v>1</v>
      </c>
      <c r="H619">
        <f t="shared" si="96"/>
        <v>4096.2059156123523</v>
      </c>
      <c r="K619">
        <v>0.59099999999999997</v>
      </c>
      <c r="L619">
        <f t="shared" si="92"/>
        <v>-5290.0673487032745</v>
      </c>
      <c r="M619">
        <f t="shared" si="93"/>
        <v>5149.3719465128979</v>
      </c>
      <c r="N619">
        <f t="shared" si="97"/>
        <v>0.99570863317555125</v>
      </c>
      <c r="O619">
        <f t="shared" si="98"/>
        <v>1</v>
      </c>
      <c r="P619">
        <f t="shared" si="99"/>
        <v>5138.3111452967905</v>
      </c>
    </row>
    <row r="620" spans="3:16" x14ac:dyDescent="0.25">
      <c r="C620">
        <v>0.59199999999999997</v>
      </c>
      <c r="D620">
        <f t="shared" si="90"/>
        <v>-5050.2155132948728</v>
      </c>
      <c r="E620">
        <f t="shared" si="91"/>
        <v>4099.4145051261639</v>
      </c>
      <c r="F620">
        <f t="shared" si="94"/>
        <v>0.99730152551157569</v>
      </c>
      <c r="G620">
        <f t="shared" si="95"/>
        <v>1</v>
      </c>
      <c r="H620">
        <f t="shared" si="96"/>
        <v>4093.8796859819622</v>
      </c>
      <c r="K620">
        <v>0.59199999999999997</v>
      </c>
      <c r="L620">
        <f t="shared" si="92"/>
        <v>-5274.2155132948737</v>
      </c>
      <c r="M620">
        <f t="shared" si="93"/>
        <v>5146.0702534616903</v>
      </c>
      <c r="N620">
        <f t="shared" si="97"/>
        <v>0.99591329763321368</v>
      </c>
      <c r="O620">
        <f t="shared" si="98"/>
        <v>1</v>
      </c>
      <c r="P620">
        <f t="shared" si="99"/>
        <v>5135.5442595586437</v>
      </c>
    </row>
    <row r="621" spans="3:16" x14ac:dyDescent="0.25">
      <c r="C621">
        <v>0.59299999999999997</v>
      </c>
      <c r="D621">
        <f t="shared" si="90"/>
        <v>-5037.3636778864702</v>
      </c>
      <c r="E621">
        <f t="shared" si="91"/>
        <v>4096.7376658473058</v>
      </c>
      <c r="F621">
        <f t="shared" si="94"/>
        <v>0.99746534052088831</v>
      </c>
      <c r="G621">
        <f t="shared" si="95"/>
        <v>1</v>
      </c>
      <c r="H621">
        <f t="shared" si="96"/>
        <v>4091.5424542564556</v>
      </c>
      <c r="K621">
        <v>0.59299999999999997</v>
      </c>
      <c r="L621">
        <f t="shared" si="92"/>
        <v>-5258.3636778864711</v>
      </c>
      <c r="M621">
        <f t="shared" si="93"/>
        <v>5142.7685604104818</v>
      </c>
      <c r="N621">
        <f t="shared" si="97"/>
        <v>0.99611296167964736</v>
      </c>
      <c r="O621">
        <f t="shared" si="98"/>
        <v>1</v>
      </c>
      <c r="P621">
        <f t="shared" si="99"/>
        <v>5132.7637594496837</v>
      </c>
    </row>
    <row r="622" spans="3:16" x14ac:dyDescent="0.25">
      <c r="C622">
        <v>0.59399999999999997</v>
      </c>
      <c r="D622">
        <f t="shared" si="90"/>
        <v>-5024.5118424780676</v>
      </c>
      <c r="E622">
        <f t="shared" si="91"/>
        <v>4094.0608265684491</v>
      </c>
      <c r="F622">
        <f t="shared" si="94"/>
        <v>0.99762402630272717</v>
      </c>
      <c r="G622">
        <f t="shared" si="95"/>
        <v>1</v>
      </c>
      <c r="H622">
        <f t="shared" si="96"/>
        <v>4089.1942437116418</v>
      </c>
      <c r="K622">
        <v>0.59399999999999997</v>
      </c>
      <c r="L622">
        <f t="shared" si="92"/>
        <v>-5242.5118424780685</v>
      </c>
      <c r="M622">
        <f t="shared" si="93"/>
        <v>5139.4668673592741</v>
      </c>
      <c r="N622">
        <f t="shared" si="97"/>
        <v>0.9963076253148524</v>
      </c>
      <c r="O622">
        <f t="shared" si="98"/>
        <v>1</v>
      </c>
      <c r="P622">
        <f t="shared" si="99"/>
        <v>5129.9696737743325</v>
      </c>
    </row>
    <row r="623" spans="3:16" x14ac:dyDescent="0.25">
      <c r="C623">
        <v>0.59499999999999997</v>
      </c>
      <c r="D623">
        <f t="shared" si="90"/>
        <v>-5011.6600070696659</v>
      </c>
      <c r="E623">
        <f t="shared" si="91"/>
        <v>4091.3839872895919</v>
      </c>
      <c r="F623">
        <f t="shared" si="94"/>
        <v>0.99777758285709228</v>
      </c>
      <c r="G623">
        <f t="shared" si="95"/>
        <v>1</v>
      </c>
      <c r="H623">
        <f t="shared" si="96"/>
        <v>4086.8350775342578</v>
      </c>
      <c r="K623">
        <v>0.59499999999999997</v>
      </c>
      <c r="L623">
        <f t="shared" si="92"/>
        <v>-5226.6600070696659</v>
      </c>
      <c r="M623">
        <f t="shared" si="93"/>
        <v>5136.1651743080656</v>
      </c>
      <c r="N623">
        <f t="shared" si="97"/>
        <v>0.9964972885388288</v>
      </c>
      <c r="O623">
        <f t="shared" si="98"/>
        <v>1</v>
      </c>
      <c r="P623">
        <f t="shared" si="99"/>
        <v>5127.162031227861</v>
      </c>
    </row>
    <row r="624" spans="3:16" x14ac:dyDescent="0.25">
      <c r="C624">
        <v>0.59599999999999997</v>
      </c>
      <c r="D624">
        <f t="shared" si="90"/>
        <v>-4998.8081716612633</v>
      </c>
      <c r="E624">
        <f t="shared" si="91"/>
        <v>4088.7071480107343</v>
      </c>
      <c r="F624">
        <f t="shared" si="94"/>
        <v>0.99792601018398386</v>
      </c>
      <c r="G624">
        <f t="shared" si="95"/>
        <v>1</v>
      </c>
      <c r="H624">
        <f t="shared" si="96"/>
        <v>4084.4649788223401</v>
      </c>
      <c r="K624">
        <v>0.59599999999999997</v>
      </c>
      <c r="L624">
        <f t="shared" si="92"/>
        <v>-5210.8081716612633</v>
      </c>
      <c r="M624">
        <f t="shared" si="93"/>
        <v>5132.863481256858</v>
      </c>
      <c r="N624">
        <f t="shared" si="97"/>
        <v>0.99668195135157656</v>
      </c>
      <c r="O624">
        <f t="shared" si="98"/>
        <v>1</v>
      </c>
      <c r="P624">
        <f t="shared" si="99"/>
        <v>5124.3408603968555</v>
      </c>
    </row>
    <row r="625" spans="3:16" x14ac:dyDescent="0.25">
      <c r="C625">
        <v>0.59699999999999998</v>
      </c>
      <c r="D625">
        <f t="shared" si="90"/>
        <v>-4985.9563362528606</v>
      </c>
      <c r="E625">
        <f t="shared" si="91"/>
        <v>4086.0303087318771</v>
      </c>
      <c r="F625">
        <f t="shared" si="94"/>
        <v>0.99806930828340168</v>
      </c>
      <c r="G625">
        <f t="shared" si="95"/>
        <v>1</v>
      </c>
      <c r="H625">
        <f t="shared" si="96"/>
        <v>4082.083970585586</v>
      </c>
      <c r="K625">
        <v>0.59699999999999998</v>
      </c>
      <c r="L625">
        <f t="shared" si="92"/>
        <v>-5194.9563362528606</v>
      </c>
      <c r="M625">
        <f t="shared" si="93"/>
        <v>5129.5617882056495</v>
      </c>
      <c r="N625">
        <f t="shared" si="97"/>
        <v>0.99686161375309568</v>
      </c>
      <c r="O625">
        <f t="shared" si="98"/>
        <v>1</v>
      </c>
      <c r="P625">
        <f t="shared" si="99"/>
        <v>5121.5061897596743</v>
      </c>
    </row>
    <row r="626" spans="3:16" x14ac:dyDescent="0.25">
      <c r="C626">
        <v>0.59799999999999998</v>
      </c>
      <c r="D626">
        <f t="shared" si="90"/>
        <v>-4973.104500844458</v>
      </c>
      <c r="E626">
        <f t="shared" si="91"/>
        <v>4083.3534694530199</v>
      </c>
      <c r="F626">
        <f t="shared" si="94"/>
        <v>0.99820747715534586</v>
      </c>
      <c r="G626">
        <f t="shared" si="95"/>
        <v>1</v>
      </c>
      <c r="H626">
        <f t="shared" si="96"/>
        <v>4079.6920757457128</v>
      </c>
      <c r="K626">
        <v>0.59799999999999998</v>
      </c>
      <c r="L626">
        <f t="shared" si="92"/>
        <v>-5179.104500844458</v>
      </c>
      <c r="M626">
        <f t="shared" si="93"/>
        <v>5126.2600951544409</v>
      </c>
      <c r="N626">
        <f t="shared" si="97"/>
        <v>0.99703627574338605</v>
      </c>
      <c r="O626">
        <f t="shared" si="98"/>
        <v>1</v>
      </c>
      <c r="P626">
        <f t="shared" si="99"/>
        <v>5118.6580476869012</v>
      </c>
    </row>
    <row r="627" spans="3:16" x14ac:dyDescent="0.25">
      <c r="C627">
        <v>0.59899999999999998</v>
      </c>
      <c r="D627">
        <f t="shared" si="90"/>
        <v>-4960.2526654360554</v>
      </c>
      <c r="E627">
        <f t="shared" si="91"/>
        <v>4080.6766301741627</v>
      </c>
      <c r="F627">
        <f t="shared" si="94"/>
        <v>0.99834051679981639</v>
      </c>
      <c r="G627">
        <f t="shared" si="95"/>
        <v>1</v>
      </c>
      <c r="H627">
        <f t="shared" si="96"/>
        <v>4077.2893171368141</v>
      </c>
      <c r="K627">
        <v>0.59899999999999998</v>
      </c>
      <c r="L627">
        <f t="shared" si="92"/>
        <v>-5163.2526654360554</v>
      </c>
      <c r="M627">
        <f t="shared" si="93"/>
        <v>5122.9584021032333</v>
      </c>
      <c r="N627">
        <f t="shared" si="97"/>
        <v>0.99720593732244789</v>
      </c>
      <c r="O627">
        <f t="shared" si="98"/>
        <v>1</v>
      </c>
      <c r="P627">
        <f t="shared" si="99"/>
        <v>5115.7964624417982</v>
      </c>
    </row>
    <row r="628" spans="3:16" x14ac:dyDescent="0.25">
      <c r="C628">
        <v>0.6</v>
      </c>
      <c r="D628">
        <f t="shared" si="90"/>
        <v>-4947.4008300276528</v>
      </c>
      <c r="E628">
        <f t="shared" si="91"/>
        <v>4077.9997908953055</v>
      </c>
      <c r="F628">
        <f t="shared" si="94"/>
        <v>0.99846842721681328</v>
      </c>
      <c r="G628">
        <f t="shared" si="95"/>
        <v>1</v>
      </c>
      <c r="H628">
        <f t="shared" si="96"/>
        <v>4074.8757175057108</v>
      </c>
      <c r="K628">
        <v>0.6</v>
      </c>
      <c r="L628">
        <f t="shared" si="92"/>
        <v>-5147.4008300276528</v>
      </c>
      <c r="M628">
        <f t="shared" si="93"/>
        <v>5119.6567090520257</v>
      </c>
      <c r="N628">
        <f t="shared" si="97"/>
        <v>0.99737059849028098</v>
      </c>
      <c r="O628">
        <f t="shared" si="98"/>
        <v>1</v>
      </c>
      <c r="P628">
        <f t="shared" si="99"/>
        <v>5112.9214621807441</v>
      </c>
    </row>
    <row r="629" spans="3:16" x14ac:dyDescent="0.25">
      <c r="C629">
        <v>0.60099999999999998</v>
      </c>
      <c r="D629">
        <f t="shared" si="90"/>
        <v>-4934.5489946192502</v>
      </c>
      <c r="E629">
        <f t="shared" si="91"/>
        <v>4075.3229516164483</v>
      </c>
      <c r="F629">
        <f t="shared" si="94"/>
        <v>0.99859120840633642</v>
      </c>
      <c r="G629">
        <f t="shared" si="95"/>
        <v>1</v>
      </c>
      <c r="H629">
        <f t="shared" si="96"/>
        <v>4072.4512995123009</v>
      </c>
      <c r="K629">
        <v>0.60099999999999998</v>
      </c>
      <c r="L629">
        <f t="shared" si="92"/>
        <v>-5131.5489946192502</v>
      </c>
      <c r="M629">
        <f t="shared" si="93"/>
        <v>5116.3550160008172</v>
      </c>
      <c r="N629">
        <f t="shared" si="97"/>
        <v>0.99753025924688532</v>
      </c>
      <c r="O629">
        <f t="shared" si="98"/>
        <v>1</v>
      </c>
      <c r="P629">
        <f t="shared" si="99"/>
        <v>5110.0330749536761</v>
      </c>
    </row>
    <row r="630" spans="3:16" x14ac:dyDescent="0.25">
      <c r="C630">
        <v>0.60199999999999998</v>
      </c>
      <c r="D630">
        <f t="shared" si="90"/>
        <v>-4921.6971592108484</v>
      </c>
      <c r="E630">
        <f t="shared" si="91"/>
        <v>4072.6461123375911</v>
      </c>
      <c r="F630">
        <f t="shared" si="94"/>
        <v>0.99870886036838591</v>
      </c>
      <c r="G630">
        <f t="shared" si="95"/>
        <v>1</v>
      </c>
      <c r="H630">
        <f t="shared" si="96"/>
        <v>4070.0160857299061</v>
      </c>
      <c r="K630">
        <v>0.60199999999999998</v>
      </c>
      <c r="L630">
        <f t="shared" si="92"/>
        <v>-5115.6971592108475</v>
      </c>
      <c r="M630">
        <f t="shared" si="93"/>
        <v>5113.0533229496086</v>
      </c>
      <c r="N630">
        <f t="shared" si="97"/>
        <v>0.99768491959226113</v>
      </c>
      <c r="O630">
        <f t="shared" si="98"/>
        <v>1</v>
      </c>
      <c r="P630">
        <f t="shared" si="99"/>
        <v>5107.1313287045341</v>
      </c>
    </row>
    <row r="631" spans="3:16" x14ac:dyDescent="0.25">
      <c r="C631">
        <v>0.60299999999999998</v>
      </c>
      <c r="D631">
        <f t="shared" si="90"/>
        <v>-4908.8453238024458</v>
      </c>
      <c r="E631">
        <f t="shared" si="91"/>
        <v>4069.9692730587335</v>
      </c>
      <c r="F631">
        <f t="shared" si="94"/>
        <v>0.99882138310296176</v>
      </c>
      <c r="G631">
        <f t="shared" si="95"/>
        <v>1</v>
      </c>
      <c r="H631">
        <f t="shared" si="96"/>
        <v>4067.5700986456095</v>
      </c>
      <c r="K631">
        <v>0.60299999999999998</v>
      </c>
      <c r="L631">
        <f t="shared" si="92"/>
        <v>-5099.8453238024449</v>
      </c>
      <c r="M631">
        <f t="shared" si="93"/>
        <v>5109.751629898401</v>
      </c>
      <c r="N631">
        <f t="shared" si="97"/>
        <v>0.99783457952640831</v>
      </c>
      <c r="O631">
        <f t="shared" si="98"/>
        <v>1</v>
      </c>
      <c r="P631">
        <f t="shared" si="99"/>
        <v>5104.2162512716868</v>
      </c>
    </row>
    <row r="632" spans="3:16" x14ac:dyDescent="0.25">
      <c r="C632">
        <v>0.60399999999999998</v>
      </c>
      <c r="D632">
        <f t="shared" si="90"/>
        <v>-4895.9934883940432</v>
      </c>
      <c r="E632">
        <f t="shared" si="91"/>
        <v>4067.2924337798763</v>
      </c>
      <c r="F632">
        <f t="shared" si="94"/>
        <v>0.99892877661006396</v>
      </c>
      <c r="G632">
        <f t="shared" si="95"/>
        <v>1</v>
      </c>
      <c r="H632">
        <f t="shared" si="96"/>
        <v>4065.1133606605986</v>
      </c>
      <c r="K632">
        <v>0.60399999999999998</v>
      </c>
      <c r="L632">
        <f t="shared" si="92"/>
        <v>-5083.9934883940441</v>
      </c>
      <c r="M632">
        <f t="shared" si="93"/>
        <v>5106.4499368471934</v>
      </c>
      <c r="N632">
        <f t="shared" si="97"/>
        <v>0.99797923904932673</v>
      </c>
      <c r="O632">
        <f t="shared" si="98"/>
        <v>1</v>
      </c>
      <c r="P632">
        <f t="shared" si="99"/>
        <v>5101.2878703883571</v>
      </c>
    </row>
    <row r="633" spans="3:16" x14ac:dyDescent="0.25">
      <c r="C633">
        <v>0.60499999999999998</v>
      </c>
      <c r="D633">
        <f t="shared" si="90"/>
        <v>-4883.1416529856406</v>
      </c>
      <c r="E633">
        <f t="shared" si="91"/>
        <v>4064.6155945010191</v>
      </c>
      <c r="F633">
        <f t="shared" si="94"/>
        <v>0.99903104088969241</v>
      </c>
      <c r="G633">
        <f t="shared" si="95"/>
        <v>1</v>
      </c>
      <c r="H633">
        <f t="shared" si="96"/>
        <v>4062.6458940904963</v>
      </c>
      <c r="K633">
        <v>0.60499999999999998</v>
      </c>
      <c r="L633">
        <f t="shared" si="92"/>
        <v>-5068.1416529856415</v>
      </c>
      <c r="M633">
        <f t="shared" si="93"/>
        <v>5103.1482437959849</v>
      </c>
      <c r="N633">
        <f t="shared" si="97"/>
        <v>0.99811889816101651</v>
      </c>
      <c r="O633">
        <f t="shared" si="98"/>
        <v>1</v>
      </c>
      <c r="P633">
        <f t="shared" si="99"/>
        <v>5098.3462136830485</v>
      </c>
    </row>
    <row r="634" spans="3:16" x14ac:dyDescent="0.25">
      <c r="C634">
        <v>0.60599999999999998</v>
      </c>
      <c r="D634">
        <f t="shared" si="90"/>
        <v>-4870.289817577238</v>
      </c>
      <c r="E634">
        <f t="shared" si="91"/>
        <v>4061.9387552221615</v>
      </c>
      <c r="F634">
        <f t="shared" si="94"/>
        <v>0.99912817594184722</v>
      </c>
      <c r="G634">
        <f t="shared" si="95"/>
        <v>1</v>
      </c>
      <c r="H634">
        <f t="shared" si="96"/>
        <v>4060.1677211656947</v>
      </c>
      <c r="K634">
        <v>0.60599999999999998</v>
      </c>
      <c r="L634">
        <f t="shared" si="92"/>
        <v>-5052.2898175772389</v>
      </c>
      <c r="M634">
        <f t="shared" si="93"/>
        <v>5099.8465507447772</v>
      </c>
      <c r="N634">
        <f t="shared" si="97"/>
        <v>0.99825355686147765</v>
      </c>
      <c r="O634">
        <f t="shared" si="98"/>
        <v>1</v>
      </c>
      <c r="P634">
        <f t="shared" si="99"/>
        <v>5095.3913086799703</v>
      </c>
    </row>
    <row r="635" spans="3:16" x14ac:dyDescent="0.25">
      <c r="C635">
        <v>0.60699999999999998</v>
      </c>
      <c r="D635">
        <f t="shared" si="90"/>
        <v>-4857.4379821688353</v>
      </c>
      <c r="E635">
        <f t="shared" si="91"/>
        <v>4059.2619159433043</v>
      </c>
      <c r="F635">
        <f t="shared" si="94"/>
        <v>0.99922018176652838</v>
      </c>
      <c r="G635">
        <f t="shared" si="95"/>
        <v>1</v>
      </c>
      <c r="H635">
        <f t="shared" si="96"/>
        <v>4057.6788640316822</v>
      </c>
      <c r="K635">
        <v>0.60699999999999998</v>
      </c>
      <c r="L635">
        <f t="shared" si="92"/>
        <v>-5036.4379821688362</v>
      </c>
      <c r="M635">
        <f t="shared" si="93"/>
        <v>5096.5448576935687</v>
      </c>
      <c r="N635">
        <f t="shared" si="97"/>
        <v>0.99838321515071005</v>
      </c>
      <c r="O635">
        <f t="shared" si="98"/>
        <v>1</v>
      </c>
      <c r="P635">
        <f t="shared" si="99"/>
        <v>5092.4231827994436</v>
      </c>
    </row>
    <row r="636" spans="3:16" x14ac:dyDescent="0.25">
      <c r="C636">
        <v>0.60799999999999998</v>
      </c>
      <c r="D636">
        <f t="shared" si="90"/>
        <v>-4844.5861467604336</v>
      </c>
      <c r="E636">
        <f t="shared" si="91"/>
        <v>4056.5850766644471</v>
      </c>
      <c r="F636">
        <f t="shared" si="94"/>
        <v>0.9993070583637359</v>
      </c>
      <c r="G636">
        <f t="shared" si="95"/>
        <v>1</v>
      </c>
      <c r="H636">
        <f t="shared" si="96"/>
        <v>4055.1793447493683</v>
      </c>
      <c r="K636">
        <v>0.60799999999999998</v>
      </c>
      <c r="L636">
        <f t="shared" si="92"/>
        <v>-5020.5861467604336</v>
      </c>
      <c r="M636">
        <f t="shared" si="93"/>
        <v>5093.2431646423611</v>
      </c>
      <c r="N636">
        <f t="shared" si="97"/>
        <v>0.99850787302871391</v>
      </c>
      <c r="O636">
        <f t="shared" si="98"/>
        <v>1</v>
      </c>
      <c r="P636">
        <f t="shared" si="99"/>
        <v>5089.4418633583209</v>
      </c>
    </row>
    <row r="637" spans="3:16" x14ac:dyDescent="0.25">
      <c r="C637">
        <v>0.60899999999999999</v>
      </c>
      <c r="D637">
        <f t="shared" si="90"/>
        <v>-4831.734311352031</v>
      </c>
      <c r="E637">
        <f t="shared" si="91"/>
        <v>4053.9082373855899</v>
      </c>
      <c r="F637">
        <f t="shared" si="94"/>
        <v>0.99938880573346967</v>
      </c>
      <c r="G637">
        <f t="shared" si="95"/>
        <v>1</v>
      </c>
      <c r="H637">
        <f t="shared" si="96"/>
        <v>4052.6691852954041</v>
      </c>
      <c r="K637">
        <v>0.60899999999999999</v>
      </c>
      <c r="L637">
        <f t="shared" si="92"/>
        <v>-5004.734311352031</v>
      </c>
      <c r="M637">
        <f t="shared" si="93"/>
        <v>5089.9414715911525</v>
      </c>
      <c r="N637">
        <f t="shared" si="97"/>
        <v>0.99862753049548902</v>
      </c>
      <c r="O637">
        <f t="shared" si="98"/>
        <v>1</v>
      </c>
      <c r="P637">
        <f t="shared" si="99"/>
        <v>5086.4473775703873</v>
      </c>
    </row>
    <row r="638" spans="3:16" x14ac:dyDescent="0.25">
      <c r="C638">
        <v>0.61</v>
      </c>
      <c r="D638">
        <f t="shared" si="90"/>
        <v>-4818.8824759436284</v>
      </c>
      <c r="E638">
        <f t="shared" si="91"/>
        <v>4051.2313981067327</v>
      </c>
      <c r="F638">
        <f t="shared" si="94"/>
        <v>0.99946542387572979</v>
      </c>
      <c r="G638">
        <f t="shared" si="95"/>
        <v>1</v>
      </c>
      <c r="H638">
        <f t="shared" si="96"/>
        <v>4050.1484075625017</v>
      </c>
      <c r="K638">
        <v>0.61</v>
      </c>
      <c r="L638">
        <f t="shared" si="92"/>
        <v>-4988.8824759436284</v>
      </c>
      <c r="M638">
        <f t="shared" si="93"/>
        <v>5086.639778539944</v>
      </c>
      <c r="N638">
        <f t="shared" si="97"/>
        <v>0.9987421875510355</v>
      </c>
      <c r="O638">
        <f t="shared" si="98"/>
        <v>1</v>
      </c>
      <c r="P638">
        <f t="shared" si="99"/>
        <v>5083.4397525467684</v>
      </c>
    </row>
    <row r="639" spans="3:16" x14ac:dyDescent="0.25">
      <c r="C639">
        <v>0.61099999999999999</v>
      </c>
      <c r="D639">
        <f t="shared" si="90"/>
        <v>-4806.0306405352258</v>
      </c>
      <c r="E639">
        <f t="shared" si="91"/>
        <v>4048.5545588278756</v>
      </c>
      <c r="F639">
        <f t="shared" si="94"/>
        <v>0.99953691279051626</v>
      </c>
      <c r="G639">
        <f t="shared" si="95"/>
        <v>1</v>
      </c>
      <c r="H639">
        <f t="shared" si="96"/>
        <v>4047.6170333597488</v>
      </c>
      <c r="K639">
        <v>0.61099999999999999</v>
      </c>
      <c r="L639">
        <f t="shared" si="92"/>
        <v>-4973.0306405352258</v>
      </c>
      <c r="M639">
        <f t="shared" si="93"/>
        <v>5083.3380854887364</v>
      </c>
      <c r="N639">
        <f t="shared" si="97"/>
        <v>0.99885184419535333</v>
      </c>
      <c r="O639">
        <f t="shared" si="98"/>
        <v>1</v>
      </c>
      <c r="P639">
        <f t="shared" si="99"/>
        <v>5080.4190152963274</v>
      </c>
    </row>
    <row r="640" spans="3:16" x14ac:dyDescent="0.25">
      <c r="C640">
        <v>0.61199999999999999</v>
      </c>
      <c r="D640">
        <f t="shared" si="90"/>
        <v>-4793.1788051268231</v>
      </c>
      <c r="E640">
        <f t="shared" si="91"/>
        <v>4045.8777195490179</v>
      </c>
      <c r="F640">
        <f t="shared" si="94"/>
        <v>0.9996032724778291</v>
      </c>
      <c r="G640">
        <f t="shared" si="95"/>
        <v>1</v>
      </c>
      <c r="H640">
        <f t="shared" si="96"/>
        <v>4045.075084412917</v>
      </c>
      <c r="K640">
        <v>0.61199999999999999</v>
      </c>
      <c r="L640">
        <f t="shared" si="92"/>
        <v>-4957.1788051268231</v>
      </c>
      <c r="M640">
        <f t="shared" si="93"/>
        <v>5080.0363924375288</v>
      </c>
      <c r="N640">
        <f t="shared" si="97"/>
        <v>0.99895650042844253</v>
      </c>
      <c r="O640">
        <f t="shared" si="98"/>
        <v>1</v>
      </c>
      <c r="P640">
        <f t="shared" si="99"/>
        <v>5077.3851927260621</v>
      </c>
    </row>
    <row r="641" spans="3:16" x14ac:dyDescent="0.25">
      <c r="C641">
        <v>0.61299999999999999</v>
      </c>
      <c r="D641">
        <f t="shared" si="90"/>
        <v>-4780.3269697184205</v>
      </c>
      <c r="E641">
        <f t="shared" si="91"/>
        <v>4043.2008802701607</v>
      </c>
      <c r="F641">
        <f t="shared" si="94"/>
        <v>0.99966450293766818</v>
      </c>
      <c r="G641">
        <f t="shared" si="95"/>
        <v>1</v>
      </c>
      <c r="H641">
        <f t="shared" si="96"/>
        <v>4042.5225823647756</v>
      </c>
      <c r="K641">
        <v>0.61299999999999999</v>
      </c>
      <c r="L641">
        <f t="shared" si="92"/>
        <v>-4941.3269697184205</v>
      </c>
      <c r="M641">
        <f t="shared" si="93"/>
        <v>5076.7346993863202</v>
      </c>
      <c r="N641">
        <f t="shared" si="97"/>
        <v>0.99905615625030297</v>
      </c>
      <c r="O641">
        <f t="shared" si="98"/>
        <v>1</v>
      </c>
      <c r="P641">
        <f t="shared" si="99"/>
        <v>5074.3383116414907</v>
      </c>
    </row>
    <row r="642" spans="3:16" x14ac:dyDescent="0.25">
      <c r="C642">
        <v>0.61399999999999999</v>
      </c>
      <c r="D642">
        <f t="shared" si="90"/>
        <v>-4767.4751343100188</v>
      </c>
      <c r="E642">
        <f t="shared" si="91"/>
        <v>4040.5240409913035</v>
      </c>
      <c r="F642">
        <f t="shared" si="94"/>
        <v>0.99972060417003361</v>
      </c>
      <c r="G642">
        <f t="shared" si="95"/>
        <v>1</v>
      </c>
      <c r="H642">
        <f t="shared" si="96"/>
        <v>4039.9595487753904</v>
      </c>
      <c r="K642">
        <v>0.61399999999999999</v>
      </c>
      <c r="L642">
        <f t="shared" si="92"/>
        <v>-4925.4751343100179</v>
      </c>
      <c r="M642">
        <f t="shared" si="93"/>
        <v>5073.4330063351117</v>
      </c>
      <c r="N642">
        <f t="shared" si="97"/>
        <v>0.99915081166093489</v>
      </c>
      <c r="O642">
        <f t="shared" si="98"/>
        <v>1</v>
      </c>
      <c r="P642">
        <f t="shared" si="99"/>
        <v>5071.2783987470484</v>
      </c>
    </row>
    <row r="643" spans="3:16" x14ac:dyDescent="0.25">
      <c r="C643">
        <v>0.61499999999999999</v>
      </c>
      <c r="D643">
        <f t="shared" si="90"/>
        <v>-4754.6232989016162</v>
      </c>
      <c r="E643">
        <f t="shared" si="91"/>
        <v>4037.8472017124463</v>
      </c>
      <c r="F643">
        <f t="shared" si="94"/>
        <v>0.9997715761749254</v>
      </c>
      <c r="G643">
        <f t="shared" si="95"/>
        <v>1</v>
      </c>
      <c r="H643">
        <f t="shared" si="96"/>
        <v>4037.3860051224292</v>
      </c>
      <c r="K643">
        <v>0.61499999999999999</v>
      </c>
      <c r="L643">
        <f t="shared" si="92"/>
        <v>-4909.6232989016153</v>
      </c>
      <c r="M643">
        <f t="shared" si="93"/>
        <v>5070.1313132839041</v>
      </c>
      <c r="N643">
        <f t="shared" si="97"/>
        <v>0.99924046666033806</v>
      </c>
      <c r="O643">
        <f t="shared" si="98"/>
        <v>1</v>
      </c>
      <c r="P643">
        <f t="shared" si="99"/>
        <v>5068.2054806464648</v>
      </c>
    </row>
    <row r="644" spans="3:16" x14ac:dyDescent="0.25">
      <c r="C644">
        <v>0.61599999999999999</v>
      </c>
      <c r="D644">
        <f t="shared" si="90"/>
        <v>-4741.7714634932136</v>
      </c>
      <c r="E644">
        <f t="shared" si="91"/>
        <v>4035.1703624335887</v>
      </c>
      <c r="F644">
        <f t="shared" si="94"/>
        <v>0.99981741895234344</v>
      </c>
      <c r="G644">
        <f t="shared" si="95"/>
        <v>1</v>
      </c>
      <c r="H644">
        <f t="shared" si="96"/>
        <v>4034.8019728014569</v>
      </c>
      <c r="K644">
        <v>0.61599999999999999</v>
      </c>
      <c r="L644">
        <f t="shared" si="92"/>
        <v>-4893.7714634932127</v>
      </c>
      <c r="M644">
        <f t="shared" si="93"/>
        <v>5066.8296202326965</v>
      </c>
      <c r="N644">
        <f t="shared" si="97"/>
        <v>0.99932512124851258</v>
      </c>
      <c r="O644">
        <f t="shared" si="98"/>
        <v>1</v>
      </c>
      <c r="P644">
        <f t="shared" si="99"/>
        <v>5065.1195838431449</v>
      </c>
    </row>
    <row r="645" spans="3:16" x14ac:dyDescent="0.25">
      <c r="C645">
        <v>0.61699999999999999</v>
      </c>
      <c r="D645">
        <f t="shared" si="90"/>
        <v>-4728.9196280848109</v>
      </c>
      <c r="E645">
        <f t="shared" si="91"/>
        <v>4032.4935231547315</v>
      </c>
      <c r="F645">
        <f t="shared" si="94"/>
        <v>0.99985813250228794</v>
      </c>
      <c r="G645">
        <f t="shared" si="95"/>
        <v>1</v>
      </c>
      <c r="H645">
        <f t="shared" si="96"/>
        <v>4032.207473126236</v>
      </c>
      <c r="K645">
        <v>0.61699999999999999</v>
      </c>
      <c r="L645">
        <f t="shared" si="92"/>
        <v>-4877.9196280848118</v>
      </c>
      <c r="M645">
        <f t="shared" si="93"/>
        <v>5063.5279271814879</v>
      </c>
      <c r="N645">
        <f t="shared" si="97"/>
        <v>0.99940477542545836</v>
      </c>
      <c r="O645">
        <f t="shared" si="98"/>
        <v>1</v>
      </c>
      <c r="P645">
        <f t="shared" si="99"/>
        <v>5062.0207347405412</v>
      </c>
    </row>
    <row r="646" spans="3:16" x14ac:dyDescent="0.25">
      <c r="C646">
        <v>0.61799999999999999</v>
      </c>
      <c r="D646">
        <f t="shared" si="90"/>
        <v>-4716.0677926764083</v>
      </c>
      <c r="E646">
        <f t="shared" si="91"/>
        <v>4029.8166838758743</v>
      </c>
      <c r="F646">
        <f t="shared" si="94"/>
        <v>0.99989371682475869</v>
      </c>
      <c r="G646">
        <f t="shared" si="95"/>
        <v>1</v>
      </c>
      <c r="H646">
        <f t="shared" si="96"/>
        <v>4029.6025273290124</v>
      </c>
      <c r="K646">
        <v>0.61799999999999999</v>
      </c>
      <c r="L646">
        <f t="shared" si="92"/>
        <v>-4862.0677926764092</v>
      </c>
      <c r="M646">
        <f t="shared" si="93"/>
        <v>5060.2262341302794</v>
      </c>
      <c r="N646">
        <f t="shared" si="97"/>
        <v>0.99947942919117561</v>
      </c>
      <c r="O646">
        <f t="shared" si="98"/>
        <v>1</v>
      </c>
      <c r="P646">
        <f t="shared" si="99"/>
        <v>5058.9089596425338</v>
      </c>
    </row>
    <row r="647" spans="3:16" x14ac:dyDescent="0.25">
      <c r="C647">
        <v>0.61899999999999999</v>
      </c>
      <c r="D647">
        <f t="shared" si="90"/>
        <v>-4703.2159572680057</v>
      </c>
      <c r="E647">
        <f t="shared" si="91"/>
        <v>4027.1398445970171</v>
      </c>
      <c r="F647">
        <f t="shared" si="94"/>
        <v>0.9999241719197558</v>
      </c>
      <c r="G647">
        <f t="shared" si="95"/>
        <v>1</v>
      </c>
      <c r="H647">
        <f t="shared" si="96"/>
        <v>4026.9871565608069</v>
      </c>
      <c r="K647">
        <v>0.61899999999999999</v>
      </c>
      <c r="L647">
        <f t="shared" si="92"/>
        <v>-4846.2159572680066</v>
      </c>
      <c r="M647">
        <f t="shared" si="93"/>
        <v>5056.9245410790718</v>
      </c>
      <c r="N647">
        <f t="shared" si="97"/>
        <v>0.9995490825456641</v>
      </c>
      <c r="O647">
        <f t="shared" si="98"/>
        <v>1</v>
      </c>
      <c r="P647">
        <f t="shared" si="99"/>
        <v>5055.7842847537922</v>
      </c>
    </row>
    <row r="648" spans="3:16" x14ac:dyDescent="0.25">
      <c r="C648">
        <v>0.62</v>
      </c>
      <c r="D648">
        <f t="shared" si="90"/>
        <v>-4690.3641218596031</v>
      </c>
      <c r="E648">
        <f t="shared" si="91"/>
        <v>4024.46300531816</v>
      </c>
      <c r="F648">
        <f t="shared" si="94"/>
        <v>0.99994949778727926</v>
      </c>
      <c r="G648">
        <f t="shared" si="95"/>
        <v>1</v>
      </c>
      <c r="H648">
        <f t="shared" si="96"/>
        <v>4024.3613818917011</v>
      </c>
      <c r="K648">
        <v>0.62</v>
      </c>
      <c r="L648">
        <f t="shared" si="92"/>
        <v>-4830.364121859604</v>
      </c>
      <c r="M648">
        <f t="shared" si="93"/>
        <v>5053.6228480278642</v>
      </c>
      <c r="N648">
        <f t="shared" si="97"/>
        <v>0.99961373548892396</v>
      </c>
      <c r="O648">
        <f t="shared" si="98"/>
        <v>1</v>
      </c>
      <c r="P648">
        <f t="shared" si="99"/>
        <v>5052.6467361801406</v>
      </c>
    </row>
    <row r="649" spans="3:16" x14ac:dyDescent="0.25">
      <c r="C649">
        <v>0.621</v>
      </c>
      <c r="D649">
        <f t="shared" si="90"/>
        <v>-4677.5122864512014</v>
      </c>
      <c r="E649">
        <f t="shared" si="91"/>
        <v>4021.7861660393028</v>
      </c>
      <c r="F649">
        <f t="shared" si="94"/>
        <v>0.99996969442732897</v>
      </c>
      <c r="G649">
        <f t="shared" si="95"/>
        <v>1</v>
      </c>
      <c r="H649">
        <f t="shared" si="96"/>
        <v>4021.7252243111197</v>
      </c>
      <c r="K649">
        <v>0.621</v>
      </c>
      <c r="L649">
        <f t="shared" si="92"/>
        <v>-4814.5122864512014</v>
      </c>
      <c r="M649">
        <f t="shared" si="93"/>
        <v>5050.3211549766556</v>
      </c>
      <c r="N649">
        <f t="shared" si="97"/>
        <v>0.99967338802095518</v>
      </c>
      <c r="O649">
        <f t="shared" si="98"/>
        <v>1</v>
      </c>
      <c r="P649">
        <f t="shared" si="99"/>
        <v>5049.4963399289172</v>
      </c>
    </row>
    <row r="650" spans="3:16" x14ac:dyDescent="0.25">
      <c r="C650">
        <v>0.622</v>
      </c>
      <c r="D650">
        <f t="shared" si="90"/>
        <v>-4664.6604510427987</v>
      </c>
      <c r="E650">
        <f t="shared" si="91"/>
        <v>4019.1093267604456</v>
      </c>
      <c r="F650">
        <f t="shared" si="94"/>
        <v>0.99998476183990503</v>
      </c>
      <c r="G650">
        <f t="shared" si="95"/>
        <v>1</v>
      </c>
      <c r="H650">
        <f t="shared" si="96"/>
        <v>4019.0787047281092</v>
      </c>
      <c r="K650">
        <v>0.622</v>
      </c>
      <c r="L650">
        <f t="shared" si="92"/>
        <v>-4798.6604510427987</v>
      </c>
      <c r="M650">
        <f t="shared" si="93"/>
        <v>5047.0194619254471</v>
      </c>
      <c r="N650">
        <f t="shared" si="97"/>
        <v>0.99972804014175776</v>
      </c>
      <c r="O650">
        <f t="shared" si="98"/>
        <v>1</v>
      </c>
      <c r="P650">
        <f t="shared" si="99"/>
        <v>5046.3331219093352</v>
      </c>
    </row>
    <row r="651" spans="3:16" x14ac:dyDescent="0.25">
      <c r="C651">
        <v>0.623</v>
      </c>
      <c r="D651">
        <f t="shared" si="90"/>
        <v>-4651.8086156343961</v>
      </c>
      <c r="E651">
        <f t="shared" si="91"/>
        <v>4016.4324874815879</v>
      </c>
      <c r="F651">
        <f t="shared" si="94"/>
        <v>0.99999470002500745</v>
      </c>
      <c r="G651">
        <f t="shared" si="95"/>
        <v>1</v>
      </c>
      <c r="H651">
        <f t="shared" si="96"/>
        <v>4016.4218439716137</v>
      </c>
      <c r="K651">
        <v>0.623</v>
      </c>
      <c r="L651">
        <f t="shared" si="92"/>
        <v>-4782.8086156343961</v>
      </c>
      <c r="M651">
        <f t="shared" si="93"/>
        <v>5043.7177688742395</v>
      </c>
      <c r="N651">
        <f t="shared" si="97"/>
        <v>0.9997776918513317</v>
      </c>
      <c r="O651">
        <f t="shared" si="98"/>
        <v>1</v>
      </c>
      <c r="P651">
        <f t="shared" si="99"/>
        <v>5043.1571079328314</v>
      </c>
    </row>
    <row r="652" spans="3:16" x14ac:dyDescent="0.25">
      <c r="C652">
        <v>0.624</v>
      </c>
      <c r="D652">
        <f t="shared" si="90"/>
        <v>-4638.9567802259935</v>
      </c>
      <c r="E652">
        <f t="shared" si="91"/>
        <v>4013.7556482027308</v>
      </c>
      <c r="F652">
        <f t="shared" si="94"/>
        <v>0.99999950898263623</v>
      </c>
      <c r="G652">
        <f t="shared" si="95"/>
        <v>1</v>
      </c>
      <c r="H652">
        <f t="shared" si="96"/>
        <v>4013.7546627907514</v>
      </c>
      <c r="K652">
        <v>0.624</v>
      </c>
      <c r="L652">
        <f t="shared" si="92"/>
        <v>-4766.9567802259935</v>
      </c>
      <c r="M652">
        <f t="shared" si="93"/>
        <v>5040.4160758230319</v>
      </c>
      <c r="N652">
        <f t="shared" si="97"/>
        <v>0.99982234314967688</v>
      </c>
      <c r="O652">
        <f t="shared" si="98"/>
        <v>1</v>
      </c>
      <c r="P652">
        <f t="shared" si="99"/>
        <v>5039.9683237134168</v>
      </c>
    </row>
    <row r="653" spans="3:16" x14ac:dyDescent="0.25">
      <c r="C653">
        <v>0.625</v>
      </c>
      <c r="D653">
        <f t="shared" si="90"/>
        <v>-4626.1049448175909</v>
      </c>
      <c r="E653">
        <f t="shared" si="91"/>
        <v>4011.0788089238731</v>
      </c>
      <c r="F653">
        <f t="shared" si="94"/>
        <v>1</v>
      </c>
      <c r="G653">
        <f t="shared" si="95"/>
        <v>1</v>
      </c>
      <c r="H653">
        <f t="shared" si="96"/>
        <v>4011.0788089238731</v>
      </c>
      <c r="K653">
        <v>0.625</v>
      </c>
      <c r="L653">
        <f t="shared" si="92"/>
        <v>-4751.1049448175909</v>
      </c>
      <c r="M653">
        <f t="shared" si="93"/>
        <v>5037.1143827718233</v>
      </c>
      <c r="N653">
        <f t="shared" si="97"/>
        <v>0.99986199403679343</v>
      </c>
      <c r="O653">
        <f t="shared" si="98"/>
        <v>1</v>
      </c>
      <c r="P653">
        <f t="shared" si="99"/>
        <v>5036.766794868021</v>
      </c>
    </row>
    <row r="654" spans="3:16" x14ac:dyDescent="0.25">
      <c r="C654">
        <v>0.626</v>
      </c>
      <c r="D654">
        <f t="shared" si="90"/>
        <v>-4613.2531094091883</v>
      </c>
      <c r="E654">
        <f t="shared" si="91"/>
        <v>4008.4019696450159</v>
      </c>
      <c r="F654">
        <f t="shared" si="94"/>
        <v>1</v>
      </c>
      <c r="G654">
        <f t="shared" si="95"/>
        <v>1</v>
      </c>
      <c r="H654">
        <f t="shared" si="96"/>
        <v>4008.4019696450159</v>
      </c>
      <c r="K654">
        <v>0.626</v>
      </c>
      <c r="L654">
        <f t="shared" si="92"/>
        <v>-4735.2531094091883</v>
      </c>
      <c r="M654">
        <f t="shared" si="93"/>
        <v>5033.8126897206148</v>
      </c>
      <c r="N654">
        <f t="shared" si="97"/>
        <v>0.99989664451268134</v>
      </c>
      <c r="O654">
        <f t="shared" si="98"/>
        <v>1</v>
      </c>
      <c r="P654">
        <f t="shared" si="99"/>
        <v>5033.552546916836</v>
      </c>
    </row>
    <row r="655" spans="3:16" x14ac:dyDescent="0.25">
      <c r="C655">
        <v>0.627</v>
      </c>
      <c r="D655">
        <f t="shared" si="90"/>
        <v>-4600.4012740007865</v>
      </c>
      <c r="E655">
        <f t="shared" si="91"/>
        <v>4005.7251303661587</v>
      </c>
      <c r="F655">
        <f t="shared" si="94"/>
        <v>1</v>
      </c>
      <c r="G655">
        <f t="shared" si="95"/>
        <v>1</v>
      </c>
      <c r="H655">
        <f t="shared" si="96"/>
        <v>4005.7251303661587</v>
      </c>
      <c r="K655">
        <v>0.627</v>
      </c>
      <c r="L655">
        <f t="shared" si="92"/>
        <v>-4719.4012740007856</v>
      </c>
      <c r="M655">
        <f t="shared" si="93"/>
        <v>5030.5109966694072</v>
      </c>
      <c r="N655">
        <f t="shared" si="97"/>
        <v>0.99992629457734061</v>
      </c>
      <c r="O655">
        <f t="shared" si="98"/>
        <v>1</v>
      </c>
      <c r="P655">
        <f t="shared" si="99"/>
        <v>5030.3256052836559</v>
      </c>
    </row>
    <row r="656" spans="3:16" x14ac:dyDescent="0.25">
      <c r="C656">
        <v>0.628</v>
      </c>
      <c r="D656">
        <f t="shared" si="90"/>
        <v>-4587.5494385923839</v>
      </c>
      <c r="E656">
        <f t="shared" si="91"/>
        <v>4003.0482910873015</v>
      </c>
      <c r="F656">
        <f t="shared" si="94"/>
        <v>1</v>
      </c>
      <c r="G656">
        <f t="shared" si="95"/>
        <v>1</v>
      </c>
      <c r="H656">
        <f t="shared" si="96"/>
        <v>4003.0482910873015</v>
      </c>
      <c r="K656">
        <v>0.628</v>
      </c>
      <c r="L656">
        <f t="shared" si="92"/>
        <v>-4703.549438592383</v>
      </c>
      <c r="M656">
        <f t="shared" si="93"/>
        <v>5027.2093036181996</v>
      </c>
      <c r="N656">
        <f t="shared" si="97"/>
        <v>0.99995094423077113</v>
      </c>
      <c r="O656">
        <f t="shared" si="98"/>
        <v>1</v>
      </c>
      <c r="P656">
        <f t="shared" si="99"/>
        <v>5027.0859952962037</v>
      </c>
    </row>
    <row r="657" spans="3:16" x14ac:dyDescent="0.25">
      <c r="C657">
        <v>0.629</v>
      </c>
      <c r="D657">
        <f t="shared" si="90"/>
        <v>-4574.6976031839813</v>
      </c>
      <c r="E657">
        <f t="shared" si="91"/>
        <v>4000.3714518084444</v>
      </c>
      <c r="F657">
        <f t="shared" si="94"/>
        <v>1</v>
      </c>
      <c r="G657">
        <f t="shared" si="95"/>
        <v>1</v>
      </c>
      <c r="H657">
        <f t="shared" si="96"/>
        <v>4000.3714518084444</v>
      </c>
      <c r="K657">
        <v>0.629</v>
      </c>
      <c r="L657">
        <f t="shared" si="92"/>
        <v>-4687.6976031839804</v>
      </c>
      <c r="M657">
        <f t="shared" si="93"/>
        <v>5023.907610566991</v>
      </c>
      <c r="N657">
        <f t="shared" si="97"/>
        <v>0.99997059347297312</v>
      </c>
      <c r="O657">
        <f t="shared" si="98"/>
        <v>1</v>
      </c>
      <c r="P657">
        <f t="shared" si="99"/>
        <v>5023.833742186468</v>
      </c>
    </row>
    <row r="658" spans="3:16" x14ac:dyDescent="0.25">
      <c r="C658">
        <v>0.63</v>
      </c>
      <c r="D658">
        <f t="shared" si="90"/>
        <v>-4561.8457677755787</v>
      </c>
      <c r="E658">
        <f t="shared" si="91"/>
        <v>3997.6946125295872</v>
      </c>
      <c r="F658">
        <f t="shared" si="94"/>
        <v>1</v>
      </c>
      <c r="G658">
        <f t="shared" si="95"/>
        <v>1</v>
      </c>
      <c r="H658">
        <f t="shared" si="96"/>
        <v>3997.6946125295872</v>
      </c>
      <c r="K658">
        <v>0.63</v>
      </c>
      <c r="L658">
        <f t="shared" si="92"/>
        <v>-4671.8457677755796</v>
      </c>
      <c r="M658">
        <f t="shared" si="93"/>
        <v>5020.6059175157825</v>
      </c>
      <c r="N658">
        <f t="shared" si="97"/>
        <v>0.99998524230394636</v>
      </c>
      <c r="O658">
        <f t="shared" si="98"/>
        <v>1</v>
      </c>
      <c r="P658">
        <f t="shared" si="99"/>
        <v>5020.5688710910345</v>
      </c>
    </row>
    <row r="659" spans="3:16" x14ac:dyDescent="0.25">
      <c r="C659">
        <v>0.63100000000000001</v>
      </c>
      <c r="D659">
        <f t="shared" si="90"/>
        <v>-4548.9939323671761</v>
      </c>
      <c r="E659">
        <f t="shared" si="91"/>
        <v>3995.0177732507295</v>
      </c>
      <c r="F659">
        <f t="shared" si="94"/>
        <v>1</v>
      </c>
      <c r="G659">
        <f t="shared" si="95"/>
        <v>1</v>
      </c>
      <c r="H659">
        <f t="shared" si="96"/>
        <v>3995.0177732507295</v>
      </c>
      <c r="K659">
        <v>0.63100000000000001</v>
      </c>
      <c r="L659">
        <f t="shared" si="92"/>
        <v>-4655.993932367177</v>
      </c>
      <c r="M659">
        <f t="shared" si="93"/>
        <v>5017.3042244645749</v>
      </c>
      <c r="N659">
        <f t="shared" si="97"/>
        <v>0.99999489072369097</v>
      </c>
      <c r="O659">
        <f t="shared" si="98"/>
        <v>1</v>
      </c>
      <c r="P659">
        <f t="shared" si="99"/>
        <v>5017.291407051398</v>
      </c>
    </row>
    <row r="660" spans="3:16" x14ac:dyDescent="0.25">
      <c r="C660">
        <v>0.63200000000000001</v>
      </c>
      <c r="D660">
        <f t="shared" si="90"/>
        <v>-4536.1420969587734</v>
      </c>
      <c r="E660">
        <f t="shared" si="91"/>
        <v>3992.3409339718723</v>
      </c>
      <c r="F660">
        <f t="shared" si="94"/>
        <v>1</v>
      </c>
      <c r="G660">
        <f t="shared" si="95"/>
        <v>1</v>
      </c>
      <c r="H660">
        <f t="shared" si="96"/>
        <v>3992.3409339718723</v>
      </c>
      <c r="K660">
        <v>0.63200000000000001</v>
      </c>
      <c r="L660">
        <f t="shared" si="92"/>
        <v>-4640.1420969587743</v>
      </c>
      <c r="M660">
        <f t="shared" si="93"/>
        <v>5014.0025314133673</v>
      </c>
      <c r="N660">
        <f t="shared" si="97"/>
        <v>0.99999953873220693</v>
      </c>
      <c r="O660">
        <f t="shared" si="98"/>
        <v>1</v>
      </c>
      <c r="P660">
        <f t="shared" si="99"/>
        <v>5014.0013750142925</v>
      </c>
    </row>
    <row r="661" spans="3:16" x14ac:dyDescent="0.25">
      <c r="C661">
        <v>0.63300000000000001</v>
      </c>
      <c r="D661">
        <f t="shared" si="90"/>
        <v>-4523.2902615503717</v>
      </c>
      <c r="E661">
        <f t="shared" si="91"/>
        <v>3989.6640946930152</v>
      </c>
      <c r="F661">
        <f t="shared" si="94"/>
        <v>1</v>
      </c>
      <c r="G661">
        <f t="shared" si="95"/>
        <v>1</v>
      </c>
      <c r="H661">
        <f t="shared" si="96"/>
        <v>3989.6640946930152</v>
      </c>
      <c r="K661">
        <v>0.63300000000000001</v>
      </c>
      <c r="L661">
        <f t="shared" si="92"/>
        <v>-4624.2902615503717</v>
      </c>
      <c r="M661">
        <f t="shared" si="93"/>
        <v>5010.7008383621587</v>
      </c>
      <c r="N661">
        <f t="shared" si="97"/>
        <v>1</v>
      </c>
      <c r="O661">
        <f t="shared" si="98"/>
        <v>1</v>
      </c>
      <c r="P661">
        <f t="shared" si="99"/>
        <v>5010.7008383621587</v>
      </c>
    </row>
    <row r="662" spans="3:16" x14ac:dyDescent="0.25">
      <c r="C662">
        <v>0.63400000000000001</v>
      </c>
      <c r="D662">
        <f t="shared" si="90"/>
        <v>-4510.4384261419691</v>
      </c>
      <c r="E662">
        <f t="shared" si="91"/>
        <v>3986.987255414158</v>
      </c>
      <c r="F662">
        <f t="shared" si="94"/>
        <v>1</v>
      </c>
      <c r="G662">
        <f t="shared" si="95"/>
        <v>1</v>
      </c>
      <c r="H662">
        <f t="shared" si="96"/>
        <v>3986.987255414158</v>
      </c>
      <c r="K662">
        <v>0.63400000000000001</v>
      </c>
      <c r="L662">
        <f t="shared" si="92"/>
        <v>-4608.4384261419691</v>
      </c>
      <c r="M662">
        <f t="shared" si="93"/>
        <v>5007.3991453109502</v>
      </c>
      <c r="N662">
        <f t="shared" si="97"/>
        <v>1</v>
      </c>
      <c r="O662">
        <f t="shared" si="98"/>
        <v>1</v>
      </c>
      <c r="P662">
        <f t="shared" si="99"/>
        <v>5007.3991453109502</v>
      </c>
    </row>
    <row r="663" spans="3:16" x14ac:dyDescent="0.25">
      <c r="C663">
        <v>0.63500000000000001</v>
      </c>
      <c r="D663">
        <f t="shared" si="90"/>
        <v>-4497.5865907335665</v>
      </c>
      <c r="E663">
        <f t="shared" si="91"/>
        <v>3984.3104161353008</v>
      </c>
      <c r="F663">
        <f t="shared" si="94"/>
        <v>1</v>
      </c>
      <c r="G663">
        <f t="shared" si="95"/>
        <v>1</v>
      </c>
      <c r="H663">
        <f t="shared" si="96"/>
        <v>3984.3104161353008</v>
      </c>
      <c r="K663">
        <v>0.63500000000000001</v>
      </c>
      <c r="L663">
        <f t="shared" si="92"/>
        <v>-4592.5865907335665</v>
      </c>
      <c r="M663">
        <f t="shared" si="93"/>
        <v>5004.0974522597426</v>
      </c>
      <c r="N663">
        <f t="shared" si="97"/>
        <v>1</v>
      </c>
      <c r="O663">
        <f t="shared" si="98"/>
        <v>1</v>
      </c>
      <c r="P663">
        <f t="shared" si="99"/>
        <v>5004.0974522597426</v>
      </c>
    </row>
    <row r="664" spans="3:16" x14ac:dyDescent="0.25">
      <c r="C664">
        <v>0.63600000000000001</v>
      </c>
      <c r="D664">
        <f t="shared" si="90"/>
        <v>-4484.7347553251639</v>
      </c>
      <c r="E664">
        <f t="shared" si="91"/>
        <v>3981.6335768564431</v>
      </c>
      <c r="F664">
        <f t="shared" si="94"/>
        <v>1</v>
      </c>
      <c r="G664">
        <f t="shared" si="95"/>
        <v>1</v>
      </c>
      <c r="H664">
        <f t="shared" si="96"/>
        <v>3981.6335768564431</v>
      </c>
      <c r="K664">
        <v>0.63600000000000001</v>
      </c>
      <c r="L664">
        <f t="shared" si="92"/>
        <v>-4576.7347553251639</v>
      </c>
      <c r="M664">
        <f t="shared" si="93"/>
        <v>5000.7957592085349</v>
      </c>
      <c r="N664">
        <f t="shared" si="97"/>
        <v>1</v>
      </c>
      <c r="O664">
        <f t="shared" si="98"/>
        <v>1</v>
      </c>
      <c r="P664">
        <f t="shared" si="99"/>
        <v>5000.7957592085349</v>
      </c>
    </row>
    <row r="665" spans="3:16" x14ac:dyDescent="0.25">
      <c r="C665">
        <v>0.63700000000000001</v>
      </c>
      <c r="D665">
        <f t="shared" si="90"/>
        <v>-4471.8829199167612</v>
      </c>
      <c r="E665">
        <f t="shared" si="91"/>
        <v>3978.956737577586</v>
      </c>
      <c r="F665">
        <f t="shared" si="94"/>
        <v>1</v>
      </c>
      <c r="G665">
        <f t="shared" si="95"/>
        <v>1</v>
      </c>
      <c r="H665">
        <f t="shared" si="96"/>
        <v>3978.956737577586</v>
      </c>
      <c r="K665">
        <v>0.63700000000000001</v>
      </c>
      <c r="L665">
        <f t="shared" si="92"/>
        <v>-4560.8829199167612</v>
      </c>
      <c r="M665">
        <f t="shared" si="93"/>
        <v>4997.4940661573264</v>
      </c>
      <c r="N665">
        <f t="shared" si="97"/>
        <v>1</v>
      </c>
      <c r="O665">
        <f t="shared" si="98"/>
        <v>1</v>
      </c>
      <c r="P665">
        <f t="shared" si="99"/>
        <v>4997.4940661573264</v>
      </c>
    </row>
    <row r="666" spans="3:16" x14ac:dyDescent="0.25">
      <c r="C666">
        <v>0.63800000000000001</v>
      </c>
      <c r="D666">
        <f t="shared" si="90"/>
        <v>-4459.0310845083586</v>
      </c>
      <c r="E666">
        <f t="shared" si="91"/>
        <v>3976.2798982987288</v>
      </c>
      <c r="F666">
        <f t="shared" si="94"/>
        <v>1</v>
      </c>
      <c r="G666">
        <f t="shared" si="95"/>
        <v>1</v>
      </c>
      <c r="H666">
        <f t="shared" si="96"/>
        <v>3976.2798982987288</v>
      </c>
      <c r="K666">
        <v>0.63800000000000001</v>
      </c>
      <c r="L666">
        <f t="shared" si="92"/>
        <v>-4545.0310845083586</v>
      </c>
      <c r="M666">
        <f t="shared" si="93"/>
        <v>4994.1923731061179</v>
      </c>
      <c r="N666">
        <f t="shared" si="97"/>
        <v>1</v>
      </c>
      <c r="O666">
        <f t="shared" si="98"/>
        <v>1</v>
      </c>
      <c r="P666">
        <f t="shared" si="99"/>
        <v>4994.1923731061179</v>
      </c>
    </row>
    <row r="667" spans="3:16" x14ac:dyDescent="0.25">
      <c r="C667">
        <v>0.63900000000000001</v>
      </c>
      <c r="D667">
        <f t="shared" si="90"/>
        <v>-4446.179249099956</v>
      </c>
      <c r="E667">
        <f t="shared" si="91"/>
        <v>3973.6030590198716</v>
      </c>
      <c r="F667">
        <f t="shared" si="94"/>
        <v>1</v>
      </c>
      <c r="G667">
        <f t="shared" si="95"/>
        <v>1</v>
      </c>
      <c r="H667">
        <f t="shared" si="96"/>
        <v>3973.6030590198716</v>
      </c>
      <c r="K667">
        <v>0.63900000000000001</v>
      </c>
      <c r="L667">
        <f t="shared" si="92"/>
        <v>-4529.179249099956</v>
      </c>
      <c r="M667">
        <f t="shared" si="93"/>
        <v>4990.8906800549103</v>
      </c>
      <c r="N667">
        <f t="shared" si="97"/>
        <v>1</v>
      </c>
      <c r="O667">
        <f t="shared" si="98"/>
        <v>1</v>
      </c>
      <c r="P667">
        <f t="shared" si="99"/>
        <v>4990.8906800549103</v>
      </c>
    </row>
    <row r="668" spans="3:16" x14ac:dyDescent="0.25">
      <c r="C668">
        <v>0.64</v>
      </c>
      <c r="D668">
        <f t="shared" ref="D668:D731" si="100">-$J$23+($J$15+$J$23)*C668</f>
        <v>-4433.3274136915534</v>
      </c>
      <c r="E668">
        <f t="shared" ref="E668:E731" si="101">$J$12-$J$11*D668</f>
        <v>3970.9262197410139</v>
      </c>
      <c r="F668">
        <f t="shared" si="94"/>
        <v>1</v>
      </c>
      <c r="G668">
        <f t="shared" si="95"/>
        <v>1</v>
      </c>
      <c r="H668">
        <f t="shared" si="96"/>
        <v>3970.9262197410139</v>
      </c>
      <c r="K668">
        <v>0.64</v>
      </c>
      <c r="L668">
        <f t="shared" ref="L668:L731" si="102">-$M$23+($M$15+$M$23)*K668</f>
        <v>-4513.3274136915534</v>
      </c>
      <c r="M668">
        <f t="shared" ref="M668:M731" si="103">$J$12-$J$11*L668+$E$18</f>
        <v>4987.5889870037026</v>
      </c>
      <c r="N668">
        <f t="shared" si="97"/>
        <v>1</v>
      </c>
      <c r="O668">
        <f t="shared" si="98"/>
        <v>1</v>
      </c>
      <c r="P668">
        <f t="shared" si="99"/>
        <v>4987.5889870037026</v>
      </c>
    </row>
    <row r="669" spans="3:16" x14ac:dyDescent="0.25">
      <c r="C669">
        <v>0.64100000000000001</v>
      </c>
      <c r="D669">
        <f t="shared" si="100"/>
        <v>-4420.4755782831508</v>
      </c>
      <c r="E669">
        <f t="shared" si="101"/>
        <v>3968.2493804621568</v>
      </c>
      <c r="F669">
        <f t="shared" ref="F669:F732" si="104">IF(D669&lt;$J$20,MAX(1-(D669-$J$20)^2/$J$22^2,0),1)</f>
        <v>1</v>
      </c>
      <c r="G669">
        <f t="shared" ref="G669:G732" si="105">IF(D669&gt;$J$17,MAX(1-(D669-$J$17)^2/($J$15-$J$17)^2,0),1)</f>
        <v>1</v>
      </c>
      <c r="H669">
        <f t="shared" ref="H669:H732" si="106">SQRT(E669^2*F669*G669)</f>
        <v>3968.2493804621568</v>
      </c>
      <c r="K669">
        <v>0.64100000000000001</v>
      </c>
      <c r="L669">
        <f t="shared" si="102"/>
        <v>-4497.4755782831508</v>
      </c>
      <c r="M669">
        <f t="shared" si="103"/>
        <v>4984.2872939524941</v>
      </c>
      <c r="N669">
        <f t="shared" ref="N669:N732" si="107">IF(L669&lt;$J$20,MAX(1-(L669-$J$20)^2/$M$22^2,0),1)</f>
        <v>1</v>
      </c>
      <c r="O669">
        <f t="shared" ref="O669:O732" si="108">IF(L669&gt;$J$17,MAX(1-(L669-$J$17)^2/($M$15-$J$17)^2,0),1)</f>
        <v>1</v>
      </c>
      <c r="P669">
        <f t="shared" ref="P669:P732" si="109">SQRT(M669^2*N669*O669)</f>
        <v>4984.2872939524941</v>
      </c>
    </row>
    <row r="670" spans="3:16" x14ac:dyDescent="0.25">
      <c r="C670">
        <v>0.64200000000000002</v>
      </c>
      <c r="D670">
        <f t="shared" si="100"/>
        <v>-4407.6237428747481</v>
      </c>
      <c r="E670">
        <f t="shared" si="101"/>
        <v>3965.5725411832996</v>
      </c>
      <c r="F670">
        <f t="shared" si="104"/>
        <v>1</v>
      </c>
      <c r="G670">
        <f t="shared" si="105"/>
        <v>1</v>
      </c>
      <c r="H670">
        <f t="shared" si="106"/>
        <v>3965.5725411832996</v>
      </c>
      <c r="K670">
        <v>0.64200000000000002</v>
      </c>
      <c r="L670">
        <f t="shared" si="102"/>
        <v>-4481.6237428747481</v>
      </c>
      <c r="M670">
        <f t="shared" si="103"/>
        <v>4980.9856009012856</v>
      </c>
      <c r="N670">
        <f t="shared" si="107"/>
        <v>1</v>
      </c>
      <c r="O670">
        <f t="shared" si="108"/>
        <v>1</v>
      </c>
      <c r="P670">
        <f t="shared" si="109"/>
        <v>4980.9856009012856</v>
      </c>
    </row>
    <row r="671" spans="3:16" x14ac:dyDescent="0.25">
      <c r="C671">
        <v>0.64300000000000002</v>
      </c>
      <c r="D671">
        <f t="shared" si="100"/>
        <v>-4394.7719074663473</v>
      </c>
      <c r="E671">
        <f t="shared" si="101"/>
        <v>3962.8957019044428</v>
      </c>
      <c r="F671">
        <f t="shared" si="104"/>
        <v>1</v>
      </c>
      <c r="G671">
        <f t="shared" si="105"/>
        <v>1</v>
      </c>
      <c r="H671">
        <f t="shared" si="106"/>
        <v>3962.8957019044428</v>
      </c>
      <c r="K671">
        <v>0.64300000000000002</v>
      </c>
      <c r="L671">
        <f t="shared" si="102"/>
        <v>-4465.7719074663473</v>
      </c>
      <c r="M671">
        <f t="shared" si="103"/>
        <v>4977.683907850078</v>
      </c>
      <c r="N671">
        <f t="shared" si="107"/>
        <v>1</v>
      </c>
      <c r="O671">
        <f t="shared" si="108"/>
        <v>1</v>
      </c>
      <c r="P671">
        <f t="shared" si="109"/>
        <v>4977.683907850078</v>
      </c>
    </row>
    <row r="672" spans="3:16" x14ac:dyDescent="0.25">
      <c r="C672">
        <v>0.64400000000000002</v>
      </c>
      <c r="D672">
        <f t="shared" si="100"/>
        <v>-4381.9200720579447</v>
      </c>
      <c r="E672">
        <f t="shared" si="101"/>
        <v>3960.2188626255852</v>
      </c>
      <c r="F672">
        <f t="shared" si="104"/>
        <v>1</v>
      </c>
      <c r="G672">
        <f t="shared" si="105"/>
        <v>1</v>
      </c>
      <c r="H672">
        <f t="shared" si="106"/>
        <v>3960.2188626255852</v>
      </c>
      <c r="K672">
        <v>0.64400000000000002</v>
      </c>
      <c r="L672">
        <f t="shared" si="102"/>
        <v>-4449.9200720579447</v>
      </c>
      <c r="M672">
        <f t="shared" si="103"/>
        <v>4974.3822147988703</v>
      </c>
      <c r="N672">
        <f t="shared" si="107"/>
        <v>1</v>
      </c>
      <c r="O672">
        <f t="shared" si="108"/>
        <v>1</v>
      </c>
      <c r="P672">
        <f t="shared" si="109"/>
        <v>4974.3822147988703</v>
      </c>
    </row>
    <row r="673" spans="3:16" x14ac:dyDescent="0.25">
      <c r="C673">
        <v>0.64500000000000002</v>
      </c>
      <c r="D673">
        <f t="shared" si="100"/>
        <v>-4369.0682366495421</v>
      </c>
      <c r="E673">
        <f t="shared" si="101"/>
        <v>3957.542023346728</v>
      </c>
      <c r="F673">
        <f t="shared" si="104"/>
        <v>1</v>
      </c>
      <c r="G673">
        <f t="shared" si="105"/>
        <v>1</v>
      </c>
      <c r="H673">
        <f t="shared" si="106"/>
        <v>3957.542023346728</v>
      </c>
      <c r="K673">
        <v>0.64500000000000002</v>
      </c>
      <c r="L673">
        <f t="shared" si="102"/>
        <v>-4434.0682366495421</v>
      </c>
      <c r="M673">
        <f t="shared" si="103"/>
        <v>4971.0805217476618</v>
      </c>
      <c r="N673">
        <f t="shared" si="107"/>
        <v>1</v>
      </c>
      <c r="O673">
        <f t="shared" si="108"/>
        <v>1</v>
      </c>
      <c r="P673">
        <f t="shared" si="109"/>
        <v>4971.0805217476618</v>
      </c>
    </row>
    <row r="674" spans="3:16" x14ac:dyDescent="0.25">
      <c r="C674">
        <v>0.64600000000000002</v>
      </c>
      <c r="D674">
        <f t="shared" si="100"/>
        <v>-4356.2164012411395</v>
      </c>
      <c r="E674">
        <f t="shared" si="101"/>
        <v>3954.8651840678704</v>
      </c>
      <c r="F674">
        <f t="shared" si="104"/>
        <v>1</v>
      </c>
      <c r="G674">
        <f t="shared" si="105"/>
        <v>1</v>
      </c>
      <c r="H674">
        <f t="shared" si="106"/>
        <v>3954.8651840678704</v>
      </c>
      <c r="K674">
        <v>0.64600000000000002</v>
      </c>
      <c r="L674">
        <f t="shared" si="102"/>
        <v>-4418.2164012411395</v>
      </c>
      <c r="M674">
        <f t="shared" si="103"/>
        <v>4967.7788286964533</v>
      </c>
      <c r="N674">
        <f t="shared" si="107"/>
        <v>1</v>
      </c>
      <c r="O674">
        <f t="shared" si="108"/>
        <v>1</v>
      </c>
      <c r="P674">
        <f t="shared" si="109"/>
        <v>4967.7788286964533</v>
      </c>
    </row>
    <row r="675" spans="3:16" x14ac:dyDescent="0.25">
      <c r="C675">
        <v>0.64700000000000002</v>
      </c>
      <c r="D675">
        <f t="shared" si="100"/>
        <v>-4343.3645658327368</v>
      </c>
      <c r="E675">
        <f t="shared" si="101"/>
        <v>3952.1883447890132</v>
      </c>
      <c r="F675">
        <f t="shared" si="104"/>
        <v>1</v>
      </c>
      <c r="G675">
        <f t="shared" si="105"/>
        <v>1</v>
      </c>
      <c r="H675">
        <f t="shared" si="106"/>
        <v>3952.1883447890132</v>
      </c>
      <c r="K675">
        <v>0.64700000000000002</v>
      </c>
      <c r="L675">
        <f t="shared" si="102"/>
        <v>-4402.3645658327368</v>
      </c>
      <c r="M675">
        <f t="shared" si="103"/>
        <v>4964.4771356452457</v>
      </c>
      <c r="N675">
        <f t="shared" si="107"/>
        <v>1</v>
      </c>
      <c r="O675">
        <f t="shared" si="108"/>
        <v>1</v>
      </c>
      <c r="P675">
        <f t="shared" si="109"/>
        <v>4964.4771356452457</v>
      </c>
    </row>
    <row r="676" spans="3:16" x14ac:dyDescent="0.25">
      <c r="C676">
        <v>0.64800000000000002</v>
      </c>
      <c r="D676">
        <f t="shared" si="100"/>
        <v>-4330.5127304243342</v>
      </c>
      <c r="E676">
        <f t="shared" si="101"/>
        <v>3949.511505510156</v>
      </c>
      <c r="F676">
        <f t="shared" si="104"/>
        <v>1</v>
      </c>
      <c r="G676">
        <f t="shared" si="105"/>
        <v>1</v>
      </c>
      <c r="H676">
        <f t="shared" si="106"/>
        <v>3949.511505510156</v>
      </c>
      <c r="K676">
        <v>0.64800000000000002</v>
      </c>
      <c r="L676">
        <f t="shared" si="102"/>
        <v>-4386.5127304243342</v>
      </c>
      <c r="M676">
        <f t="shared" si="103"/>
        <v>4961.175442594038</v>
      </c>
      <c r="N676">
        <f t="shared" si="107"/>
        <v>1</v>
      </c>
      <c r="O676">
        <f t="shared" si="108"/>
        <v>1</v>
      </c>
      <c r="P676">
        <f t="shared" si="109"/>
        <v>4961.175442594038</v>
      </c>
    </row>
    <row r="677" spans="3:16" x14ac:dyDescent="0.25">
      <c r="C677">
        <v>0.64900000000000002</v>
      </c>
      <c r="D677">
        <f t="shared" si="100"/>
        <v>-4317.6608950159316</v>
      </c>
      <c r="E677">
        <f t="shared" si="101"/>
        <v>3946.8346662312988</v>
      </c>
      <c r="F677">
        <f t="shared" si="104"/>
        <v>1</v>
      </c>
      <c r="G677">
        <f t="shared" si="105"/>
        <v>1</v>
      </c>
      <c r="H677">
        <f t="shared" si="106"/>
        <v>3946.8346662312988</v>
      </c>
      <c r="K677">
        <v>0.64900000000000002</v>
      </c>
      <c r="L677">
        <f t="shared" si="102"/>
        <v>-4370.6608950159316</v>
      </c>
      <c r="M677">
        <f t="shared" si="103"/>
        <v>4957.8737495428295</v>
      </c>
      <c r="N677">
        <f t="shared" si="107"/>
        <v>1</v>
      </c>
      <c r="O677">
        <f t="shared" si="108"/>
        <v>1</v>
      </c>
      <c r="P677">
        <f t="shared" si="109"/>
        <v>4957.8737495428295</v>
      </c>
    </row>
    <row r="678" spans="3:16" x14ac:dyDescent="0.25">
      <c r="C678">
        <v>0.65</v>
      </c>
      <c r="D678">
        <f t="shared" si="100"/>
        <v>-4304.809059607529</v>
      </c>
      <c r="E678">
        <f t="shared" si="101"/>
        <v>3944.1578269524416</v>
      </c>
      <c r="F678">
        <f t="shared" si="104"/>
        <v>1</v>
      </c>
      <c r="G678">
        <f t="shared" si="105"/>
        <v>1</v>
      </c>
      <c r="H678">
        <f t="shared" si="106"/>
        <v>3944.1578269524416</v>
      </c>
      <c r="K678">
        <v>0.65</v>
      </c>
      <c r="L678">
        <f t="shared" si="102"/>
        <v>-4354.809059607529</v>
      </c>
      <c r="M678">
        <f t="shared" si="103"/>
        <v>4954.572056491621</v>
      </c>
      <c r="N678">
        <f t="shared" si="107"/>
        <v>1</v>
      </c>
      <c r="O678">
        <f t="shared" si="108"/>
        <v>1</v>
      </c>
      <c r="P678">
        <f t="shared" si="109"/>
        <v>4954.572056491621</v>
      </c>
    </row>
    <row r="679" spans="3:16" x14ac:dyDescent="0.25">
      <c r="C679">
        <v>0.65100000000000002</v>
      </c>
      <c r="D679">
        <f t="shared" si="100"/>
        <v>-4291.9572241991264</v>
      </c>
      <c r="E679">
        <f t="shared" si="101"/>
        <v>3941.480987673584</v>
      </c>
      <c r="F679">
        <f t="shared" si="104"/>
        <v>1</v>
      </c>
      <c r="G679">
        <f t="shared" si="105"/>
        <v>1</v>
      </c>
      <c r="H679">
        <f t="shared" si="106"/>
        <v>3941.480987673584</v>
      </c>
      <c r="K679">
        <v>0.65100000000000002</v>
      </c>
      <c r="L679">
        <f t="shared" si="102"/>
        <v>-4338.9572241991264</v>
      </c>
      <c r="M679">
        <f t="shared" si="103"/>
        <v>4951.2703634404133</v>
      </c>
      <c r="N679">
        <f t="shared" si="107"/>
        <v>1</v>
      </c>
      <c r="O679">
        <f t="shared" si="108"/>
        <v>1</v>
      </c>
      <c r="P679">
        <f t="shared" si="109"/>
        <v>4951.2703634404133</v>
      </c>
    </row>
    <row r="680" spans="3:16" x14ac:dyDescent="0.25">
      <c r="C680">
        <v>0.65200000000000002</v>
      </c>
      <c r="D680">
        <f t="shared" si="100"/>
        <v>-4279.1053887907237</v>
      </c>
      <c r="E680">
        <f t="shared" si="101"/>
        <v>3938.8041483947268</v>
      </c>
      <c r="F680">
        <f t="shared" si="104"/>
        <v>1</v>
      </c>
      <c r="G680">
        <f t="shared" si="105"/>
        <v>1</v>
      </c>
      <c r="H680">
        <f t="shared" si="106"/>
        <v>3938.8041483947268</v>
      </c>
      <c r="K680">
        <v>0.65200000000000002</v>
      </c>
      <c r="L680">
        <f t="shared" si="102"/>
        <v>-4323.1053887907237</v>
      </c>
      <c r="M680">
        <f t="shared" si="103"/>
        <v>4947.9686703892057</v>
      </c>
      <c r="N680">
        <f t="shared" si="107"/>
        <v>1</v>
      </c>
      <c r="O680">
        <f t="shared" si="108"/>
        <v>1</v>
      </c>
      <c r="P680">
        <f t="shared" si="109"/>
        <v>4947.9686703892057</v>
      </c>
    </row>
    <row r="681" spans="3:16" x14ac:dyDescent="0.25">
      <c r="C681">
        <v>0.65300000000000002</v>
      </c>
      <c r="D681">
        <f t="shared" si="100"/>
        <v>-4266.2535533823211</v>
      </c>
      <c r="E681">
        <f t="shared" si="101"/>
        <v>3936.1273091158696</v>
      </c>
      <c r="F681">
        <f t="shared" si="104"/>
        <v>1</v>
      </c>
      <c r="G681">
        <f t="shared" si="105"/>
        <v>1</v>
      </c>
      <c r="H681">
        <f t="shared" si="106"/>
        <v>3936.1273091158696</v>
      </c>
      <c r="K681">
        <v>0.65300000000000002</v>
      </c>
      <c r="L681">
        <f t="shared" si="102"/>
        <v>-4307.2535533823211</v>
      </c>
      <c r="M681">
        <f t="shared" si="103"/>
        <v>4944.6669773379972</v>
      </c>
      <c r="N681">
        <f t="shared" si="107"/>
        <v>1</v>
      </c>
      <c r="O681">
        <f t="shared" si="108"/>
        <v>1</v>
      </c>
      <c r="P681">
        <f t="shared" si="109"/>
        <v>4944.6669773379972</v>
      </c>
    </row>
    <row r="682" spans="3:16" x14ac:dyDescent="0.25">
      <c r="C682">
        <v>0.65400000000000003</v>
      </c>
      <c r="D682">
        <f t="shared" si="100"/>
        <v>-4253.4017179739185</v>
      </c>
      <c r="E682">
        <f t="shared" si="101"/>
        <v>3933.450469837012</v>
      </c>
      <c r="F682">
        <f t="shared" si="104"/>
        <v>1</v>
      </c>
      <c r="G682">
        <f t="shared" si="105"/>
        <v>1</v>
      </c>
      <c r="H682">
        <f t="shared" si="106"/>
        <v>3933.450469837012</v>
      </c>
      <c r="K682">
        <v>0.65400000000000003</v>
      </c>
      <c r="L682">
        <f t="shared" si="102"/>
        <v>-4291.4017179739185</v>
      </c>
      <c r="M682">
        <f t="shared" si="103"/>
        <v>4941.3652842867887</v>
      </c>
      <c r="N682">
        <f t="shared" si="107"/>
        <v>1</v>
      </c>
      <c r="O682">
        <f t="shared" si="108"/>
        <v>1</v>
      </c>
      <c r="P682">
        <f t="shared" si="109"/>
        <v>4941.3652842867887</v>
      </c>
    </row>
    <row r="683" spans="3:16" x14ac:dyDescent="0.25">
      <c r="C683">
        <v>0.65500000000000003</v>
      </c>
      <c r="D683">
        <f t="shared" si="100"/>
        <v>-4240.5498825655159</v>
      </c>
      <c r="E683">
        <f t="shared" si="101"/>
        <v>3930.7736305581548</v>
      </c>
      <c r="F683">
        <f t="shared" si="104"/>
        <v>1</v>
      </c>
      <c r="G683">
        <f t="shared" si="105"/>
        <v>1</v>
      </c>
      <c r="H683">
        <f t="shared" si="106"/>
        <v>3930.7736305581548</v>
      </c>
      <c r="K683">
        <v>0.65500000000000003</v>
      </c>
      <c r="L683">
        <f t="shared" si="102"/>
        <v>-4275.5498825655159</v>
      </c>
      <c r="M683">
        <f t="shared" si="103"/>
        <v>4938.063591235581</v>
      </c>
      <c r="N683">
        <f t="shared" si="107"/>
        <v>1</v>
      </c>
      <c r="O683">
        <f t="shared" si="108"/>
        <v>1</v>
      </c>
      <c r="P683">
        <f t="shared" si="109"/>
        <v>4938.063591235581</v>
      </c>
    </row>
    <row r="684" spans="3:16" x14ac:dyDescent="0.25">
      <c r="C684">
        <v>0.65600000000000003</v>
      </c>
      <c r="D684">
        <f t="shared" si="100"/>
        <v>-4227.6980471571151</v>
      </c>
      <c r="E684">
        <f t="shared" si="101"/>
        <v>3928.096791279298</v>
      </c>
      <c r="F684">
        <f t="shared" si="104"/>
        <v>1</v>
      </c>
      <c r="G684">
        <f t="shared" si="105"/>
        <v>1</v>
      </c>
      <c r="H684">
        <f t="shared" si="106"/>
        <v>3928.096791279298</v>
      </c>
      <c r="K684">
        <v>0.65600000000000003</v>
      </c>
      <c r="L684">
        <f t="shared" si="102"/>
        <v>-4259.6980471571151</v>
      </c>
      <c r="M684">
        <f t="shared" si="103"/>
        <v>4934.7618981843734</v>
      </c>
      <c r="N684">
        <f t="shared" si="107"/>
        <v>1</v>
      </c>
      <c r="O684">
        <f t="shared" si="108"/>
        <v>1</v>
      </c>
      <c r="P684">
        <f t="shared" si="109"/>
        <v>4934.7618981843734</v>
      </c>
    </row>
    <row r="685" spans="3:16" x14ac:dyDescent="0.25">
      <c r="C685">
        <v>0.65700000000000003</v>
      </c>
      <c r="D685">
        <f t="shared" si="100"/>
        <v>-4214.8462117487124</v>
      </c>
      <c r="E685">
        <f t="shared" si="101"/>
        <v>3925.4199520004404</v>
      </c>
      <c r="F685">
        <f t="shared" si="104"/>
        <v>1</v>
      </c>
      <c r="G685">
        <f t="shared" si="105"/>
        <v>1</v>
      </c>
      <c r="H685">
        <f t="shared" si="106"/>
        <v>3925.4199520004404</v>
      </c>
      <c r="K685">
        <v>0.65700000000000003</v>
      </c>
      <c r="L685">
        <f t="shared" si="102"/>
        <v>-4243.8462117487124</v>
      </c>
      <c r="M685">
        <f t="shared" si="103"/>
        <v>4931.4602051331649</v>
      </c>
      <c r="N685">
        <f t="shared" si="107"/>
        <v>1</v>
      </c>
      <c r="O685">
        <f t="shared" si="108"/>
        <v>1</v>
      </c>
      <c r="P685">
        <f t="shared" si="109"/>
        <v>4931.4602051331649</v>
      </c>
    </row>
    <row r="686" spans="3:16" x14ac:dyDescent="0.25">
      <c r="C686">
        <v>0.65800000000000003</v>
      </c>
      <c r="D686">
        <f t="shared" si="100"/>
        <v>-4201.9943763403098</v>
      </c>
      <c r="E686">
        <f t="shared" si="101"/>
        <v>3922.7431127215832</v>
      </c>
      <c r="F686">
        <f t="shared" si="104"/>
        <v>1</v>
      </c>
      <c r="G686">
        <f t="shared" si="105"/>
        <v>1</v>
      </c>
      <c r="H686">
        <f t="shared" si="106"/>
        <v>3922.7431127215832</v>
      </c>
      <c r="K686">
        <v>0.65800000000000003</v>
      </c>
      <c r="L686">
        <f t="shared" si="102"/>
        <v>-4227.9943763403098</v>
      </c>
      <c r="M686">
        <f t="shared" si="103"/>
        <v>4928.1585120819564</v>
      </c>
      <c r="N686">
        <f t="shared" si="107"/>
        <v>1</v>
      </c>
      <c r="O686">
        <f t="shared" si="108"/>
        <v>1</v>
      </c>
      <c r="P686">
        <f t="shared" si="109"/>
        <v>4928.1585120819564</v>
      </c>
    </row>
    <row r="687" spans="3:16" x14ac:dyDescent="0.25">
      <c r="C687">
        <v>0.65900000000000003</v>
      </c>
      <c r="D687">
        <f t="shared" si="100"/>
        <v>-4189.1425409319072</v>
      </c>
      <c r="E687">
        <f t="shared" si="101"/>
        <v>3920.066273442726</v>
      </c>
      <c r="F687">
        <f t="shared" si="104"/>
        <v>1</v>
      </c>
      <c r="G687">
        <f t="shared" si="105"/>
        <v>1</v>
      </c>
      <c r="H687">
        <f t="shared" si="106"/>
        <v>3920.066273442726</v>
      </c>
      <c r="K687">
        <v>0.65900000000000003</v>
      </c>
      <c r="L687">
        <f t="shared" si="102"/>
        <v>-4212.1425409319072</v>
      </c>
      <c r="M687">
        <f t="shared" si="103"/>
        <v>4924.8568190307487</v>
      </c>
      <c r="N687">
        <f t="shared" si="107"/>
        <v>1</v>
      </c>
      <c r="O687">
        <f t="shared" si="108"/>
        <v>1</v>
      </c>
      <c r="P687">
        <f t="shared" si="109"/>
        <v>4924.8568190307487</v>
      </c>
    </row>
    <row r="688" spans="3:16" x14ac:dyDescent="0.25">
      <c r="C688">
        <v>0.66</v>
      </c>
      <c r="D688">
        <f t="shared" si="100"/>
        <v>-4176.2907055235046</v>
      </c>
      <c r="E688">
        <f t="shared" si="101"/>
        <v>3917.3894341638688</v>
      </c>
      <c r="F688">
        <f t="shared" si="104"/>
        <v>1</v>
      </c>
      <c r="G688">
        <f t="shared" si="105"/>
        <v>1</v>
      </c>
      <c r="H688">
        <f t="shared" si="106"/>
        <v>3917.3894341638688</v>
      </c>
      <c r="K688">
        <v>0.66</v>
      </c>
      <c r="L688">
        <f t="shared" si="102"/>
        <v>-4196.2907055235046</v>
      </c>
      <c r="M688">
        <f t="shared" si="103"/>
        <v>4921.5551259795411</v>
      </c>
      <c r="N688">
        <f t="shared" si="107"/>
        <v>1</v>
      </c>
      <c r="O688">
        <f t="shared" si="108"/>
        <v>1</v>
      </c>
      <c r="P688">
        <f t="shared" si="109"/>
        <v>4921.5551259795411</v>
      </c>
    </row>
    <row r="689" spans="3:16" x14ac:dyDescent="0.25">
      <c r="C689">
        <v>0.66100000000000003</v>
      </c>
      <c r="D689">
        <f t="shared" si="100"/>
        <v>-4163.438870115102</v>
      </c>
      <c r="E689">
        <f t="shared" si="101"/>
        <v>3914.7125948850112</v>
      </c>
      <c r="F689">
        <f t="shared" si="104"/>
        <v>1</v>
      </c>
      <c r="G689">
        <f t="shared" si="105"/>
        <v>1</v>
      </c>
      <c r="H689">
        <f t="shared" si="106"/>
        <v>3914.7125948850112</v>
      </c>
      <c r="K689">
        <v>0.66100000000000003</v>
      </c>
      <c r="L689">
        <f t="shared" si="102"/>
        <v>-4180.438870115102</v>
      </c>
      <c r="M689">
        <f t="shared" si="103"/>
        <v>4918.2534329283326</v>
      </c>
      <c r="N689">
        <f t="shared" si="107"/>
        <v>1</v>
      </c>
      <c r="O689">
        <f t="shared" si="108"/>
        <v>1</v>
      </c>
      <c r="P689">
        <f t="shared" si="109"/>
        <v>4918.2534329283326</v>
      </c>
    </row>
    <row r="690" spans="3:16" x14ac:dyDescent="0.25">
      <c r="C690">
        <v>0.66200000000000003</v>
      </c>
      <c r="D690">
        <f t="shared" si="100"/>
        <v>-4150.5870347066993</v>
      </c>
      <c r="E690">
        <f t="shared" si="101"/>
        <v>3912.035755606154</v>
      </c>
      <c r="F690">
        <f t="shared" si="104"/>
        <v>1</v>
      </c>
      <c r="G690">
        <f t="shared" si="105"/>
        <v>1</v>
      </c>
      <c r="H690">
        <f t="shared" si="106"/>
        <v>3912.035755606154</v>
      </c>
      <c r="K690">
        <v>0.66200000000000003</v>
      </c>
      <c r="L690">
        <f t="shared" si="102"/>
        <v>-4164.5870347066993</v>
      </c>
      <c r="M690">
        <f t="shared" si="103"/>
        <v>4914.9517398771241</v>
      </c>
      <c r="N690">
        <f t="shared" si="107"/>
        <v>1</v>
      </c>
      <c r="O690">
        <f t="shared" si="108"/>
        <v>1</v>
      </c>
      <c r="P690">
        <f t="shared" si="109"/>
        <v>4914.9517398771241</v>
      </c>
    </row>
    <row r="691" spans="3:16" x14ac:dyDescent="0.25">
      <c r="C691">
        <v>0.66300000000000003</v>
      </c>
      <c r="D691">
        <f t="shared" si="100"/>
        <v>-4137.7351992982967</v>
      </c>
      <c r="E691">
        <f t="shared" si="101"/>
        <v>3909.3589163272968</v>
      </c>
      <c r="F691">
        <f t="shared" si="104"/>
        <v>1</v>
      </c>
      <c r="G691">
        <f t="shared" si="105"/>
        <v>1</v>
      </c>
      <c r="H691">
        <f t="shared" si="106"/>
        <v>3909.3589163272968</v>
      </c>
      <c r="K691">
        <v>0.66300000000000003</v>
      </c>
      <c r="L691">
        <f t="shared" si="102"/>
        <v>-4148.7351992982967</v>
      </c>
      <c r="M691">
        <f t="shared" si="103"/>
        <v>4911.6500468259164</v>
      </c>
      <c r="N691">
        <f t="shared" si="107"/>
        <v>1</v>
      </c>
      <c r="O691">
        <f t="shared" si="108"/>
        <v>1</v>
      </c>
      <c r="P691">
        <f t="shared" si="109"/>
        <v>4911.6500468259164</v>
      </c>
    </row>
    <row r="692" spans="3:16" x14ac:dyDescent="0.25">
      <c r="C692">
        <v>0.66400000000000003</v>
      </c>
      <c r="D692">
        <f t="shared" si="100"/>
        <v>-4124.8833638898941</v>
      </c>
      <c r="E692">
        <f t="shared" si="101"/>
        <v>3906.6820770484392</v>
      </c>
      <c r="F692">
        <f t="shared" si="104"/>
        <v>1</v>
      </c>
      <c r="G692">
        <f t="shared" si="105"/>
        <v>1</v>
      </c>
      <c r="H692">
        <f t="shared" si="106"/>
        <v>3906.6820770484392</v>
      </c>
      <c r="K692">
        <v>0.66400000000000003</v>
      </c>
      <c r="L692">
        <f t="shared" si="102"/>
        <v>-4132.8833638898941</v>
      </c>
      <c r="M692">
        <f t="shared" si="103"/>
        <v>4908.3483537747088</v>
      </c>
      <c r="N692">
        <f t="shared" si="107"/>
        <v>1</v>
      </c>
      <c r="O692">
        <f t="shared" si="108"/>
        <v>1</v>
      </c>
      <c r="P692">
        <f t="shared" si="109"/>
        <v>4908.3483537747088</v>
      </c>
    </row>
    <row r="693" spans="3:16" x14ac:dyDescent="0.25">
      <c r="C693">
        <v>0.66500000000000004</v>
      </c>
      <c r="D693">
        <f t="shared" si="100"/>
        <v>-4112.0315284814915</v>
      </c>
      <c r="E693">
        <f t="shared" si="101"/>
        <v>3904.005237769582</v>
      </c>
      <c r="F693">
        <f t="shared" si="104"/>
        <v>1</v>
      </c>
      <c r="G693">
        <f t="shared" si="105"/>
        <v>1</v>
      </c>
      <c r="H693">
        <f t="shared" si="106"/>
        <v>3904.005237769582</v>
      </c>
      <c r="K693">
        <v>0.66500000000000004</v>
      </c>
      <c r="L693">
        <f t="shared" si="102"/>
        <v>-4117.0315284814915</v>
      </c>
      <c r="M693">
        <f t="shared" si="103"/>
        <v>4905.0466607235003</v>
      </c>
      <c r="N693">
        <f t="shared" si="107"/>
        <v>1</v>
      </c>
      <c r="O693">
        <f t="shared" si="108"/>
        <v>1</v>
      </c>
      <c r="P693">
        <f t="shared" si="109"/>
        <v>4905.0466607235003</v>
      </c>
    </row>
    <row r="694" spans="3:16" x14ac:dyDescent="0.25">
      <c r="C694">
        <v>0.66600000000000004</v>
      </c>
      <c r="D694">
        <f t="shared" si="100"/>
        <v>-4099.1796930730889</v>
      </c>
      <c r="E694">
        <f t="shared" si="101"/>
        <v>3901.3283984907248</v>
      </c>
      <c r="F694">
        <f t="shared" si="104"/>
        <v>1</v>
      </c>
      <c r="G694">
        <f t="shared" si="105"/>
        <v>1</v>
      </c>
      <c r="H694">
        <f t="shared" si="106"/>
        <v>3901.3283984907248</v>
      </c>
      <c r="K694">
        <v>0.66600000000000004</v>
      </c>
      <c r="L694">
        <f t="shared" si="102"/>
        <v>-4101.1796930730889</v>
      </c>
      <c r="M694">
        <f t="shared" si="103"/>
        <v>4901.7449676722918</v>
      </c>
      <c r="N694">
        <f t="shared" si="107"/>
        <v>1</v>
      </c>
      <c r="O694">
        <f t="shared" si="108"/>
        <v>1</v>
      </c>
      <c r="P694">
        <f t="shared" si="109"/>
        <v>4901.7449676722918</v>
      </c>
    </row>
    <row r="695" spans="3:16" x14ac:dyDescent="0.25">
      <c r="C695">
        <v>0.66700000000000004</v>
      </c>
      <c r="D695">
        <f t="shared" si="100"/>
        <v>-4086.3278576646862</v>
      </c>
      <c r="E695">
        <f t="shared" si="101"/>
        <v>3898.6515592118676</v>
      </c>
      <c r="F695">
        <f t="shared" si="104"/>
        <v>1</v>
      </c>
      <c r="G695">
        <f t="shared" si="105"/>
        <v>1</v>
      </c>
      <c r="H695">
        <f t="shared" si="106"/>
        <v>3898.6515592118676</v>
      </c>
      <c r="K695">
        <v>0.66700000000000004</v>
      </c>
      <c r="L695">
        <f t="shared" si="102"/>
        <v>-4085.3278576646862</v>
      </c>
      <c r="M695">
        <f t="shared" si="103"/>
        <v>4898.4432746210841</v>
      </c>
      <c r="N695">
        <f t="shared" si="107"/>
        <v>1</v>
      </c>
      <c r="O695">
        <f t="shared" si="108"/>
        <v>1</v>
      </c>
      <c r="P695">
        <f t="shared" si="109"/>
        <v>4898.4432746210841</v>
      </c>
    </row>
    <row r="696" spans="3:16" x14ac:dyDescent="0.25">
      <c r="C696">
        <v>0.66800000000000004</v>
      </c>
      <c r="D696">
        <f t="shared" si="100"/>
        <v>-4073.4760222562854</v>
      </c>
      <c r="E696">
        <f t="shared" si="101"/>
        <v>3895.9747199330104</v>
      </c>
      <c r="F696">
        <f t="shared" si="104"/>
        <v>1</v>
      </c>
      <c r="G696">
        <f t="shared" si="105"/>
        <v>1</v>
      </c>
      <c r="H696">
        <f t="shared" si="106"/>
        <v>3895.9747199330104</v>
      </c>
      <c r="K696">
        <v>0.66800000000000004</v>
      </c>
      <c r="L696">
        <f t="shared" si="102"/>
        <v>-4069.4760222562836</v>
      </c>
      <c r="M696">
        <f t="shared" si="103"/>
        <v>4895.1415815698756</v>
      </c>
      <c r="N696">
        <f t="shared" si="107"/>
        <v>1</v>
      </c>
      <c r="O696">
        <f t="shared" si="108"/>
        <v>1</v>
      </c>
      <c r="P696">
        <f t="shared" si="109"/>
        <v>4895.1415815698756</v>
      </c>
    </row>
    <row r="697" spans="3:16" x14ac:dyDescent="0.25">
      <c r="C697">
        <v>0.66900000000000004</v>
      </c>
      <c r="D697">
        <f t="shared" si="100"/>
        <v>-4060.6241868478828</v>
      </c>
      <c r="E697">
        <f t="shared" si="101"/>
        <v>3893.2978806541532</v>
      </c>
      <c r="F697">
        <f t="shared" si="104"/>
        <v>1</v>
      </c>
      <c r="G697">
        <f t="shared" si="105"/>
        <v>1</v>
      </c>
      <c r="H697">
        <f t="shared" si="106"/>
        <v>3893.2978806541532</v>
      </c>
      <c r="K697">
        <v>0.66900000000000004</v>
      </c>
      <c r="L697">
        <f t="shared" si="102"/>
        <v>-4053.6241868478828</v>
      </c>
      <c r="M697">
        <f t="shared" si="103"/>
        <v>4891.839888518668</v>
      </c>
      <c r="N697">
        <f t="shared" si="107"/>
        <v>1</v>
      </c>
      <c r="O697">
        <f t="shared" si="108"/>
        <v>1</v>
      </c>
      <c r="P697">
        <f t="shared" si="109"/>
        <v>4891.839888518668</v>
      </c>
    </row>
    <row r="698" spans="3:16" x14ac:dyDescent="0.25">
      <c r="C698">
        <v>0.67</v>
      </c>
      <c r="D698">
        <f t="shared" si="100"/>
        <v>-4047.7723514394802</v>
      </c>
      <c r="E698">
        <f t="shared" si="101"/>
        <v>3890.621041375296</v>
      </c>
      <c r="F698">
        <f t="shared" si="104"/>
        <v>1</v>
      </c>
      <c r="G698">
        <f t="shared" si="105"/>
        <v>1</v>
      </c>
      <c r="H698">
        <f t="shared" si="106"/>
        <v>3890.621041375296</v>
      </c>
      <c r="K698">
        <v>0.67</v>
      </c>
      <c r="L698">
        <f t="shared" si="102"/>
        <v>-4037.7723514394802</v>
      </c>
      <c r="M698">
        <f t="shared" si="103"/>
        <v>4888.5381954674594</v>
      </c>
      <c r="N698">
        <f t="shared" si="107"/>
        <v>1</v>
      </c>
      <c r="O698">
        <f t="shared" si="108"/>
        <v>1</v>
      </c>
      <c r="P698">
        <f t="shared" si="109"/>
        <v>4888.5381954674594</v>
      </c>
    </row>
    <row r="699" spans="3:16" x14ac:dyDescent="0.25">
      <c r="C699">
        <v>0.67100000000000004</v>
      </c>
      <c r="D699">
        <f t="shared" si="100"/>
        <v>-4034.9205160310776</v>
      </c>
      <c r="E699">
        <f t="shared" si="101"/>
        <v>3887.9442020964389</v>
      </c>
      <c r="F699">
        <f t="shared" si="104"/>
        <v>1</v>
      </c>
      <c r="G699">
        <f t="shared" si="105"/>
        <v>1</v>
      </c>
      <c r="H699">
        <f t="shared" si="106"/>
        <v>3887.9442020964389</v>
      </c>
      <c r="K699">
        <v>0.67100000000000004</v>
      </c>
      <c r="L699">
        <f t="shared" si="102"/>
        <v>-4021.9205160310776</v>
      </c>
      <c r="M699">
        <f t="shared" si="103"/>
        <v>4885.2365024162518</v>
      </c>
      <c r="N699">
        <f t="shared" si="107"/>
        <v>1</v>
      </c>
      <c r="O699">
        <f t="shared" si="108"/>
        <v>1</v>
      </c>
      <c r="P699">
        <f t="shared" si="109"/>
        <v>4885.2365024162518</v>
      </c>
    </row>
    <row r="700" spans="3:16" x14ac:dyDescent="0.25">
      <c r="C700">
        <v>0.67200000000000004</v>
      </c>
      <c r="D700">
        <f t="shared" si="100"/>
        <v>-4022.0686806226749</v>
      </c>
      <c r="E700">
        <f t="shared" si="101"/>
        <v>3885.2673628175812</v>
      </c>
      <c r="F700">
        <f t="shared" si="104"/>
        <v>1</v>
      </c>
      <c r="G700">
        <f t="shared" si="105"/>
        <v>1</v>
      </c>
      <c r="H700">
        <f t="shared" si="106"/>
        <v>3885.2673628175812</v>
      </c>
      <c r="K700">
        <v>0.67200000000000004</v>
      </c>
      <c r="L700">
        <f t="shared" si="102"/>
        <v>-4006.0686806226749</v>
      </c>
      <c r="M700">
        <f t="shared" si="103"/>
        <v>4881.9348093650442</v>
      </c>
      <c r="N700">
        <f t="shared" si="107"/>
        <v>1</v>
      </c>
      <c r="O700">
        <f t="shared" si="108"/>
        <v>1</v>
      </c>
      <c r="P700">
        <f t="shared" si="109"/>
        <v>4881.9348093650442</v>
      </c>
    </row>
    <row r="701" spans="3:16" x14ac:dyDescent="0.25">
      <c r="C701">
        <v>0.67300000000000004</v>
      </c>
      <c r="D701">
        <f t="shared" si="100"/>
        <v>-4009.2168452142723</v>
      </c>
      <c r="E701">
        <f t="shared" si="101"/>
        <v>3882.590523538724</v>
      </c>
      <c r="F701">
        <f t="shared" si="104"/>
        <v>1</v>
      </c>
      <c r="G701">
        <f t="shared" si="105"/>
        <v>1</v>
      </c>
      <c r="H701">
        <f t="shared" si="106"/>
        <v>3882.590523538724</v>
      </c>
      <c r="K701">
        <v>0.67300000000000004</v>
      </c>
      <c r="L701">
        <f t="shared" si="102"/>
        <v>-3990.2168452142723</v>
      </c>
      <c r="M701">
        <f t="shared" si="103"/>
        <v>4878.6331163138357</v>
      </c>
      <c r="N701">
        <f t="shared" si="107"/>
        <v>1</v>
      </c>
      <c r="O701">
        <f t="shared" si="108"/>
        <v>1</v>
      </c>
      <c r="P701">
        <f t="shared" si="109"/>
        <v>4878.6331163138357</v>
      </c>
    </row>
    <row r="702" spans="3:16" x14ac:dyDescent="0.25">
      <c r="C702">
        <v>0.67400000000000004</v>
      </c>
      <c r="D702">
        <f t="shared" si="100"/>
        <v>-3996.3650098058697</v>
      </c>
      <c r="E702">
        <f t="shared" si="101"/>
        <v>3879.9136842598668</v>
      </c>
      <c r="F702">
        <f t="shared" si="104"/>
        <v>1</v>
      </c>
      <c r="G702">
        <f t="shared" si="105"/>
        <v>1</v>
      </c>
      <c r="H702">
        <f t="shared" si="106"/>
        <v>3879.9136842598668</v>
      </c>
      <c r="K702">
        <v>0.67400000000000004</v>
      </c>
      <c r="L702">
        <f t="shared" si="102"/>
        <v>-3974.3650098058697</v>
      </c>
      <c r="M702">
        <f t="shared" si="103"/>
        <v>4875.3314232626271</v>
      </c>
      <c r="N702">
        <f t="shared" si="107"/>
        <v>1</v>
      </c>
      <c r="O702">
        <f t="shared" si="108"/>
        <v>1</v>
      </c>
      <c r="P702">
        <f t="shared" si="109"/>
        <v>4875.3314232626271</v>
      </c>
    </row>
    <row r="703" spans="3:16" x14ac:dyDescent="0.25">
      <c r="C703">
        <v>0.67500000000000004</v>
      </c>
      <c r="D703">
        <f t="shared" si="100"/>
        <v>-3983.5131743974671</v>
      </c>
      <c r="E703">
        <f t="shared" si="101"/>
        <v>3877.2368449810092</v>
      </c>
      <c r="F703">
        <f t="shared" si="104"/>
        <v>1</v>
      </c>
      <c r="G703">
        <f t="shared" si="105"/>
        <v>1</v>
      </c>
      <c r="H703">
        <f t="shared" si="106"/>
        <v>3877.2368449810092</v>
      </c>
      <c r="K703">
        <v>0.67500000000000004</v>
      </c>
      <c r="L703">
        <f t="shared" si="102"/>
        <v>-3958.5131743974671</v>
      </c>
      <c r="M703">
        <f t="shared" si="103"/>
        <v>4872.0297302114195</v>
      </c>
      <c r="N703">
        <f t="shared" si="107"/>
        <v>1</v>
      </c>
      <c r="O703">
        <f t="shared" si="108"/>
        <v>1</v>
      </c>
      <c r="P703">
        <f t="shared" si="109"/>
        <v>4872.0297302114195</v>
      </c>
    </row>
    <row r="704" spans="3:16" x14ac:dyDescent="0.25">
      <c r="C704">
        <v>0.67600000000000005</v>
      </c>
      <c r="D704">
        <f t="shared" si="100"/>
        <v>-3970.6613389890645</v>
      </c>
      <c r="E704">
        <f t="shared" si="101"/>
        <v>3874.560005702152</v>
      </c>
      <c r="F704">
        <f t="shared" si="104"/>
        <v>1</v>
      </c>
      <c r="G704">
        <f t="shared" si="105"/>
        <v>1</v>
      </c>
      <c r="H704">
        <f t="shared" si="106"/>
        <v>3874.560005702152</v>
      </c>
      <c r="K704">
        <v>0.67600000000000005</v>
      </c>
      <c r="L704">
        <f t="shared" si="102"/>
        <v>-3942.6613389890645</v>
      </c>
      <c r="M704">
        <f t="shared" si="103"/>
        <v>4868.7280371602119</v>
      </c>
      <c r="N704">
        <f t="shared" si="107"/>
        <v>1</v>
      </c>
      <c r="O704">
        <f t="shared" si="108"/>
        <v>1</v>
      </c>
      <c r="P704">
        <f t="shared" si="109"/>
        <v>4868.7280371602119</v>
      </c>
    </row>
    <row r="705" spans="3:16" x14ac:dyDescent="0.25">
      <c r="C705">
        <v>0.67700000000000005</v>
      </c>
      <c r="D705">
        <f t="shared" si="100"/>
        <v>-3957.8095035806618</v>
      </c>
      <c r="E705">
        <f t="shared" si="101"/>
        <v>3871.8831664232948</v>
      </c>
      <c r="F705">
        <f t="shared" si="104"/>
        <v>1</v>
      </c>
      <c r="G705">
        <f t="shared" si="105"/>
        <v>1</v>
      </c>
      <c r="H705">
        <f t="shared" si="106"/>
        <v>3871.8831664232948</v>
      </c>
      <c r="K705">
        <v>0.67700000000000005</v>
      </c>
      <c r="L705">
        <f t="shared" si="102"/>
        <v>-3926.8095035806618</v>
      </c>
      <c r="M705">
        <f t="shared" si="103"/>
        <v>4865.4263441090034</v>
      </c>
      <c r="N705">
        <f t="shared" si="107"/>
        <v>1</v>
      </c>
      <c r="O705">
        <f t="shared" si="108"/>
        <v>1</v>
      </c>
      <c r="P705">
        <f t="shared" si="109"/>
        <v>4865.4263441090034</v>
      </c>
    </row>
    <row r="706" spans="3:16" x14ac:dyDescent="0.25">
      <c r="C706">
        <v>0.67800000000000005</v>
      </c>
      <c r="D706">
        <f t="shared" si="100"/>
        <v>-3944.9576681722592</v>
      </c>
      <c r="E706">
        <f t="shared" si="101"/>
        <v>3869.2063271444376</v>
      </c>
      <c r="F706">
        <f t="shared" si="104"/>
        <v>1</v>
      </c>
      <c r="G706">
        <f t="shared" si="105"/>
        <v>1</v>
      </c>
      <c r="H706">
        <f t="shared" si="106"/>
        <v>3869.2063271444376</v>
      </c>
      <c r="K706">
        <v>0.67800000000000005</v>
      </c>
      <c r="L706">
        <f t="shared" si="102"/>
        <v>-3910.9576681722592</v>
      </c>
      <c r="M706">
        <f t="shared" si="103"/>
        <v>4862.1246510577948</v>
      </c>
      <c r="N706">
        <f t="shared" si="107"/>
        <v>1</v>
      </c>
      <c r="O706">
        <f t="shared" si="108"/>
        <v>1</v>
      </c>
      <c r="P706">
        <f t="shared" si="109"/>
        <v>4862.1246510577948</v>
      </c>
    </row>
    <row r="707" spans="3:16" x14ac:dyDescent="0.25">
      <c r="C707">
        <v>0.67900000000000005</v>
      </c>
      <c r="D707">
        <f t="shared" si="100"/>
        <v>-3932.1058327638566</v>
      </c>
      <c r="E707">
        <f t="shared" si="101"/>
        <v>3866.52948786558</v>
      </c>
      <c r="F707">
        <f t="shared" si="104"/>
        <v>1</v>
      </c>
      <c r="G707">
        <f t="shared" si="105"/>
        <v>1</v>
      </c>
      <c r="H707">
        <f t="shared" si="106"/>
        <v>3866.52948786558</v>
      </c>
      <c r="K707">
        <v>0.67900000000000005</v>
      </c>
      <c r="L707">
        <f t="shared" si="102"/>
        <v>-3895.1058327638566</v>
      </c>
      <c r="M707">
        <f t="shared" si="103"/>
        <v>4858.8229580065872</v>
      </c>
      <c r="N707">
        <f t="shared" si="107"/>
        <v>1</v>
      </c>
      <c r="O707">
        <f t="shared" si="108"/>
        <v>1</v>
      </c>
      <c r="P707">
        <f t="shared" si="109"/>
        <v>4858.8229580065872</v>
      </c>
    </row>
    <row r="708" spans="3:16" x14ac:dyDescent="0.25">
      <c r="C708">
        <v>0.68</v>
      </c>
      <c r="D708">
        <f t="shared" si="100"/>
        <v>-3919.253997355454</v>
      </c>
      <c r="E708">
        <f t="shared" si="101"/>
        <v>3863.8526485867228</v>
      </c>
      <c r="F708">
        <f t="shared" si="104"/>
        <v>1</v>
      </c>
      <c r="G708">
        <f t="shared" si="105"/>
        <v>1</v>
      </c>
      <c r="H708">
        <f t="shared" si="106"/>
        <v>3863.8526485867228</v>
      </c>
      <c r="K708">
        <v>0.68</v>
      </c>
      <c r="L708">
        <f t="shared" si="102"/>
        <v>-3879.253997355454</v>
      </c>
      <c r="M708">
        <f t="shared" si="103"/>
        <v>4855.5212649553787</v>
      </c>
      <c r="N708">
        <f t="shared" si="107"/>
        <v>1</v>
      </c>
      <c r="O708">
        <f t="shared" si="108"/>
        <v>1</v>
      </c>
      <c r="P708">
        <f t="shared" si="109"/>
        <v>4855.5212649553787</v>
      </c>
    </row>
    <row r="709" spans="3:16" x14ac:dyDescent="0.25">
      <c r="C709">
        <v>0.68100000000000005</v>
      </c>
      <c r="D709">
        <f t="shared" si="100"/>
        <v>-3906.4021619470532</v>
      </c>
      <c r="E709">
        <f t="shared" si="101"/>
        <v>3861.1758093078661</v>
      </c>
      <c r="F709">
        <f t="shared" si="104"/>
        <v>1</v>
      </c>
      <c r="G709">
        <f t="shared" si="105"/>
        <v>1</v>
      </c>
      <c r="H709">
        <f t="shared" si="106"/>
        <v>3861.1758093078661</v>
      </c>
      <c r="K709">
        <v>0.68100000000000005</v>
      </c>
      <c r="L709">
        <f t="shared" si="102"/>
        <v>-3863.4021619470514</v>
      </c>
      <c r="M709">
        <f t="shared" si="103"/>
        <v>4852.2195719041702</v>
      </c>
      <c r="N709">
        <f t="shared" si="107"/>
        <v>1</v>
      </c>
      <c r="O709">
        <f t="shared" si="108"/>
        <v>1</v>
      </c>
      <c r="P709">
        <f t="shared" si="109"/>
        <v>4852.2195719041702</v>
      </c>
    </row>
    <row r="710" spans="3:16" x14ac:dyDescent="0.25">
      <c r="C710">
        <v>0.68200000000000005</v>
      </c>
      <c r="D710">
        <f t="shared" si="100"/>
        <v>-3893.5503265386506</v>
      </c>
      <c r="E710">
        <f t="shared" si="101"/>
        <v>3858.4989700290084</v>
      </c>
      <c r="F710">
        <f t="shared" si="104"/>
        <v>1</v>
      </c>
      <c r="G710">
        <f t="shared" si="105"/>
        <v>1</v>
      </c>
      <c r="H710">
        <f t="shared" si="106"/>
        <v>3858.4989700290084</v>
      </c>
      <c r="K710">
        <v>0.68200000000000005</v>
      </c>
      <c r="L710">
        <f t="shared" si="102"/>
        <v>-3847.5503265386506</v>
      </c>
      <c r="M710">
        <f t="shared" si="103"/>
        <v>4848.9178788529625</v>
      </c>
      <c r="N710">
        <f t="shared" si="107"/>
        <v>1</v>
      </c>
      <c r="O710">
        <f t="shared" si="108"/>
        <v>1</v>
      </c>
      <c r="P710">
        <f t="shared" si="109"/>
        <v>4848.9178788529625</v>
      </c>
    </row>
    <row r="711" spans="3:16" x14ac:dyDescent="0.25">
      <c r="C711">
        <v>0.68300000000000005</v>
      </c>
      <c r="D711">
        <f t="shared" si="100"/>
        <v>-3880.6984911302479</v>
      </c>
      <c r="E711">
        <f t="shared" si="101"/>
        <v>3855.8221307501512</v>
      </c>
      <c r="F711">
        <f t="shared" si="104"/>
        <v>1</v>
      </c>
      <c r="G711">
        <f t="shared" si="105"/>
        <v>1</v>
      </c>
      <c r="H711">
        <f t="shared" si="106"/>
        <v>3855.8221307501512</v>
      </c>
      <c r="K711">
        <v>0.68300000000000005</v>
      </c>
      <c r="L711">
        <f t="shared" si="102"/>
        <v>-3831.6984911302479</v>
      </c>
      <c r="M711">
        <f t="shared" si="103"/>
        <v>4845.6161858017549</v>
      </c>
      <c r="N711">
        <f t="shared" si="107"/>
        <v>1</v>
      </c>
      <c r="O711">
        <f t="shared" si="108"/>
        <v>1</v>
      </c>
      <c r="P711">
        <f t="shared" si="109"/>
        <v>4845.6161858017549</v>
      </c>
    </row>
    <row r="712" spans="3:16" x14ac:dyDescent="0.25">
      <c r="C712">
        <v>0.68400000000000005</v>
      </c>
      <c r="D712">
        <f t="shared" si="100"/>
        <v>-3867.8466557218453</v>
      </c>
      <c r="E712">
        <f t="shared" si="101"/>
        <v>3853.1452914712941</v>
      </c>
      <c r="F712">
        <f t="shared" si="104"/>
        <v>1</v>
      </c>
      <c r="G712">
        <f t="shared" si="105"/>
        <v>1</v>
      </c>
      <c r="H712">
        <f t="shared" si="106"/>
        <v>3853.1452914712941</v>
      </c>
      <c r="K712">
        <v>0.68400000000000005</v>
      </c>
      <c r="L712">
        <f t="shared" si="102"/>
        <v>-3815.8466557218453</v>
      </c>
      <c r="M712">
        <f t="shared" si="103"/>
        <v>4842.3144927505473</v>
      </c>
      <c r="N712">
        <f t="shared" si="107"/>
        <v>1</v>
      </c>
      <c r="O712">
        <f t="shared" si="108"/>
        <v>1</v>
      </c>
      <c r="P712">
        <f t="shared" si="109"/>
        <v>4842.3144927505473</v>
      </c>
    </row>
    <row r="713" spans="3:16" x14ac:dyDescent="0.25">
      <c r="C713">
        <v>0.68500000000000005</v>
      </c>
      <c r="D713">
        <f t="shared" si="100"/>
        <v>-3854.9948203134427</v>
      </c>
      <c r="E713">
        <f t="shared" si="101"/>
        <v>3850.4684521924364</v>
      </c>
      <c r="F713">
        <f t="shared" si="104"/>
        <v>1</v>
      </c>
      <c r="G713">
        <f t="shared" si="105"/>
        <v>1</v>
      </c>
      <c r="H713">
        <f t="shared" si="106"/>
        <v>3850.4684521924364</v>
      </c>
      <c r="K713">
        <v>0.68500000000000005</v>
      </c>
      <c r="L713">
        <f t="shared" si="102"/>
        <v>-3799.9948203134427</v>
      </c>
      <c r="M713">
        <f t="shared" si="103"/>
        <v>4839.0127996993388</v>
      </c>
      <c r="N713">
        <f t="shared" si="107"/>
        <v>1</v>
      </c>
      <c r="O713">
        <f t="shared" si="108"/>
        <v>1</v>
      </c>
      <c r="P713">
        <f t="shared" si="109"/>
        <v>4839.0127996993388</v>
      </c>
    </row>
    <row r="714" spans="3:16" x14ac:dyDescent="0.25">
      <c r="C714">
        <v>0.68600000000000005</v>
      </c>
      <c r="D714">
        <f t="shared" si="100"/>
        <v>-3842.1429849050401</v>
      </c>
      <c r="E714">
        <f t="shared" si="101"/>
        <v>3847.7916129135792</v>
      </c>
      <c r="F714">
        <f t="shared" si="104"/>
        <v>1</v>
      </c>
      <c r="G714">
        <f t="shared" si="105"/>
        <v>1</v>
      </c>
      <c r="H714">
        <f t="shared" si="106"/>
        <v>3847.7916129135792</v>
      </c>
      <c r="K714">
        <v>0.68600000000000005</v>
      </c>
      <c r="L714">
        <f t="shared" si="102"/>
        <v>-3784.1429849050401</v>
      </c>
      <c r="M714">
        <f t="shared" si="103"/>
        <v>4835.7111066481302</v>
      </c>
      <c r="N714">
        <f t="shared" si="107"/>
        <v>1</v>
      </c>
      <c r="O714">
        <f t="shared" si="108"/>
        <v>1</v>
      </c>
      <c r="P714">
        <f t="shared" si="109"/>
        <v>4835.7111066481302</v>
      </c>
    </row>
    <row r="715" spans="3:16" x14ac:dyDescent="0.25">
      <c r="C715">
        <v>0.68700000000000006</v>
      </c>
      <c r="D715">
        <f t="shared" si="100"/>
        <v>-3829.2911494966374</v>
      </c>
      <c r="E715">
        <f t="shared" si="101"/>
        <v>3845.114773634722</v>
      </c>
      <c r="F715">
        <f t="shared" si="104"/>
        <v>1</v>
      </c>
      <c r="G715">
        <f t="shared" si="105"/>
        <v>1</v>
      </c>
      <c r="H715">
        <f t="shared" si="106"/>
        <v>3845.114773634722</v>
      </c>
      <c r="K715">
        <v>0.68700000000000006</v>
      </c>
      <c r="L715">
        <f t="shared" si="102"/>
        <v>-3768.2911494966374</v>
      </c>
      <c r="M715">
        <f t="shared" si="103"/>
        <v>4832.4094135969226</v>
      </c>
      <c r="N715">
        <f t="shared" si="107"/>
        <v>1</v>
      </c>
      <c r="O715">
        <f t="shared" si="108"/>
        <v>1</v>
      </c>
      <c r="P715">
        <f t="shared" si="109"/>
        <v>4832.4094135969226</v>
      </c>
    </row>
    <row r="716" spans="3:16" x14ac:dyDescent="0.25">
      <c r="C716">
        <v>0.68799999999999994</v>
      </c>
      <c r="D716">
        <f t="shared" si="100"/>
        <v>-3816.4393140882366</v>
      </c>
      <c r="E716">
        <f t="shared" si="101"/>
        <v>3842.4379343558649</v>
      </c>
      <c r="F716">
        <f t="shared" si="104"/>
        <v>1</v>
      </c>
      <c r="G716">
        <f t="shared" si="105"/>
        <v>1</v>
      </c>
      <c r="H716">
        <f t="shared" si="106"/>
        <v>3842.4379343558649</v>
      </c>
      <c r="K716">
        <v>0.68799999999999994</v>
      </c>
      <c r="L716">
        <f t="shared" si="102"/>
        <v>-3752.4393140882366</v>
      </c>
      <c r="M716">
        <f t="shared" si="103"/>
        <v>4829.107720545715</v>
      </c>
      <c r="N716">
        <f t="shared" si="107"/>
        <v>1</v>
      </c>
      <c r="O716">
        <f t="shared" si="108"/>
        <v>1</v>
      </c>
      <c r="P716">
        <f t="shared" si="109"/>
        <v>4829.107720545715</v>
      </c>
    </row>
    <row r="717" spans="3:16" x14ac:dyDescent="0.25">
      <c r="C717">
        <v>0.68899999999999995</v>
      </c>
      <c r="D717">
        <f t="shared" si="100"/>
        <v>-3803.587478679834</v>
      </c>
      <c r="E717">
        <f t="shared" si="101"/>
        <v>3839.7610950770077</v>
      </c>
      <c r="F717">
        <f t="shared" si="104"/>
        <v>1</v>
      </c>
      <c r="G717">
        <f t="shared" si="105"/>
        <v>1</v>
      </c>
      <c r="H717">
        <f t="shared" si="106"/>
        <v>3839.7610950770077</v>
      </c>
      <c r="K717">
        <v>0.68899999999999995</v>
      </c>
      <c r="L717">
        <f t="shared" si="102"/>
        <v>-3736.587478679834</v>
      </c>
      <c r="M717">
        <f t="shared" si="103"/>
        <v>4825.8060274945065</v>
      </c>
      <c r="N717">
        <f t="shared" si="107"/>
        <v>1</v>
      </c>
      <c r="O717">
        <f t="shared" si="108"/>
        <v>1</v>
      </c>
      <c r="P717">
        <f t="shared" si="109"/>
        <v>4825.8060274945065</v>
      </c>
    </row>
    <row r="718" spans="3:16" x14ac:dyDescent="0.25">
      <c r="C718">
        <v>0.69</v>
      </c>
      <c r="D718">
        <f t="shared" si="100"/>
        <v>-3790.7356432714314</v>
      </c>
      <c r="E718">
        <f t="shared" si="101"/>
        <v>3837.0842557981505</v>
      </c>
      <c r="F718">
        <f t="shared" si="104"/>
        <v>1</v>
      </c>
      <c r="G718">
        <f t="shared" si="105"/>
        <v>1</v>
      </c>
      <c r="H718">
        <f t="shared" si="106"/>
        <v>3837.0842557981505</v>
      </c>
      <c r="K718">
        <v>0.69</v>
      </c>
      <c r="L718">
        <f t="shared" si="102"/>
        <v>-3720.7356432714314</v>
      </c>
      <c r="M718">
        <f t="shared" si="103"/>
        <v>4822.5043344432979</v>
      </c>
      <c r="N718">
        <f t="shared" si="107"/>
        <v>1</v>
      </c>
      <c r="O718">
        <f t="shared" si="108"/>
        <v>1</v>
      </c>
      <c r="P718">
        <f t="shared" si="109"/>
        <v>4822.5043344432979</v>
      </c>
    </row>
    <row r="719" spans="3:16" x14ac:dyDescent="0.25">
      <c r="C719">
        <v>0.69099999999999995</v>
      </c>
      <c r="D719">
        <f t="shared" si="100"/>
        <v>-3777.8838078630288</v>
      </c>
      <c r="E719">
        <f t="shared" si="101"/>
        <v>3834.4074165192933</v>
      </c>
      <c r="F719">
        <f t="shared" si="104"/>
        <v>1</v>
      </c>
      <c r="G719">
        <f t="shared" si="105"/>
        <v>1</v>
      </c>
      <c r="H719">
        <f t="shared" si="106"/>
        <v>3834.4074165192933</v>
      </c>
      <c r="K719">
        <v>0.69099999999999995</v>
      </c>
      <c r="L719">
        <f t="shared" si="102"/>
        <v>-3704.8838078630288</v>
      </c>
      <c r="M719">
        <f t="shared" si="103"/>
        <v>4819.2026413920903</v>
      </c>
      <c r="N719">
        <f t="shared" si="107"/>
        <v>1</v>
      </c>
      <c r="O719">
        <f t="shared" si="108"/>
        <v>1</v>
      </c>
      <c r="P719">
        <f t="shared" si="109"/>
        <v>4819.2026413920903</v>
      </c>
    </row>
    <row r="720" spans="3:16" x14ac:dyDescent="0.25">
      <c r="C720">
        <v>0.69199999999999995</v>
      </c>
      <c r="D720">
        <f t="shared" si="100"/>
        <v>-3765.0319724546262</v>
      </c>
      <c r="E720">
        <f t="shared" si="101"/>
        <v>3831.7305772404361</v>
      </c>
      <c r="F720">
        <f t="shared" si="104"/>
        <v>1</v>
      </c>
      <c r="G720">
        <f t="shared" si="105"/>
        <v>1</v>
      </c>
      <c r="H720">
        <f t="shared" si="106"/>
        <v>3831.7305772404361</v>
      </c>
      <c r="K720">
        <v>0.69199999999999995</v>
      </c>
      <c r="L720">
        <f t="shared" si="102"/>
        <v>-3689.0319724546262</v>
      </c>
      <c r="M720">
        <f t="shared" si="103"/>
        <v>4815.9009483408827</v>
      </c>
      <c r="N720">
        <f t="shared" si="107"/>
        <v>1</v>
      </c>
      <c r="O720">
        <f t="shared" si="108"/>
        <v>1</v>
      </c>
      <c r="P720">
        <f t="shared" si="109"/>
        <v>4815.9009483408827</v>
      </c>
    </row>
    <row r="721" spans="3:16" x14ac:dyDescent="0.25">
      <c r="C721">
        <v>0.69299999999999995</v>
      </c>
      <c r="D721">
        <f t="shared" si="100"/>
        <v>-3752.1801370462235</v>
      </c>
      <c r="E721">
        <f t="shared" si="101"/>
        <v>3829.0537379615785</v>
      </c>
      <c r="F721">
        <f t="shared" si="104"/>
        <v>1</v>
      </c>
      <c r="G721">
        <f t="shared" si="105"/>
        <v>1</v>
      </c>
      <c r="H721">
        <f t="shared" si="106"/>
        <v>3829.0537379615785</v>
      </c>
      <c r="K721">
        <v>0.69299999999999995</v>
      </c>
      <c r="L721">
        <f t="shared" si="102"/>
        <v>-3673.1801370462235</v>
      </c>
      <c r="M721">
        <f t="shared" si="103"/>
        <v>4812.5992552896741</v>
      </c>
      <c r="N721">
        <f t="shared" si="107"/>
        <v>1</v>
      </c>
      <c r="O721">
        <f t="shared" si="108"/>
        <v>1</v>
      </c>
      <c r="P721">
        <f t="shared" si="109"/>
        <v>4812.5992552896741</v>
      </c>
    </row>
    <row r="722" spans="3:16" x14ac:dyDescent="0.25">
      <c r="C722">
        <v>0.69399999999999995</v>
      </c>
      <c r="D722">
        <f t="shared" si="100"/>
        <v>-3739.3283016378209</v>
      </c>
      <c r="E722">
        <f t="shared" si="101"/>
        <v>3826.3768986827213</v>
      </c>
      <c r="F722">
        <f t="shared" si="104"/>
        <v>1</v>
      </c>
      <c r="G722">
        <f t="shared" si="105"/>
        <v>1</v>
      </c>
      <c r="H722">
        <f t="shared" si="106"/>
        <v>3826.3768986827213</v>
      </c>
      <c r="K722">
        <v>0.69399999999999995</v>
      </c>
      <c r="L722">
        <f t="shared" si="102"/>
        <v>-3657.3283016378209</v>
      </c>
      <c r="M722">
        <f t="shared" si="103"/>
        <v>4809.2975622384656</v>
      </c>
      <c r="N722">
        <f t="shared" si="107"/>
        <v>1</v>
      </c>
      <c r="O722">
        <f t="shared" si="108"/>
        <v>1</v>
      </c>
      <c r="P722">
        <f t="shared" si="109"/>
        <v>4809.2975622384656</v>
      </c>
    </row>
    <row r="723" spans="3:16" x14ac:dyDescent="0.25">
      <c r="C723">
        <v>0.69499999999999995</v>
      </c>
      <c r="D723">
        <f t="shared" si="100"/>
        <v>-3726.4764662294183</v>
      </c>
      <c r="E723">
        <f t="shared" si="101"/>
        <v>3823.7000594038641</v>
      </c>
      <c r="F723">
        <f t="shared" si="104"/>
        <v>1</v>
      </c>
      <c r="G723">
        <f t="shared" si="105"/>
        <v>1</v>
      </c>
      <c r="H723">
        <f t="shared" si="106"/>
        <v>3823.7000594038641</v>
      </c>
      <c r="K723">
        <v>0.69499999999999995</v>
      </c>
      <c r="L723">
        <f t="shared" si="102"/>
        <v>-3641.4764662294201</v>
      </c>
      <c r="M723">
        <f t="shared" si="103"/>
        <v>4805.995869187258</v>
      </c>
      <c r="N723">
        <f t="shared" si="107"/>
        <v>1</v>
      </c>
      <c r="O723">
        <f t="shared" si="108"/>
        <v>1</v>
      </c>
      <c r="P723">
        <f t="shared" si="109"/>
        <v>4805.995869187258</v>
      </c>
    </row>
    <row r="724" spans="3:16" x14ac:dyDescent="0.25">
      <c r="C724">
        <v>0.69599999999999995</v>
      </c>
      <c r="D724">
        <f t="shared" si="100"/>
        <v>-3713.6246308210157</v>
      </c>
      <c r="E724">
        <f t="shared" si="101"/>
        <v>3821.0232201250064</v>
      </c>
      <c r="F724">
        <f t="shared" si="104"/>
        <v>1</v>
      </c>
      <c r="G724">
        <f t="shared" si="105"/>
        <v>1</v>
      </c>
      <c r="H724">
        <f t="shared" si="106"/>
        <v>3821.0232201250064</v>
      </c>
      <c r="K724">
        <v>0.69599999999999995</v>
      </c>
      <c r="L724">
        <f t="shared" si="102"/>
        <v>-3625.6246308210175</v>
      </c>
      <c r="M724">
        <f t="shared" si="103"/>
        <v>4802.6941761360504</v>
      </c>
      <c r="N724">
        <f t="shared" si="107"/>
        <v>1</v>
      </c>
      <c r="O724">
        <f t="shared" si="108"/>
        <v>1</v>
      </c>
      <c r="P724">
        <f t="shared" si="109"/>
        <v>4802.6941761360504</v>
      </c>
    </row>
    <row r="725" spans="3:16" x14ac:dyDescent="0.25">
      <c r="C725">
        <v>0.69699999999999995</v>
      </c>
      <c r="D725">
        <f t="shared" si="100"/>
        <v>-3700.7727954126149</v>
      </c>
      <c r="E725">
        <f t="shared" si="101"/>
        <v>3818.3463808461497</v>
      </c>
      <c r="F725">
        <f t="shared" si="104"/>
        <v>1</v>
      </c>
      <c r="G725">
        <f t="shared" si="105"/>
        <v>1</v>
      </c>
      <c r="H725">
        <f t="shared" si="106"/>
        <v>3818.3463808461497</v>
      </c>
      <c r="K725">
        <v>0.69699999999999995</v>
      </c>
      <c r="L725">
        <f t="shared" si="102"/>
        <v>-3609.7727954126149</v>
      </c>
      <c r="M725">
        <f t="shared" si="103"/>
        <v>4799.3924830848428</v>
      </c>
      <c r="N725">
        <f t="shared" si="107"/>
        <v>1</v>
      </c>
      <c r="O725">
        <f t="shared" si="108"/>
        <v>1</v>
      </c>
      <c r="P725">
        <f t="shared" si="109"/>
        <v>4799.3924830848428</v>
      </c>
    </row>
    <row r="726" spans="3:16" x14ac:dyDescent="0.25">
      <c r="C726">
        <v>0.69799999999999995</v>
      </c>
      <c r="D726">
        <f t="shared" si="100"/>
        <v>-3687.9209600042122</v>
      </c>
      <c r="E726">
        <f t="shared" si="101"/>
        <v>3815.6695415672925</v>
      </c>
      <c r="F726">
        <f t="shared" si="104"/>
        <v>1</v>
      </c>
      <c r="G726">
        <f t="shared" si="105"/>
        <v>1</v>
      </c>
      <c r="H726">
        <f t="shared" si="106"/>
        <v>3815.6695415672925</v>
      </c>
      <c r="K726">
        <v>0.69799999999999995</v>
      </c>
      <c r="L726">
        <f t="shared" si="102"/>
        <v>-3593.9209600042122</v>
      </c>
      <c r="M726">
        <f t="shared" si="103"/>
        <v>4796.0907900336342</v>
      </c>
      <c r="N726">
        <f t="shared" si="107"/>
        <v>1</v>
      </c>
      <c r="O726">
        <f t="shared" si="108"/>
        <v>1</v>
      </c>
      <c r="P726">
        <f t="shared" si="109"/>
        <v>4796.0907900336342</v>
      </c>
    </row>
    <row r="727" spans="3:16" x14ac:dyDescent="0.25">
      <c r="C727">
        <v>0.69899999999999995</v>
      </c>
      <c r="D727">
        <f t="shared" si="100"/>
        <v>-3675.0691245958096</v>
      </c>
      <c r="E727">
        <f t="shared" si="101"/>
        <v>3812.9927022884349</v>
      </c>
      <c r="F727">
        <f t="shared" si="104"/>
        <v>1</v>
      </c>
      <c r="G727">
        <f t="shared" si="105"/>
        <v>1</v>
      </c>
      <c r="H727">
        <f t="shared" si="106"/>
        <v>3812.9927022884349</v>
      </c>
      <c r="K727">
        <v>0.69899999999999995</v>
      </c>
      <c r="L727">
        <f t="shared" si="102"/>
        <v>-3578.0691245958096</v>
      </c>
      <c r="M727">
        <f t="shared" si="103"/>
        <v>4792.7890969824257</v>
      </c>
      <c r="N727">
        <f t="shared" si="107"/>
        <v>1</v>
      </c>
      <c r="O727">
        <f t="shared" si="108"/>
        <v>1</v>
      </c>
      <c r="P727">
        <f t="shared" si="109"/>
        <v>4792.7890969824257</v>
      </c>
    </row>
    <row r="728" spans="3:16" x14ac:dyDescent="0.25">
      <c r="C728">
        <v>0.7</v>
      </c>
      <c r="D728">
        <f t="shared" si="100"/>
        <v>-3662.217289187407</v>
      </c>
      <c r="E728">
        <f t="shared" si="101"/>
        <v>3810.3158630095777</v>
      </c>
      <c r="F728">
        <f t="shared" si="104"/>
        <v>1</v>
      </c>
      <c r="G728">
        <f t="shared" si="105"/>
        <v>1</v>
      </c>
      <c r="H728">
        <f t="shared" si="106"/>
        <v>3810.3158630095777</v>
      </c>
      <c r="K728">
        <v>0.7</v>
      </c>
      <c r="L728">
        <f t="shared" si="102"/>
        <v>-3562.217289187407</v>
      </c>
      <c r="M728">
        <f t="shared" si="103"/>
        <v>4789.4874039312181</v>
      </c>
      <c r="N728">
        <f t="shared" si="107"/>
        <v>1</v>
      </c>
      <c r="O728">
        <f t="shared" si="108"/>
        <v>1</v>
      </c>
      <c r="P728">
        <f t="shared" si="109"/>
        <v>4789.4874039312181</v>
      </c>
    </row>
    <row r="729" spans="3:16" x14ac:dyDescent="0.25">
      <c r="C729">
        <v>0.70099999999999996</v>
      </c>
      <c r="D729">
        <f t="shared" si="100"/>
        <v>-3649.3654537790044</v>
      </c>
      <c r="E729">
        <f t="shared" si="101"/>
        <v>3807.6390237307205</v>
      </c>
      <c r="F729">
        <f t="shared" si="104"/>
        <v>1</v>
      </c>
      <c r="G729">
        <f t="shared" si="105"/>
        <v>1</v>
      </c>
      <c r="H729">
        <f t="shared" si="106"/>
        <v>3807.6390237307205</v>
      </c>
      <c r="K729">
        <v>0.70099999999999996</v>
      </c>
      <c r="L729">
        <f t="shared" si="102"/>
        <v>-3546.3654537790044</v>
      </c>
      <c r="M729">
        <f t="shared" si="103"/>
        <v>4786.1857108800095</v>
      </c>
      <c r="N729">
        <f t="shared" si="107"/>
        <v>1</v>
      </c>
      <c r="O729">
        <f t="shared" si="108"/>
        <v>1</v>
      </c>
      <c r="P729">
        <f t="shared" si="109"/>
        <v>4786.1857108800095</v>
      </c>
    </row>
    <row r="730" spans="3:16" x14ac:dyDescent="0.25">
      <c r="C730">
        <v>0.70199999999999996</v>
      </c>
      <c r="D730">
        <f t="shared" si="100"/>
        <v>-3636.5136183706018</v>
      </c>
      <c r="E730">
        <f t="shared" si="101"/>
        <v>3804.9621844518633</v>
      </c>
      <c r="F730">
        <f t="shared" si="104"/>
        <v>1</v>
      </c>
      <c r="G730">
        <f t="shared" si="105"/>
        <v>1</v>
      </c>
      <c r="H730">
        <f t="shared" si="106"/>
        <v>3804.9621844518633</v>
      </c>
      <c r="K730">
        <v>0.70199999999999996</v>
      </c>
      <c r="L730">
        <f t="shared" si="102"/>
        <v>-3530.5136183706018</v>
      </c>
      <c r="M730">
        <f t="shared" si="103"/>
        <v>4782.884017828801</v>
      </c>
      <c r="N730">
        <f t="shared" si="107"/>
        <v>1</v>
      </c>
      <c r="O730">
        <f t="shared" si="108"/>
        <v>1</v>
      </c>
      <c r="P730">
        <f t="shared" si="109"/>
        <v>4782.884017828801</v>
      </c>
    </row>
    <row r="731" spans="3:16" x14ac:dyDescent="0.25">
      <c r="C731">
        <v>0.70299999999999996</v>
      </c>
      <c r="D731">
        <f t="shared" si="100"/>
        <v>-3623.6617829621991</v>
      </c>
      <c r="E731">
        <f t="shared" si="101"/>
        <v>3802.2853451730057</v>
      </c>
      <c r="F731">
        <f t="shared" si="104"/>
        <v>1</v>
      </c>
      <c r="G731">
        <f t="shared" si="105"/>
        <v>1</v>
      </c>
      <c r="H731">
        <f t="shared" si="106"/>
        <v>3802.2853451730057</v>
      </c>
      <c r="K731">
        <v>0.70299999999999996</v>
      </c>
      <c r="L731">
        <f t="shared" si="102"/>
        <v>-3514.6617829621991</v>
      </c>
      <c r="M731">
        <f t="shared" si="103"/>
        <v>4779.5823247775934</v>
      </c>
      <c r="N731">
        <f t="shared" si="107"/>
        <v>1</v>
      </c>
      <c r="O731">
        <f t="shared" si="108"/>
        <v>1</v>
      </c>
      <c r="P731">
        <f t="shared" si="109"/>
        <v>4779.5823247775934</v>
      </c>
    </row>
    <row r="732" spans="3:16" x14ac:dyDescent="0.25">
      <c r="C732">
        <v>0.70399999999999996</v>
      </c>
      <c r="D732">
        <f t="shared" ref="D732:D795" si="110">-$J$23+($J$15+$J$23)*C732</f>
        <v>-3610.8099475537965</v>
      </c>
      <c r="E732">
        <f t="shared" ref="E732:E795" si="111">$J$12-$J$11*D732</f>
        <v>3799.6085058941485</v>
      </c>
      <c r="F732">
        <f t="shared" si="104"/>
        <v>1</v>
      </c>
      <c r="G732">
        <f t="shared" si="105"/>
        <v>1</v>
      </c>
      <c r="H732">
        <f t="shared" si="106"/>
        <v>3799.6085058941485</v>
      </c>
      <c r="K732">
        <v>0.70399999999999996</v>
      </c>
      <c r="L732">
        <f t="shared" ref="L732:L795" si="112">-$M$23+($M$15+$M$23)*K732</f>
        <v>-3498.8099475537965</v>
      </c>
      <c r="M732">
        <f t="shared" ref="M732:M795" si="113">$J$12-$J$11*L732+$E$18</f>
        <v>4776.2806317263858</v>
      </c>
      <c r="N732">
        <f t="shared" si="107"/>
        <v>1</v>
      </c>
      <c r="O732">
        <f t="shared" si="108"/>
        <v>1</v>
      </c>
      <c r="P732">
        <f t="shared" si="109"/>
        <v>4776.2806317263858</v>
      </c>
    </row>
    <row r="733" spans="3:16" x14ac:dyDescent="0.25">
      <c r="C733">
        <v>0.70499999999999996</v>
      </c>
      <c r="D733">
        <f t="shared" si="110"/>
        <v>-3597.9581121453939</v>
      </c>
      <c r="E733">
        <f t="shared" si="111"/>
        <v>3796.9316666152913</v>
      </c>
      <c r="F733">
        <f t="shared" ref="F733:F796" si="114">IF(D733&lt;$J$20,MAX(1-(D733-$J$20)^2/$J$22^2,0),1)</f>
        <v>1</v>
      </c>
      <c r="G733">
        <f t="shared" ref="G733:G796" si="115">IF(D733&gt;$J$17,MAX(1-(D733-$J$17)^2/($J$15-$J$17)^2,0),1)</f>
        <v>1</v>
      </c>
      <c r="H733">
        <f t="shared" ref="H733:H796" si="116">SQRT(E733^2*F733*G733)</f>
        <v>3796.9316666152913</v>
      </c>
      <c r="K733">
        <v>0.70499999999999996</v>
      </c>
      <c r="L733">
        <f t="shared" si="112"/>
        <v>-3482.9581121453939</v>
      </c>
      <c r="M733">
        <f t="shared" si="113"/>
        <v>4772.9789386751772</v>
      </c>
      <c r="N733">
        <f t="shared" ref="N733:N796" si="117">IF(L733&lt;$J$20,MAX(1-(L733-$J$20)^2/$M$22^2,0),1)</f>
        <v>1</v>
      </c>
      <c r="O733">
        <f t="shared" ref="O733:O796" si="118">IF(L733&gt;$J$17,MAX(1-(L733-$J$17)^2/($M$15-$J$17)^2,0),1)</f>
        <v>1</v>
      </c>
      <c r="P733">
        <f t="shared" ref="P733:P796" si="119">SQRT(M733^2*N733*O733)</f>
        <v>4772.9789386751772</v>
      </c>
    </row>
    <row r="734" spans="3:16" x14ac:dyDescent="0.25">
      <c r="C734">
        <v>0.70599999999999996</v>
      </c>
      <c r="D734">
        <f t="shared" si="110"/>
        <v>-3585.1062767369913</v>
      </c>
      <c r="E734">
        <f t="shared" si="111"/>
        <v>3794.2548273364337</v>
      </c>
      <c r="F734">
        <f t="shared" si="114"/>
        <v>1</v>
      </c>
      <c r="G734">
        <f t="shared" si="115"/>
        <v>1</v>
      </c>
      <c r="H734">
        <f t="shared" si="116"/>
        <v>3794.2548273364337</v>
      </c>
      <c r="K734">
        <v>0.70599999999999996</v>
      </c>
      <c r="L734">
        <f t="shared" si="112"/>
        <v>-3467.1062767369913</v>
      </c>
      <c r="M734">
        <f t="shared" si="113"/>
        <v>4769.6772456239687</v>
      </c>
      <c r="N734">
        <f t="shared" si="117"/>
        <v>1</v>
      </c>
      <c r="O734">
        <f t="shared" si="118"/>
        <v>1</v>
      </c>
      <c r="P734">
        <f t="shared" si="119"/>
        <v>4769.6772456239687</v>
      </c>
    </row>
    <row r="735" spans="3:16" x14ac:dyDescent="0.25">
      <c r="C735">
        <v>0.70699999999999996</v>
      </c>
      <c r="D735">
        <f t="shared" si="110"/>
        <v>-3572.2544413285887</v>
      </c>
      <c r="E735">
        <f t="shared" si="111"/>
        <v>3791.5779880575765</v>
      </c>
      <c r="F735">
        <f t="shared" si="114"/>
        <v>1</v>
      </c>
      <c r="G735">
        <f t="shared" si="115"/>
        <v>1</v>
      </c>
      <c r="H735">
        <f t="shared" si="116"/>
        <v>3791.5779880575765</v>
      </c>
      <c r="K735">
        <v>0.70699999999999996</v>
      </c>
      <c r="L735">
        <f t="shared" si="112"/>
        <v>-3451.2544413285887</v>
      </c>
      <c r="M735">
        <f t="shared" si="113"/>
        <v>4766.3755525727611</v>
      </c>
      <c r="N735">
        <f t="shared" si="117"/>
        <v>1</v>
      </c>
      <c r="O735">
        <f t="shared" si="118"/>
        <v>1</v>
      </c>
      <c r="P735">
        <f t="shared" si="119"/>
        <v>4766.3755525727611</v>
      </c>
    </row>
    <row r="736" spans="3:16" x14ac:dyDescent="0.25">
      <c r="C736">
        <v>0.70799999999999996</v>
      </c>
      <c r="D736">
        <f t="shared" si="110"/>
        <v>-3559.402605920186</v>
      </c>
      <c r="E736">
        <f t="shared" si="111"/>
        <v>3788.9011487787193</v>
      </c>
      <c r="F736">
        <f t="shared" si="114"/>
        <v>1</v>
      </c>
      <c r="G736">
        <f t="shared" si="115"/>
        <v>1</v>
      </c>
      <c r="H736">
        <f t="shared" si="116"/>
        <v>3788.9011487787193</v>
      </c>
      <c r="K736">
        <v>0.70799999999999996</v>
      </c>
      <c r="L736">
        <f t="shared" si="112"/>
        <v>-3435.4026059201879</v>
      </c>
      <c r="M736">
        <f t="shared" si="113"/>
        <v>4763.0738595215535</v>
      </c>
      <c r="N736">
        <f t="shared" si="117"/>
        <v>1</v>
      </c>
      <c r="O736">
        <f t="shared" si="118"/>
        <v>1</v>
      </c>
      <c r="P736">
        <f t="shared" si="119"/>
        <v>4763.0738595215535</v>
      </c>
    </row>
    <row r="737" spans="3:16" x14ac:dyDescent="0.25">
      <c r="C737">
        <v>0.70899999999999996</v>
      </c>
      <c r="D737">
        <f t="shared" si="110"/>
        <v>-3546.5507705117852</v>
      </c>
      <c r="E737">
        <f t="shared" si="111"/>
        <v>3786.2243094998621</v>
      </c>
      <c r="F737">
        <f t="shared" si="114"/>
        <v>1</v>
      </c>
      <c r="G737">
        <f t="shared" si="115"/>
        <v>1</v>
      </c>
      <c r="H737">
        <f t="shared" si="116"/>
        <v>3786.2243094998621</v>
      </c>
      <c r="K737">
        <v>0.70899999999999996</v>
      </c>
      <c r="L737">
        <f t="shared" si="112"/>
        <v>-3419.5507705117852</v>
      </c>
      <c r="M737">
        <f t="shared" si="113"/>
        <v>4759.7721664703458</v>
      </c>
      <c r="N737">
        <f t="shared" si="117"/>
        <v>1</v>
      </c>
      <c r="O737">
        <f t="shared" si="118"/>
        <v>1</v>
      </c>
      <c r="P737">
        <f t="shared" si="119"/>
        <v>4759.7721664703458</v>
      </c>
    </row>
    <row r="738" spans="3:16" x14ac:dyDescent="0.25">
      <c r="C738">
        <v>0.71</v>
      </c>
      <c r="D738">
        <f t="shared" si="110"/>
        <v>-3533.6989351033826</v>
      </c>
      <c r="E738">
        <f t="shared" si="111"/>
        <v>3783.5474702210049</v>
      </c>
      <c r="F738">
        <f t="shared" si="114"/>
        <v>1</v>
      </c>
      <c r="G738">
        <f t="shared" si="115"/>
        <v>1</v>
      </c>
      <c r="H738">
        <f t="shared" si="116"/>
        <v>3783.5474702210049</v>
      </c>
      <c r="K738">
        <v>0.71</v>
      </c>
      <c r="L738">
        <f t="shared" si="112"/>
        <v>-3403.6989351033826</v>
      </c>
      <c r="M738">
        <f t="shared" si="113"/>
        <v>4756.4704734191373</v>
      </c>
      <c r="N738">
        <f t="shared" si="117"/>
        <v>1</v>
      </c>
      <c r="O738">
        <f t="shared" si="118"/>
        <v>1</v>
      </c>
      <c r="P738">
        <f t="shared" si="119"/>
        <v>4756.4704734191373</v>
      </c>
    </row>
    <row r="739" spans="3:16" x14ac:dyDescent="0.25">
      <c r="C739">
        <v>0.71099999999999997</v>
      </c>
      <c r="D739">
        <f t="shared" si="110"/>
        <v>-3520.84709969498</v>
      </c>
      <c r="E739">
        <f t="shared" si="111"/>
        <v>3780.8706309421477</v>
      </c>
      <c r="F739">
        <f t="shared" si="114"/>
        <v>1</v>
      </c>
      <c r="G739">
        <f t="shared" si="115"/>
        <v>1</v>
      </c>
      <c r="H739">
        <f t="shared" si="116"/>
        <v>3780.8706309421477</v>
      </c>
      <c r="K739">
        <v>0.71099999999999997</v>
      </c>
      <c r="L739">
        <f t="shared" si="112"/>
        <v>-3387.84709969498</v>
      </c>
      <c r="M739">
        <f t="shared" si="113"/>
        <v>4753.1687803679288</v>
      </c>
      <c r="N739">
        <f t="shared" si="117"/>
        <v>1</v>
      </c>
      <c r="O739">
        <f t="shared" si="118"/>
        <v>1</v>
      </c>
      <c r="P739">
        <f t="shared" si="119"/>
        <v>4753.1687803679288</v>
      </c>
    </row>
    <row r="740" spans="3:16" x14ac:dyDescent="0.25">
      <c r="C740">
        <v>0.71199999999999997</v>
      </c>
      <c r="D740">
        <f t="shared" si="110"/>
        <v>-3507.9952642865774</v>
      </c>
      <c r="E740">
        <f t="shared" si="111"/>
        <v>3778.1937916632905</v>
      </c>
      <c r="F740">
        <f t="shared" si="114"/>
        <v>1</v>
      </c>
      <c r="G740">
        <f t="shared" si="115"/>
        <v>1</v>
      </c>
      <c r="H740">
        <f t="shared" si="116"/>
        <v>3778.1937916632905</v>
      </c>
      <c r="K740">
        <v>0.71199999999999997</v>
      </c>
      <c r="L740">
        <f t="shared" si="112"/>
        <v>-3371.9952642865774</v>
      </c>
      <c r="M740">
        <f t="shared" si="113"/>
        <v>4749.8670873167212</v>
      </c>
      <c r="N740">
        <f t="shared" si="117"/>
        <v>1</v>
      </c>
      <c r="O740">
        <f t="shared" si="118"/>
        <v>1</v>
      </c>
      <c r="P740">
        <f t="shared" si="119"/>
        <v>4749.8670873167212</v>
      </c>
    </row>
    <row r="741" spans="3:16" x14ac:dyDescent="0.25">
      <c r="C741">
        <v>0.71299999999999997</v>
      </c>
      <c r="D741">
        <f t="shared" si="110"/>
        <v>-3495.1434288781747</v>
      </c>
      <c r="E741">
        <f t="shared" si="111"/>
        <v>3775.5169523844334</v>
      </c>
      <c r="F741">
        <f t="shared" si="114"/>
        <v>1</v>
      </c>
      <c r="G741">
        <f t="shared" si="115"/>
        <v>1</v>
      </c>
      <c r="H741">
        <f t="shared" si="116"/>
        <v>3775.5169523844334</v>
      </c>
      <c r="K741">
        <v>0.71299999999999997</v>
      </c>
      <c r="L741">
        <f t="shared" si="112"/>
        <v>-3356.1434288781747</v>
      </c>
      <c r="M741">
        <f t="shared" si="113"/>
        <v>4746.5653942655126</v>
      </c>
      <c r="N741">
        <f t="shared" si="117"/>
        <v>1</v>
      </c>
      <c r="O741">
        <f t="shared" si="118"/>
        <v>1</v>
      </c>
      <c r="P741">
        <f t="shared" si="119"/>
        <v>4746.5653942655126</v>
      </c>
    </row>
    <row r="742" spans="3:16" x14ac:dyDescent="0.25">
      <c r="C742">
        <v>0.71399999999999997</v>
      </c>
      <c r="D742">
        <f t="shared" si="110"/>
        <v>-3482.2915934697721</v>
      </c>
      <c r="E742">
        <f t="shared" si="111"/>
        <v>3772.8401131055757</v>
      </c>
      <c r="F742">
        <f t="shared" si="114"/>
        <v>1</v>
      </c>
      <c r="G742">
        <f t="shared" si="115"/>
        <v>1</v>
      </c>
      <c r="H742">
        <f t="shared" si="116"/>
        <v>3772.8401131055757</v>
      </c>
      <c r="K742">
        <v>0.71399999999999997</v>
      </c>
      <c r="L742">
        <f t="shared" si="112"/>
        <v>-3340.2915934697721</v>
      </c>
      <c r="M742">
        <f t="shared" si="113"/>
        <v>4743.2637012143041</v>
      </c>
      <c r="N742">
        <f t="shared" si="117"/>
        <v>1</v>
      </c>
      <c r="O742">
        <f t="shared" si="118"/>
        <v>1</v>
      </c>
      <c r="P742">
        <f t="shared" si="119"/>
        <v>4743.2637012143041</v>
      </c>
    </row>
    <row r="743" spans="3:16" x14ac:dyDescent="0.25">
      <c r="C743">
        <v>0.71499999999999997</v>
      </c>
      <c r="D743">
        <f t="shared" si="110"/>
        <v>-3469.4397580613695</v>
      </c>
      <c r="E743">
        <f t="shared" si="111"/>
        <v>3770.1632738267185</v>
      </c>
      <c r="F743">
        <f t="shared" si="114"/>
        <v>1</v>
      </c>
      <c r="G743">
        <f t="shared" si="115"/>
        <v>1</v>
      </c>
      <c r="H743">
        <f t="shared" si="116"/>
        <v>3770.1632738267185</v>
      </c>
      <c r="K743">
        <v>0.71499999999999997</v>
      </c>
      <c r="L743">
        <f t="shared" si="112"/>
        <v>-3324.4397580613695</v>
      </c>
      <c r="M743">
        <f t="shared" si="113"/>
        <v>4739.9620081630965</v>
      </c>
      <c r="N743">
        <f t="shared" si="117"/>
        <v>1</v>
      </c>
      <c r="O743">
        <f t="shared" si="118"/>
        <v>1</v>
      </c>
      <c r="P743">
        <f t="shared" si="119"/>
        <v>4739.9620081630965</v>
      </c>
    </row>
    <row r="744" spans="3:16" x14ac:dyDescent="0.25">
      <c r="C744">
        <v>0.71599999999999997</v>
      </c>
      <c r="D744">
        <f t="shared" si="110"/>
        <v>-3456.5879226529669</v>
      </c>
      <c r="E744">
        <f t="shared" si="111"/>
        <v>3767.4864345478613</v>
      </c>
      <c r="F744">
        <f t="shared" si="114"/>
        <v>1</v>
      </c>
      <c r="G744">
        <f t="shared" si="115"/>
        <v>1</v>
      </c>
      <c r="H744">
        <f t="shared" si="116"/>
        <v>3767.4864345478613</v>
      </c>
      <c r="K744">
        <v>0.71599999999999997</v>
      </c>
      <c r="L744">
        <f t="shared" si="112"/>
        <v>-3308.5879226529669</v>
      </c>
      <c r="M744">
        <f t="shared" si="113"/>
        <v>4736.6603151118888</v>
      </c>
      <c r="N744">
        <f t="shared" si="117"/>
        <v>1</v>
      </c>
      <c r="O744">
        <f t="shared" si="118"/>
        <v>1</v>
      </c>
      <c r="P744">
        <f t="shared" si="119"/>
        <v>4736.6603151118888</v>
      </c>
    </row>
    <row r="745" spans="3:16" x14ac:dyDescent="0.25">
      <c r="C745">
        <v>0.71699999999999997</v>
      </c>
      <c r="D745">
        <f t="shared" si="110"/>
        <v>-3443.7360872445643</v>
      </c>
      <c r="E745">
        <f t="shared" si="111"/>
        <v>3764.8095952690037</v>
      </c>
      <c r="F745">
        <f t="shared" si="114"/>
        <v>1</v>
      </c>
      <c r="G745">
        <f t="shared" si="115"/>
        <v>1</v>
      </c>
      <c r="H745">
        <f t="shared" si="116"/>
        <v>3764.8095952690037</v>
      </c>
      <c r="K745">
        <v>0.71699999999999997</v>
      </c>
      <c r="L745">
        <f t="shared" si="112"/>
        <v>-3292.7360872445643</v>
      </c>
      <c r="M745">
        <f t="shared" si="113"/>
        <v>4733.3586220606803</v>
      </c>
      <c r="N745">
        <f t="shared" si="117"/>
        <v>1</v>
      </c>
      <c r="O745">
        <f t="shared" si="118"/>
        <v>1</v>
      </c>
      <c r="P745">
        <f t="shared" si="119"/>
        <v>4733.3586220606803</v>
      </c>
    </row>
    <row r="746" spans="3:16" x14ac:dyDescent="0.25">
      <c r="C746">
        <v>0.71799999999999997</v>
      </c>
      <c r="D746">
        <f t="shared" si="110"/>
        <v>-3430.8842518361616</v>
      </c>
      <c r="E746">
        <f t="shared" si="111"/>
        <v>3762.1327559901465</v>
      </c>
      <c r="F746">
        <f t="shared" si="114"/>
        <v>1</v>
      </c>
      <c r="G746">
        <f t="shared" si="115"/>
        <v>1</v>
      </c>
      <c r="H746">
        <f t="shared" si="116"/>
        <v>3762.1327559901465</v>
      </c>
      <c r="K746">
        <v>0.71799999999999997</v>
      </c>
      <c r="L746">
        <f t="shared" si="112"/>
        <v>-3276.8842518361616</v>
      </c>
      <c r="M746">
        <f t="shared" si="113"/>
        <v>4730.0569290094718</v>
      </c>
      <c r="N746">
        <f t="shared" si="117"/>
        <v>1</v>
      </c>
      <c r="O746">
        <f t="shared" si="118"/>
        <v>1</v>
      </c>
      <c r="P746">
        <f t="shared" si="119"/>
        <v>4730.0569290094718</v>
      </c>
    </row>
    <row r="747" spans="3:16" x14ac:dyDescent="0.25">
      <c r="C747">
        <v>0.71899999999999997</v>
      </c>
      <c r="D747">
        <f t="shared" si="110"/>
        <v>-3418.032416427759</v>
      </c>
      <c r="E747">
        <f t="shared" si="111"/>
        <v>3759.4559167112893</v>
      </c>
      <c r="F747">
        <f t="shared" si="114"/>
        <v>1</v>
      </c>
      <c r="G747">
        <f t="shared" si="115"/>
        <v>1</v>
      </c>
      <c r="H747">
        <f t="shared" si="116"/>
        <v>3759.4559167112893</v>
      </c>
      <c r="K747">
        <v>0.71899999999999997</v>
      </c>
      <c r="L747">
        <f t="shared" si="112"/>
        <v>-3261.032416427759</v>
      </c>
      <c r="M747">
        <f t="shared" si="113"/>
        <v>4726.7552359582642</v>
      </c>
      <c r="N747">
        <f t="shared" si="117"/>
        <v>1</v>
      </c>
      <c r="O747">
        <f t="shared" si="118"/>
        <v>1</v>
      </c>
      <c r="P747">
        <f t="shared" si="119"/>
        <v>4726.7552359582642</v>
      </c>
    </row>
    <row r="748" spans="3:16" x14ac:dyDescent="0.25">
      <c r="C748">
        <v>0.72</v>
      </c>
      <c r="D748">
        <f t="shared" si="110"/>
        <v>-3405.1805810193564</v>
      </c>
      <c r="E748">
        <f t="shared" si="111"/>
        <v>3756.7790774324321</v>
      </c>
      <c r="F748">
        <f t="shared" si="114"/>
        <v>1</v>
      </c>
      <c r="G748">
        <f t="shared" si="115"/>
        <v>1</v>
      </c>
      <c r="H748">
        <f t="shared" si="116"/>
        <v>3756.7790774324321</v>
      </c>
      <c r="K748">
        <v>0.72</v>
      </c>
      <c r="L748">
        <f t="shared" si="112"/>
        <v>-3245.1805810193564</v>
      </c>
      <c r="M748">
        <f t="shared" si="113"/>
        <v>4723.4535429070565</v>
      </c>
      <c r="N748">
        <f t="shared" si="117"/>
        <v>1</v>
      </c>
      <c r="O748">
        <f t="shared" si="118"/>
        <v>1</v>
      </c>
      <c r="P748">
        <f t="shared" si="119"/>
        <v>4723.4535429070565</v>
      </c>
    </row>
    <row r="749" spans="3:16" x14ac:dyDescent="0.25">
      <c r="C749">
        <v>0.72099999999999997</v>
      </c>
      <c r="D749">
        <f t="shared" si="110"/>
        <v>-3392.3287456109538</v>
      </c>
      <c r="E749">
        <f t="shared" si="111"/>
        <v>3754.1022381535745</v>
      </c>
      <c r="F749">
        <f t="shared" si="114"/>
        <v>1</v>
      </c>
      <c r="G749">
        <f t="shared" si="115"/>
        <v>1</v>
      </c>
      <c r="H749">
        <f t="shared" si="116"/>
        <v>3754.1022381535745</v>
      </c>
      <c r="K749">
        <v>0.72099999999999997</v>
      </c>
      <c r="L749">
        <f t="shared" si="112"/>
        <v>-3229.3287456109556</v>
      </c>
      <c r="M749">
        <f t="shared" si="113"/>
        <v>4720.1518498558489</v>
      </c>
      <c r="N749">
        <f t="shared" si="117"/>
        <v>1</v>
      </c>
      <c r="O749">
        <f t="shared" si="118"/>
        <v>1</v>
      </c>
      <c r="P749">
        <f t="shared" si="119"/>
        <v>4720.1518498558489</v>
      </c>
    </row>
    <row r="750" spans="3:16" x14ac:dyDescent="0.25">
      <c r="C750">
        <v>0.72199999999999998</v>
      </c>
      <c r="D750">
        <f t="shared" si="110"/>
        <v>-3379.476910202553</v>
      </c>
      <c r="E750">
        <f t="shared" si="111"/>
        <v>3751.4253988747178</v>
      </c>
      <c r="F750">
        <f t="shared" si="114"/>
        <v>1</v>
      </c>
      <c r="G750">
        <f t="shared" si="115"/>
        <v>1</v>
      </c>
      <c r="H750">
        <f t="shared" si="116"/>
        <v>3751.4253988747178</v>
      </c>
      <c r="K750">
        <v>0.72199999999999998</v>
      </c>
      <c r="L750">
        <f t="shared" si="112"/>
        <v>-3213.476910202553</v>
      </c>
      <c r="M750">
        <f t="shared" si="113"/>
        <v>4716.8501568046404</v>
      </c>
      <c r="N750">
        <f t="shared" si="117"/>
        <v>1</v>
      </c>
      <c r="O750">
        <f t="shared" si="118"/>
        <v>1</v>
      </c>
      <c r="P750">
        <f t="shared" si="119"/>
        <v>4716.8501568046404</v>
      </c>
    </row>
    <row r="751" spans="3:16" x14ac:dyDescent="0.25">
      <c r="C751">
        <v>0.72299999999999998</v>
      </c>
      <c r="D751">
        <f t="shared" si="110"/>
        <v>-3366.6250747941504</v>
      </c>
      <c r="E751">
        <f t="shared" si="111"/>
        <v>3748.7485595958606</v>
      </c>
      <c r="F751">
        <f t="shared" si="114"/>
        <v>1</v>
      </c>
      <c r="G751">
        <f t="shared" si="115"/>
        <v>1</v>
      </c>
      <c r="H751">
        <f t="shared" si="116"/>
        <v>3748.7485595958606</v>
      </c>
      <c r="K751">
        <v>0.72299999999999998</v>
      </c>
      <c r="L751">
        <f t="shared" si="112"/>
        <v>-3197.6250747941504</v>
      </c>
      <c r="M751">
        <f t="shared" si="113"/>
        <v>4713.5484637534319</v>
      </c>
      <c r="N751">
        <f t="shared" si="117"/>
        <v>1</v>
      </c>
      <c r="O751">
        <f t="shared" si="118"/>
        <v>1</v>
      </c>
      <c r="P751">
        <f t="shared" si="119"/>
        <v>4713.5484637534319</v>
      </c>
    </row>
    <row r="752" spans="3:16" x14ac:dyDescent="0.25">
      <c r="C752">
        <v>0.72399999999999998</v>
      </c>
      <c r="D752">
        <f t="shared" si="110"/>
        <v>-3353.7732393857477</v>
      </c>
      <c r="E752">
        <f t="shared" si="111"/>
        <v>3746.0717203170029</v>
      </c>
      <c r="F752">
        <f t="shared" si="114"/>
        <v>1</v>
      </c>
      <c r="G752">
        <f t="shared" si="115"/>
        <v>1</v>
      </c>
      <c r="H752">
        <f t="shared" si="116"/>
        <v>3746.0717203170029</v>
      </c>
      <c r="K752">
        <v>0.72399999999999998</v>
      </c>
      <c r="L752">
        <f t="shared" si="112"/>
        <v>-3181.7732393857477</v>
      </c>
      <c r="M752">
        <f t="shared" si="113"/>
        <v>4710.2467707022242</v>
      </c>
      <c r="N752">
        <f t="shared" si="117"/>
        <v>1</v>
      </c>
      <c r="O752">
        <f t="shared" si="118"/>
        <v>1</v>
      </c>
      <c r="P752">
        <f t="shared" si="119"/>
        <v>4710.2467707022242</v>
      </c>
    </row>
    <row r="753" spans="3:16" x14ac:dyDescent="0.25">
      <c r="C753">
        <v>0.72499999999999998</v>
      </c>
      <c r="D753">
        <f t="shared" si="110"/>
        <v>-3340.9214039773451</v>
      </c>
      <c r="E753">
        <f t="shared" si="111"/>
        <v>3743.3948810381457</v>
      </c>
      <c r="F753">
        <f t="shared" si="114"/>
        <v>1</v>
      </c>
      <c r="G753">
        <f t="shared" si="115"/>
        <v>1</v>
      </c>
      <c r="H753">
        <f t="shared" si="116"/>
        <v>3743.3948810381457</v>
      </c>
      <c r="K753">
        <v>0.72499999999999998</v>
      </c>
      <c r="L753">
        <f t="shared" si="112"/>
        <v>-3165.9214039773451</v>
      </c>
      <c r="M753">
        <f t="shared" si="113"/>
        <v>4706.9450776510157</v>
      </c>
      <c r="N753">
        <f t="shared" si="117"/>
        <v>1</v>
      </c>
      <c r="O753">
        <f t="shared" si="118"/>
        <v>1</v>
      </c>
      <c r="P753">
        <f t="shared" si="119"/>
        <v>4706.9450776510157</v>
      </c>
    </row>
    <row r="754" spans="3:16" x14ac:dyDescent="0.25">
      <c r="C754">
        <v>0.72599999999999998</v>
      </c>
      <c r="D754">
        <f t="shared" si="110"/>
        <v>-3328.0695685689425</v>
      </c>
      <c r="E754">
        <f t="shared" si="111"/>
        <v>3740.7180417592886</v>
      </c>
      <c r="F754">
        <f t="shared" si="114"/>
        <v>1</v>
      </c>
      <c r="G754">
        <f t="shared" si="115"/>
        <v>1</v>
      </c>
      <c r="H754">
        <f t="shared" si="116"/>
        <v>3740.7180417592886</v>
      </c>
      <c r="K754">
        <v>0.72599999999999998</v>
      </c>
      <c r="L754">
        <f t="shared" si="112"/>
        <v>-3150.0695685689425</v>
      </c>
      <c r="M754">
        <f t="shared" si="113"/>
        <v>4703.6433845998072</v>
      </c>
      <c r="N754">
        <f t="shared" si="117"/>
        <v>1</v>
      </c>
      <c r="O754">
        <f t="shared" si="118"/>
        <v>1</v>
      </c>
      <c r="P754">
        <f t="shared" si="119"/>
        <v>4703.6433845998072</v>
      </c>
    </row>
    <row r="755" spans="3:16" x14ac:dyDescent="0.25">
      <c r="C755">
        <v>0.72699999999999998</v>
      </c>
      <c r="D755">
        <f t="shared" si="110"/>
        <v>-3315.2177331605399</v>
      </c>
      <c r="E755">
        <f t="shared" si="111"/>
        <v>3738.0412024804309</v>
      </c>
      <c r="F755">
        <f t="shared" si="114"/>
        <v>1</v>
      </c>
      <c r="G755">
        <f t="shared" si="115"/>
        <v>1</v>
      </c>
      <c r="H755">
        <f t="shared" si="116"/>
        <v>3738.0412024804309</v>
      </c>
      <c r="K755">
        <v>0.72699999999999998</v>
      </c>
      <c r="L755">
        <f t="shared" si="112"/>
        <v>-3134.2177331605399</v>
      </c>
      <c r="M755">
        <f t="shared" si="113"/>
        <v>4700.3416915485996</v>
      </c>
      <c r="N755">
        <f t="shared" si="117"/>
        <v>1</v>
      </c>
      <c r="O755">
        <f t="shared" si="118"/>
        <v>1</v>
      </c>
      <c r="P755">
        <f t="shared" si="119"/>
        <v>4700.3416915485996</v>
      </c>
    </row>
    <row r="756" spans="3:16" x14ac:dyDescent="0.25">
      <c r="C756">
        <v>0.72799999999999998</v>
      </c>
      <c r="D756">
        <f t="shared" si="110"/>
        <v>-3302.3658977521372</v>
      </c>
      <c r="E756">
        <f t="shared" si="111"/>
        <v>3735.3643632015737</v>
      </c>
      <c r="F756">
        <f t="shared" si="114"/>
        <v>1</v>
      </c>
      <c r="G756">
        <f t="shared" si="115"/>
        <v>1</v>
      </c>
      <c r="H756">
        <f t="shared" si="116"/>
        <v>3735.3643632015737</v>
      </c>
      <c r="K756">
        <v>0.72799999999999998</v>
      </c>
      <c r="L756">
        <f t="shared" si="112"/>
        <v>-3118.3658977521372</v>
      </c>
      <c r="M756">
        <f t="shared" si="113"/>
        <v>4697.0399984973919</v>
      </c>
      <c r="N756">
        <f t="shared" si="117"/>
        <v>1</v>
      </c>
      <c r="O756">
        <f t="shared" si="118"/>
        <v>1</v>
      </c>
      <c r="P756">
        <f t="shared" si="119"/>
        <v>4697.0399984973919</v>
      </c>
    </row>
    <row r="757" spans="3:16" x14ac:dyDescent="0.25">
      <c r="C757">
        <v>0.72899999999999998</v>
      </c>
      <c r="D757">
        <f t="shared" si="110"/>
        <v>-3289.5140623437346</v>
      </c>
      <c r="E757">
        <f t="shared" si="111"/>
        <v>3732.6875239227165</v>
      </c>
      <c r="F757">
        <f t="shared" si="114"/>
        <v>1</v>
      </c>
      <c r="G757">
        <f t="shared" si="115"/>
        <v>1</v>
      </c>
      <c r="H757">
        <f t="shared" si="116"/>
        <v>3732.6875239227165</v>
      </c>
      <c r="K757">
        <v>0.72899999999999998</v>
      </c>
      <c r="L757">
        <f t="shared" si="112"/>
        <v>-3102.5140623437346</v>
      </c>
      <c r="M757">
        <f t="shared" si="113"/>
        <v>4693.7383054461834</v>
      </c>
      <c r="N757">
        <f t="shared" si="117"/>
        <v>1</v>
      </c>
      <c r="O757">
        <f t="shared" si="118"/>
        <v>1</v>
      </c>
      <c r="P757">
        <f t="shared" si="119"/>
        <v>4693.7383054461834</v>
      </c>
    </row>
    <row r="758" spans="3:16" x14ac:dyDescent="0.25">
      <c r="C758">
        <v>0.73</v>
      </c>
      <c r="D758">
        <f t="shared" si="110"/>
        <v>-3276.662226935332</v>
      </c>
      <c r="E758">
        <f t="shared" si="111"/>
        <v>3730.0106846438593</v>
      </c>
      <c r="F758">
        <f t="shared" si="114"/>
        <v>1</v>
      </c>
      <c r="G758">
        <f t="shared" si="115"/>
        <v>1</v>
      </c>
      <c r="H758">
        <f t="shared" si="116"/>
        <v>3730.0106846438593</v>
      </c>
      <c r="K758">
        <v>0.73</v>
      </c>
      <c r="L758">
        <f t="shared" si="112"/>
        <v>-3086.662226935332</v>
      </c>
      <c r="M758">
        <f t="shared" si="113"/>
        <v>4690.4366123949749</v>
      </c>
      <c r="N758">
        <f t="shared" si="117"/>
        <v>1</v>
      </c>
      <c r="O758">
        <f t="shared" si="118"/>
        <v>1</v>
      </c>
      <c r="P758">
        <f t="shared" si="119"/>
        <v>4690.4366123949749</v>
      </c>
    </row>
    <row r="759" spans="3:16" x14ac:dyDescent="0.25">
      <c r="C759">
        <v>0.73099999999999998</v>
      </c>
      <c r="D759">
        <f t="shared" si="110"/>
        <v>-3263.8103915269294</v>
      </c>
      <c r="E759">
        <f t="shared" si="111"/>
        <v>3727.3338453650022</v>
      </c>
      <c r="F759">
        <f t="shared" si="114"/>
        <v>1</v>
      </c>
      <c r="G759">
        <f t="shared" si="115"/>
        <v>1</v>
      </c>
      <c r="H759">
        <f t="shared" si="116"/>
        <v>3727.3338453650022</v>
      </c>
      <c r="K759">
        <v>0.73099999999999998</v>
      </c>
      <c r="L759">
        <f t="shared" si="112"/>
        <v>-3070.8103915269294</v>
      </c>
      <c r="M759">
        <f t="shared" si="113"/>
        <v>4687.1349193437673</v>
      </c>
      <c r="N759">
        <f t="shared" si="117"/>
        <v>1</v>
      </c>
      <c r="O759">
        <f t="shared" si="118"/>
        <v>1</v>
      </c>
      <c r="P759">
        <f t="shared" si="119"/>
        <v>4687.1349193437673</v>
      </c>
    </row>
    <row r="760" spans="3:16" x14ac:dyDescent="0.25">
      <c r="C760">
        <v>0.73199999999999998</v>
      </c>
      <c r="D760">
        <f t="shared" si="110"/>
        <v>-3250.9585561185268</v>
      </c>
      <c r="E760">
        <f t="shared" si="111"/>
        <v>3724.6570060861445</v>
      </c>
      <c r="F760">
        <f t="shared" si="114"/>
        <v>1</v>
      </c>
      <c r="G760">
        <f t="shared" si="115"/>
        <v>1</v>
      </c>
      <c r="H760">
        <f t="shared" si="116"/>
        <v>3724.6570060861445</v>
      </c>
      <c r="K760">
        <v>0.73199999999999998</v>
      </c>
      <c r="L760">
        <f t="shared" si="112"/>
        <v>-3054.9585561185268</v>
      </c>
      <c r="M760">
        <f t="shared" si="113"/>
        <v>4683.8332262925596</v>
      </c>
      <c r="N760">
        <f t="shared" si="117"/>
        <v>1</v>
      </c>
      <c r="O760">
        <f t="shared" si="118"/>
        <v>1</v>
      </c>
      <c r="P760">
        <f t="shared" si="119"/>
        <v>4683.8332262925596</v>
      </c>
    </row>
    <row r="761" spans="3:16" x14ac:dyDescent="0.25">
      <c r="C761">
        <v>0.73299999999999998</v>
      </c>
      <c r="D761">
        <f t="shared" si="110"/>
        <v>-3238.1067207101241</v>
      </c>
      <c r="E761">
        <f t="shared" si="111"/>
        <v>3721.9801668072873</v>
      </c>
      <c r="F761">
        <f t="shared" si="114"/>
        <v>1</v>
      </c>
      <c r="G761">
        <f t="shared" si="115"/>
        <v>1</v>
      </c>
      <c r="H761">
        <f t="shared" si="116"/>
        <v>3721.9801668072873</v>
      </c>
      <c r="K761">
        <v>0.73299999999999998</v>
      </c>
      <c r="L761">
        <f t="shared" si="112"/>
        <v>-3039.1067207101241</v>
      </c>
      <c r="M761">
        <f t="shared" si="113"/>
        <v>4680.5315332413511</v>
      </c>
      <c r="N761">
        <f t="shared" si="117"/>
        <v>1</v>
      </c>
      <c r="O761">
        <f t="shared" si="118"/>
        <v>1</v>
      </c>
      <c r="P761">
        <f t="shared" si="119"/>
        <v>4680.5315332413511</v>
      </c>
    </row>
    <row r="762" spans="3:16" x14ac:dyDescent="0.25">
      <c r="C762">
        <v>0.73399999999999999</v>
      </c>
      <c r="D762">
        <f t="shared" si="110"/>
        <v>-3225.2548853017215</v>
      </c>
      <c r="E762">
        <f t="shared" si="111"/>
        <v>3719.3033275284297</v>
      </c>
      <c r="F762">
        <f t="shared" si="114"/>
        <v>1</v>
      </c>
      <c r="G762">
        <f t="shared" si="115"/>
        <v>1</v>
      </c>
      <c r="H762">
        <f t="shared" si="116"/>
        <v>3719.3033275284297</v>
      </c>
      <c r="K762">
        <v>0.73399999999999999</v>
      </c>
      <c r="L762">
        <f t="shared" si="112"/>
        <v>-3023.2548853017233</v>
      </c>
      <c r="M762">
        <f t="shared" si="113"/>
        <v>4677.2298401901435</v>
      </c>
      <c r="N762">
        <f t="shared" si="117"/>
        <v>1</v>
      </c>
      <c r="O762">
        <f t="shared" si="118"/>
        <v>1</v>
      </c>
      <c r="P762">
        <f t="shared" si="119"/>
        <v>4677.2298401901435</v>
      </c>
    </row>
    <row r="763" spans="3:16" x14ac:dyDescent="0.25">
      <c r="C763">
        <v>0.73499999999999999</v>
      </c>
      <c r="D763">
        <f t="shared" si="110"/>
        <v>-3212.4030498933207</v>
      </c>
      <c r="E763">
        <f t="shared" si="111"/>
        <v>3716.626488249573</v>
      </c>
      <c r="F763">
        <f t="shared" si="114"/>
        <v>1</v>
      </c>
      <c r="G763">
        <f t="shared" si="115"/>
        <v>1</v>
      </c>
      <c r="H763">
        <f t="shared" si="116"/>
        <v>3716.626488249573</v>
      </c>
      <c r="K763">
        <v>0.73499999999999999</v>
      </c>
      <c r="L763">
        <f t="shared" si="112"/>
        <v>-3007.4030498933207</v>
      </c>
      <c r="M763">
        <f t="shared" si="113"/>
        <v>4673.9281471389349</v>
      </c>
      <c r="N763">
        <f t="shared" si="117"/>
        <v>1</v>
      </c>
      <c r="O763">
        <f t="shared" si="118"/>
        <v>1</v>
      </c>
      <c r="P763">
        <f t="shared" si="119"/>
        <v>4673.9281471389349</v>
      </c>
    </row>
    <row r="764" spans="3:16" x14ac:dyDescent="0.25">
      <c r="C764">
        <v>0.73599999999999999</v>
      </c>
      <c r="D764">
        <f t="shared" si="110"/>
        <v>-3199.5512144849181</v>
      </c>
      <c r="E764">
        <f t="shared" si="111"/>
        <v>3713.9496489707158</v>
      </c>
      <c r="F764">
        <f t="shared" si="114"/>
        <v>1</v>
      </c>
      <c r="G764">
        <f t="shared" si="115"/>
        <v>1</v>
      </c>
      <c r="H764">
        <f t="shared" si="116"/>
        <v>3713.9496489707158</v>
      </c>
      <c r="K764">
        <v>0.73599999999999999</v>
      </c>
      <c r="L764">
        <f t="shared" si="112"/>
        <v>-2991.5512144849181</v>
      </c>
      <c r="M764">
        <f t="shared" si="113"/>
        <v>4670.6264540877273</v>
      </c>
      <c r="N764">
        <f t="shared" si="117"/>
        <v>1</v>
      </c>
      <c r="O764">
        <f t="shared" si="118"/>
        <v>1</v>
      </c>
      <c r="P764">
        <f t="shared" si="119"/>
        <v>4670.6264540877273</v>
      </c>
    </row>
    <row r="765" spans="3:16" x14ac:dyDescent="0.25">
      <c r="C765">
        <v>0.73699999999999999</v>
      </c>
      <c r="D765">
        <f t="shared" si="110"/>
        <v>-3186.6993790765155</v>
      </c>
      <c r="E765">
        <f t="shared" si="111"/>
        <v>3711.2728096918586</v>
      </c>
      <c r="F765">
        <f t="shared" si="114"/>
        <v>1</v>
      </c>
      <c r="G765">
        <f t="shared" si="115"/>
        <v>1</v>
      </c>
      <c r="H765">
        <f t="shared" si="116"/>
        <v>3711.2728096918586</v>
      </c>
      <c r="K765">
        <v>0.73699999999999999</v>
      </c>
      <c r="L765">
        <f t="shared" si="112"/>
        <v>-2975.6993790765155</v>
      </c>
      <c r="M765">
        <f t="shared" si="113"/>
        <v>4667.3247610365188</v>
      </c>
      <c r="N765">
        <f t="shared" si="117"/>
        <v>1</v>
      </c>
      <c r="O765">
        <f t="shared" si="118"/>
        <v>1</v>
      </c>
      <c r="P765">
        <f t="shared" si="119"/>
        <v>4667.3247610365188</v>
      </c>
    </row>
    <row r="766" spans="3:16" x14ac:dyDescent="0.25">
      <c r="C766">
        <v>0.73799999999999999</v>
      </c>
      <c r="D766">
        <f t="shared" si="110"/>
        <v>-3173.8475436681128</v>
      </c>
      <c r="E766">
        <f t="shared" si="111"/>
        <v>3708.5959704130009</v>
      </c>
      <c r="F766">
        <f t="shared" si="114"/>
        <v>1</v>
      </c>
      <c r="G766">
        <f t="shared" si="115"/>
        <v>1</v>
      </c>
      <c r="H766">
        <f t="shared" si="116"/>
        <v>3708.5959704130009</v>
      </c>
      <c r="K766">
        <v>0.73799999999999999</v>
      </c>
      <c r="L766">
        <f t="shared" si="112"/>
        <v>-2959.8475436681128</v>
      </c>
      <c r="M766">
        <f t="shared" si="113"/>
        <v>4664.0230679853103</v>
      </c>
      <c r="N766">
        <f t="shared" si="117"/>
        <v>1</v>
      </c>
      <c r="O766">
        <f t="shared" si="118"/>
        <v>1</v>
      </c>
      <c r="P766">
        <f t="shared" si="119"/>
        <v>4664.0230679853103</v>
      </c>
    </row>
    <row r="767" spans="3:16" x14ac:dyDescent="0.25">
      <c r="C767">
        <v>0.73899999999999999</v>
      </c>
      <c r="D767">
        <f t="shared" si="110"/>
        <v>-3160.9957082597102</v>
      </c>
      <c r="E767">
        <f t="shared" si="111"/>
        <v>3705.9191311341438</v>
      </c>
      <c r="F767">
        <f t="shared" si="114"/>
        <v>1</v>
      </c>
      <c r="G767">
        <f t="shared" si="115"/>
        <v>1</v>
      </c>
      <c r="H767">
        <f t="shared" si="116"/>
        <v>3705.9191311341438</v>
      </c>
      <c r="K767">
        <v>0.73899999999999999</v>
      </c>
      <c r="L767">
        <f t="shared" si="112"/>
        <v>-2943.9957082597102</v>
      </c>
      <c r="M767">
        <f t="shared" si="113"/>
        <v>4660.7213749341026</v>
      </c>
      <c r="N767">
        <f t="shared" si="117"/>
        <v>1</v>
      </c>
      <c r="O767">
        <f t="shared" si="118"/>
        <v>1</v>
      </c>
      <c r="P767">
        <f t="shared" si="119"/>
        <v>4660.7213749341026</v>
      </c>
    </row>
    <row r="768" spans="3:16" x14ac:dyDescent="0.25">
      <c r="C768">
        <v>0.74</v>
      </c>
      <c r="D768">
        <f t="shared" si="110"/>
        <v>-3148.1438728513076</v>
      </c>
      <c r="E768">
        <f t="shared" si="111"/>
        <v>3703.2422918552866</v>
      </c>
      <c r="F768">
        <f t="shared" si="114"/>
        <v>1</v>
      </c>
      <c r="G768">
        <f t="shared" si="115"/>
        <v>1</v>
      </c>
      <c r="H768">
        <f t="shared" si="116"/>
        <v>3703.2422918552866</v>
      </c>
      <c r="K768">
        <v>0.74</v>
      </c>
      <c r="L768">
        <f t="shared" si="112"/>
        <v>-2928.1438728513076</v>
      </c>
      <c r="M768">
        <f t="shared" si="113"/>
        <v>4657.419681882895</v>
      </c>
      <c r="N768">
        <f t="shared" si="117"/>
        <v>1</v>
      </c>
      <c r="O768">
        <f t="shared" si="118"/>
        <v>1</v>
      </c>
      <c r="P768">
        <f t="shared" si="119"/>
        <v>4657.419681882895</v>
      </c>
    </row>
    <row r="769" spans="3:16" x14ac:dyDescent="0.25">
      <c r="C769">
        <v>0.74099999999999999</v>
      </c>
      <c r="D769">
        <f t="shared" si="110"/>
        <v>-3135.292037442905</v>
      </c>
      <c r="E769">
        <f t="shared" si="111"/>
        <v>3700.5654525764294</v>
      </c>
      <c r="F769">
        <f t="shared" si="114"/>
        <v>1</v>
      </c>
      <c r="G769">
        <f t="shared" si="115"/>
        <v>1</v>
      </c>
      <c r="H769">
        <f t="shared" si="116"/>
        <v>3700.5654525764294</v>
      </c>
      <c r="K769">
        <v>0.74099999999999999</v>
      </c>
      <c r="L769">
        <f t="shared" si="112"/>
        <v>-2912.292037442905</v>
      </c>
      <c r="M769">
        <f t="shared" si="113"/>
        <v>4654.1179888316865</v>
      </c>
      <c r="N769">
        <f t="shared" si="117"/>
        <v>1</v>
      </c>
      <c r="O769">
        <f t="shared" si="118"/>
        <v>1</v>
      </c>
      <c r="P769">
        <f t="shared" si="119"/>
        <v>4654.1179888316865</v>
      </c>
    </row>
    <row r="770" spans="3:16" x14ac:dyDescent="0.25">
      <c r="C770">
        <v>0.74199999999999999</v>
      </c>
      <c r="D770">
        <f t="shared" si="110"/>
        <v>-3122.4402020345024</v>
      </c>
      <c r="E770">
        <f t="shared" si="111"/>
        <v>3697.8886132975717</v>
      </c>
      <c r="F770">
        <f t="shared" si="114"/>
        <v>1</v>
      </c>
      <c r="G770">
        <f t="shared" si="115"/>
        <v>1</v>
      </c>
      <c r="H770">
        <f t="shared" si="116"/>
        <v>3697.8886132975717</v>
      </c>
      <c r="K770">
        <v>0.74199999999999999</v>
      </c>
      <c r="L770">
        <f t="shared" si="112"/>
        <v>-2896.4402020345024</v>
      </c>
      <c r="M770">
        <f t="shared" si="113"/>
        <v>4650.816295780478</v>
      </c>
      <c r="N770">
        <f t="shared" si="117"/>
        <v>1</v>
      </c>
      <c r="O770">
        <f t="shared" si="118"/>
        <v>1</v>
      </c>
      <c r="P770">
        <f t="shared" si="119"/>
        <v>4650.816295780478</v>
      </c>
    </row>
    <row r="771" spans="3:16" x14ac:dyDescent="0.25">
      <c r="C771">
        <v>0.74299999999999999</v>
      </c>
      <c r="D771">
        <f t="shared" si="110"/>
        <v>-3109.5883666260997</v>
      </c>
      <c r="E771">
        <f t="shared" si="111"/>
        <v>3695.2117740187146</v>
      </c>
      <c r="F771">
        <f t="shared" si="114"/>
        <v>1</v>
      </c>
      <c r="G771">
        <f t="shared" si="115"/>
        <v>1</v>
      </c>
      <c r="H771">
        <f t="shared" si="116"/>
        <v>3695.2117740187146</v>
      </c>
      <c r="K771">
        <v>0.74299999999999999</v>
      </c>
      <c r="L771">
        <f t="shared" si="112"/>
        <v>-2880.5883666260997</v>
      </c>
      <c r="M771">
        <f t="shared" si="113"/>
        <v>4647.5146027292703</v>
      </c>
      <c r="N771">
        <f t="shared" si="117"/>
        <v>1</v>
      </c>
      <c r="O771">
        <f t="shared" si="118"/>
        <v>1</v>
      </c>
      <c r="P771">
        <f t="shared" si="119"/>
        <v>4647.5146027292703</v>
      </c>
    </row>
    <row r="772" spans="3:16" x14ac:dyDescent="0.25">
      <c r="C772">
        <v>0.74399999999999999</v>
      </c>
      <c r="D772">
        <f t="shared" si="110"/>
        <v>-3096.7365312176971</v>
      </c>
      <c r="E772">
        <f t="shared" si="111"/>
        <v>3692.5349347398574</v>
      </c>
      <c r="F772">
        <f t="shared" si="114"/>
        <v>1</v>
      </c>
      <c r="G772">
        <f t="shared" si="115"/>
        <v>1</v>
      </c>
      <c r="H772">
        <f t="shared" si="116"/>
        <v>3692.5349347398574</v>
      </c>
      <c r="K772">
        <v>0.74399999999999999</v>
      </c>
      <c r="L772">
        <f t="shared" si="112"/>
        <v>-2864.7365312176971</v>
      </c>
      <c r="M772">
        <f t="shared" si="113"/>
        <v>4644.2129096780627</v>
      </c>
      <c r="N772">
        <f t="shared" si="117"/>
        <v>1</v>
      </c>
      <c r="O772">
        <f t="shared" si="118"/>
        <v>1</v>
      </c>
      <c r="P772">
        <f t="shared" si="119"/>
        <v>4644.2129096780627</v>
      </c>
    </row>
    <row r="773" spans="3:16" x14ac:dyDescent="0.25">
      <c r="C773">
        <v>0.745</v>
      </c>
      <c r="D773">
        <f t="shared" si="110"/>
        <v>-3083.8846958092945</v>
      </c>
      <c r="E773">
        <f t="shared" si="111"/>
        <v>3689.8580954609997</v>
      </c>
      <c r="F773">
        <f t="shared" si="114"/>
        <v>1</v>
      </c>
      <c r="G773">
        <f t="shared" si="115"/>
        <v>1</v>
      </c>
      <c r="H773">
        <f t="shared" si="116"/>
        <v>3689.8580954609997</v>
      </c>
      <c r="K773">
        <v>0.745</v>
      </c>
      <c r="L773">
        <f t="shared" si="112"/>
        <v>-2848.8846958092945</v>
      </c>
      <c r="M773">
        <f t="shared" si="113"/>
        <v>4640.9112166268542</v>
      </c>
      <c r="N773">
        <f t="shared" si="117"/>
        <v>1</v>
      </c>
      <c r="O773">
        <f t="shared" si="118"/>
        <v>1</v>
      </c>
      <c r="P773">
        <f t="shared" si="119"/>
        <v>4640.9112166268542</v>
      </c>
    </row>
    <row r="774" spans="3:16" x14ac:dyDescent="0.25">
      <c r="C774">
        <v>0.746</v>
      </c>
      <c r="D774">
        <f t="shared" si="110"/>
        <v>-3071.0328604008919</v>
      </c>
      <c r="E774">
        <f t="shared" si="111"/>
        <v>3687.1812561821425</v>
      </c>
      <c r="F774">
        <f t="shared" si="114"/>
        <v>1</v>
      </c>
      <c r="G774">
        <f t="shared" si="115"/>
        <v>1</v>
      </c>
      <c r="H774">
        <f t="shared" si="116"/>
        <v>3687.1812561821425</v>
      </c>
      <c r="K774">
        <v>0.746</v>
      </c>
      <c r="L774">
        <f t="shared" si="112"/>
        <v>-2833.0328604008919</v>
      </c>
      <c r="M774">
        <f t="shared" si="113"/>
        <v>4637.6095235756457</v>
      </c>
      <c r="N774">
        <f t="shared" si="117"/>
        <v>1</v>
      </c>
      <c r="O774">
        <f t="shared" si="118"/>
        <v>1</v>
      </c>
      <c r="P774">
        <f t="shared" si="119"/>
        <v>4637.6095235756457</v>
      </c>
    </row>
    <row r="775" spans="3:16" x14ac:dyDescent="0.25">
      <c r="C775">
        <v>0.747</v>
      </c>
      <c r="D775">
        <f t="shared" si="110"/>
        <v>-3058.1810249924911</v>
      </c>
      <c r="E775">
        <f t="shared" si="111"/>
        <v>3684.5044169032858</v>
      </c>
      <c r="F775">
        <f t="shared" si="114"/>
        <v>1</v>
      </c>
      <c r="G775">
        <f t="shared" si="115"/>
        <v>1</v>
      </c>
      <c r="H775">
        <f t="shared" si="116"/>
        <v>3684.5044169032858</v>
      </c>
      <c r="K775">
        <v>0.747</v>
      </c>
      <c r="L775">
        <f t="shared" si="112"/>
        <v>-2817.1810249924911</v>
      </c>
      <c r="M775">
        <f t="shared" si="113"/>
        <v>4634.307830524438</v>
      </c>
      <c r="N775">
        <f t="shared" si="117"/>
        <v>1</v>
      </c>
      <c r="O775">
        <f t="shared" si="118"/>
        <v>1</v>
      </c>
      <c r="P775">
        <f t="shared" si="119"/>
        <v>4634.307830524438</v>
      </c>
    </row>
    <row r="776" spans="3:16" x14ac:dyDescent="0.25">
      <c r="C776">
        <v>0.748</v>
      </c>
      <c r="D776">
        <f t="shared" si="110"/>
        <v>-3045.3291895840885</v>
      </c>
      <c r="E776">
        <f t="shared" si="111"/>
        <v>3681.8275776244282</v>
      </c>
      <c r="F776">
        <f t="shared" si="114"/>
        <v>1</v>
      </c>
      <c r="G776">
        <f t="shared" si="115"/>
        <v>1</v>
      </c>
      <c r="H776">
        <f t="shared" si="116"/>
        <v>3681.8275776244282</v>
      </c>
      <c r="K776">
        <v>0.748</v>
      </c>
      <c r="L776">
        <f t="shared" si="112"/>
        <v>-2801.3291895840885</v>
      </c>
      <c r="M776">
        <f t="shared" si="113"/>
        <v>4631.0061374732304</v>
      </c>
      <c r="N776">
        <f t="shared" si="117"/>
        <v>1</v>
      </c>
      <c r="O776">
        <f t="shared" si="118"/>
        <v>1</v>
      </c>
      <c r="P776">
        <f t="shared" si="119"/>
        <v>4631.0061374732304</v>
      </c>
    </row>
    <row r="777" spans="3:16" x14ac:dyDescent="0.25">
      <c r="C777">
        <v>0.749</v>
      </c>
      <c r="D777">
        <f t="shared" si="110"/>
        <v>-3032.4773541756858</v>
      </c>
      <c r="E777">
        <f t="shared" si="111"/>
        <v>3679.150738345571</v>
      </c>
      <c r="F777">
        <f t="shared" si="114"/>
        <v>1</v>
      </c>
      <c r="G777">
        <f t="shared" si="115"/>
        <v>1</v>
      </c>
      <c r="H777">
        <f t="shared" si="116"/>
        <v>3679.150738345571</v>
      </c>
      <c r="K777">
        <v>0.749</v>
      </c>
      <c r="L777">
        <f t="shared" si="112"/>
        <v>-2785.4773541756858</v>
      </c>
      <c r="M777">
        <f t="shared" si="113"/>
        <v>4627.7044444220219</v>
      </c>
      <c r="N777">
        <f t="shared" si="117"/>
        <v>1</v>
      </c>
      <c r="O777">
        <f t="shared" si="118"/>
        <v>1</v>
      </c>
      <c r="P777">
        <f t="shared" si="119"/>
        <v>4627.7044444220219</v>
      </c>
    </row>
    <row r="778" spans="3:16" x14ac:dyDescent="0.25">
      <c r="C778">
        <v>0.75</v>
      </c>
      <c r="D778">
        <f t="shared" si="110"/>
        <v>-3019.6255187672832</v>
      </c>
      <c r="E778">
        <f t="shared" si="111"/>
        <v>3676.4738990667138</v>
      </c>
      <c r="F778">
        <f t="shared" si="114"/>
        <v>1</v>
      </c>
      <c r="G778">
        <f t="shared" si="115"/>
        <v>1</v>
      </c>
      <c r="H778">
        <f t="shared" si="116"/>
        <v>3676.4738990667138</v>
      </c>
      <c r="K778">
        <v>0.75</v>
      </c>
      <c r="L778">
        <f t="shared" si="112"/>
        <v>-2769.6255187672832</v>
      </c>
      <c r="M778">
        <f t="shared" si="113"/>
        <v>4624.4027513708133</v>
      </c>
      <c r="N778">
        <f t="shared" si="117"/>
        <v>1</v>
      </c>
      <c r="O778">
        <f t="shared" si="118"/>
        <v>1</v>
      </c>
      <c r="P778">
        <f t="shared" si="119"/>
        <v>4624.4027513708133</v>
      </c>
    </row>
    <row r="779" spans="3:16" x14ac:dyDescent="0.25">
      <c r="C779">
        <v>0.751</v>
      </c>
      <c r="D779">
        <f t="shared" si="110"/>
        <v>-3006.7736833588806</v>
      </c>
      <c r="E779">
        <f t="shared" si="111"/>
        <v>3673.7970597878566</v>
      </c>
      <c r="F779">
        <f t="shared" si="114"/>
        <v>1</v>
      </c>
      <c r="G779">
        <f t="shared" si="115"/>
        <v>1</v>
      </c>
      <c r="H779">
        <f t="shared" si="116"/>
        <v>3673.7970597878566</v>
      </c>
      <c r="K779">
        <v>0.751</v>
      </c>
      <c r="L779">
        <f t="shared" si="112"/>
        <v>-2753.7736833588806</v>
      </c>
      <c r="M779">
        <f t="shared" si="113"/>
        <v>4621.1010583196057</v>
      </c>
      <c r="N779">
        <f t="shared" si="117"/>
        <v>1</v>
      </c>
      <c r="O779">
        <f t="shared" si="118"/>
        <v>1</v>
      </c>
      <c r="P779">
        <f t="shared" si="119"/>
        <v>4621.1010583196057</v>
      </c>
    </row>
    <row r="780" spans="3:16" x14ac:dyDescent="0.25">
      <c r="C780">
        <v>0.752</v>
      </c>
      <c r="D780">
        <f t="shared" si="110"/>
        <v>-2993.921847950478</v>
      </c>
      <c r="E780">
        <f t="shared" si="111"/>
        <v>3671.1202205089994</v>
      </c>
      <c r="F780">
        <f t="shared" si="114"/>
        <v>1</v>
      </c>
      <c r="G780">
        <f t="shared" si="115"/>
        <v>1</v>
      </c>
      <c r="H780">
        <f t="shared" si="116"/>
        <v>3671.1202205089994</v>
      </c>
      <c r="K780">
        <v>0.752</v>
      </c>
      <c r="L780">
        <f t="shared" si="112"/>
        <v>-2737.921847950478</v>
      </c>
      <c r="M780">
        <f t="shared" si="113"/>
        <v>4617.7993652683981</v>
      </c>
      <c r="N780">
        <f t="shared" si="117"/>
        <v>1</v>
      </c>
      <c r="O780">
        <f t="shared" si="118"/>
        <v>1</v>
      </c>
      <c r="P780">
        <f t="shared" si="119"/>
        <v>4617.7993652683981</v>
      </c>
    </row>
    <row r="781" spans="3:16" x14ac:dyDescent="0.25">
      <c r="C781">
        <v>0.753</v>
      </c>
      <c r="D781">
        <f t="shared" si="110"/>
        <v>-2981.0700125420753</v>
      </c>
      <c r="E781">
        <f t="shared" si="111"/>
        <v>3668.4433812301418</v>
      </c>
      <c r="F781">
        <f t="shared" si="114"/>
        <v>1</v>
      </c>
      <c r="G781">
        <f t="shared" si="115"/>
        <v>1</v>
      </c>
      <c r="H781">
        <f t="shared" si="116"/>
        <v>3668.4433812301418</v>
      </c>
      <c r="K781">
        <v>0.753</v>
      </c>
      <c r="L781">
        <f t="shared" si="112"/>
        <v>-2722.0700125420753</v>
      </c>
      <c r="M781">
        <f t="shared" si="113"/>
        <v>4614.4976722171896</v>
      </c>
      <c r="N781">
        <f t="shared" si="117"/>
        <v>1</v>
      </c>
      <c r="O781">
        <f t="shared" si="118"/>
        <v>1</v>
      </c>
      <c r="P781">
        <f t="shared" si="119"/>
        <v>4614.4976722171896</v>
      </c>
    </row>
    <row r="782" spans="3:16" x14ac:dyDescent="0.25">
      <c r="C782">
        <v>0.754</v>
      </c>
      <c r="D782">
        <f t="shared" si="110"/>
        <v>-2968.2181771336727</v>
      </c>
      <c r="E782">
        <f t="shared" si="111"/>
        <v>3665.7665419512846</v>
      </c>
      <c r="F782">
        <f t="shared" si="114"/>
        <v>1</v>
      </c>
      <c r="G782">
        <f t="shared" si="115"/>
        <v>1</v>
      </c>
      <c r="H782">
        <f t="shared" si="116"/>
        <v>3665.7665419512846</v>
      </c>
      <c r="K782">
        <v>0.754</v>
      </c>
      <c r="L782">
        <f t="shared" si="112"/>
        <v>-2706.2181771336727</v>
      </c>
      <c r="M782">
        <f t="shared" si="113"/>
        <v>4611.195979165981</v>
      </c>
      <c r="N782">
        <f t="shared" si="117"/>
        <v>1</v>
      </c>
      <c r="O782">
        <f t="shared" si="118"/>
        <v>1</v>
      </c>
      <c r="P782">
        <f t="shared" si="119"/>
        <v>4611.195979165981</v>
      </c>
    </row>
    <row r="783" spans="3:16" x14ac:dyDescent="0.25">
      <c r="C783">
        <v>0.755</v>
      </c>
      <c r="D783">
        <f t="shared" si="110"/>
        <v>-2955.3663417252701</v>
      </c>
      <c r="E783">
        <f t="shared" si="111"/>
        <v>3663.0897026724269</v>
      </c>
      <c r="F783">
        <f t="shared" si="114"/>
        <v>1</v>
      </c>
      <c r="G783">
        <f t="shared" si="115"/>
        <v>1</v>
      </c>
      <c r="H783">
        <f t="shared" si="116"/>
        <v>3663.0897026724269</v>
      </c>
      <c r="K783">
        <v>0.755</v>
      </c>
      <c r="L783">
        <f t="shared" si="112"/>
        <v>-2690.3663417252701</v>
      </c>
      <c r="M783">
        <f t="shared" si="113"/>
        <v>4607.8942861147734</v>
      </c>
      <c r="N783">
        <f t="shared" si="117"/>
        <v>1</v>
      </c>
      <c r="O783">
        <f t="shared" si="118"/>
        <v>1</v>
      </c>
      <c r="P783">
        <f t="shared" si="119"/>
        <v>4607.8942861147734</v>
      </c>
    </row>
    <row r="784" spans="3:16" x14ac:dyDescent="0.25">
      <c r="C784">
        <v>0.75600000000000001</v>
      </c>
      <c r="D784">
        <f t="shared" si="110"/>
        <v>-2942.5145063168675</v>
      </c>
      <c r="E784">
        <f t="shared" si="111"/>
        <v>3660.4128633935698</v>
      </c>
      <c r="F784">
        <f t="shared" si="114"/>
        <v>1</v>
      </c>
      <c r="G784">
        <f t="shared" si="115"/>
        <v>1</v>
      </c>
      <c r="H784">
        <f t="shared" si="116"/>
        <v>3660.4128633935698</v>
      </c>
      <c r="K784">
        <v>0.75600000000000001</v>
      </c>
      <c r="L784">
        <f t="shared" si="112"/>
        <v>-2674.5145063168675</v>
      </c>
      <c r="M784">
        <f t="shared" si="113"/>
        <v>4604.5925930635658</v>
      </c>
      <c r="N784">
        <f t="shared" si="117"/>
        <v>1</v>
      </c>
      <c r="O784">
        <f t="shared" si="118"/>
        <v>1</v>
      </c>
      <c r="P784">
        <f t="shared" si="119"/>
        <v>4604.5925930635658</v>
      </c>
    </row>
    <row r="785" spans="3:16" x14ac:dyDescent="0.25">
      <c r="C785">
        <v>0.75700000000000001</v>
      </c>
      <c r="D785">
        <f t="shared" si="110"/>
        <v>-2929.6626709084649</v>
      </c>
      <c r="E785">
        <f t="shared" si="111"/>
        <v>3657.7360241147126</v>
      </c>
      <c r="F785">
        <f t="shared" si="114"/>
        <v>1</v>
      </c>
      <c r="G785">
        <f t="shared" si="115"/>
        <v>1</v>
      </c>
      <c r="H785">
        <f t="shared" si="116"/>
        <v>3657.7360241147126</v>
      </c>
      <c r="K785">
        <v>0.75700000000000001</v>
      </c>
      <c r="L785">
        <f t="shared" si="112"/>
        <v>-2658.6626709084649</v>
      </c>
      <c r="M785">
        <f t="shared" si="113"/>
        <v>4601.2909000123573</v>
      </c>
      <c r="N785">
        <f t="shared" si="117"/>
        <v>1</v>
      </c>
      <c r="O785">
        <f t="shared" si="118"/>
        <v>1</v>
      </c>
      <c r="P785">
        <f t="shared" si="119"/>
        <v>4601.2909000123573</v>
      </c>
    </row>
    <row r="786" spans="3:16" x14ac:dyDescent="0.25">
      <c r="C786">
        <v>0.75800000000000001</v>
      </c>
      <c r="D786">
        <f t="shared" si="110"/>
        <v>-2916.8108355000622</v>
      </c>
      <c r="E786">
        <f t="shared" si="111"/>
        <v>3655.0591848358554</v>
      </c>
      <c r="F786">
        <f t="shared" si="114"/>
        <v>1</v>
      </c>
      <c r="G786">
        <f t="shared" si="115"/>
        <v>1</v>
      </c>
      <c r="H786">
        <f t="shared" si="116"/>
        <v>3655.0591848358554</v>
      </c>
      <c r="K786">
        <v>0.75800000000000001</v>
      </c>
      <c r="L786">
        <f t="shared" si="112"/>
        <v>-2642.8108355000622</v>
      </c>
      <c r="M786">
        <f t="shared" si="113"/>
        <v>4597.9892069611487</v>
      </c>
      <c r="N786">
        <f t="shared" si="117"/>
        <v>1</v>
      </c>
      <c r="O786">
        <f t="shared" si="118"/>
        <v>1</v>
      </c>
      <c r="P786">
        <f t="shared" si="119"/>
        <v>4597.9892069611487</v>
      </c>
    </row>
    <row r="787" spans="3:16" x14ac:dyDescent="0.25">
      <c r="C787">
        <v>0.75900000000000001</v>
      </c>
      <c r="D787">
        <f t="shared" si="110"/>
        <v>-2903.9590000916596</v>
      </c>
      <c r="E787">
        <f t="shared" si="111"/>
        <v>3652.3823455569982</v>
      </c>
      <c r="F787">
        <f t="shared" si="114"/>
        <v>1</v>
      </c>
      <c r="G787">
        <f t="shared" si="115"/>
        <v>1</v>
      </c>
      <c r="H787">
        <f t="shared" si="116"/>
        <v>3652.3823455569982</v>
      </c>
      <c r="K787">
        <v>0.75900000000000001</v>
      </c>
      <c r="L787">
        <f t="shared" si="112"/>
        <v>-2626.9590000916596</v>
      </c>
      <c r="M787">
        <f t="shared" si="113"/>
        <v>4594.6875139099411</v>
      </c>
      <c r="N787">
        <f t="shared" si="117"/>
        <v>1</v>
      </c>
      <c r="O787">
        <f t="shared" si="118"/>
        <v>1</v>
      </c>
      <c r="P787">
        <f t="shared" si="119"/>
        <v>4594.6875139099411</v>
      </c>
    </row>
    <row r="788" spans="3:16" x14ac:dyDescent="0.25">
      <c r="C788">
        <v>0.76</v>
      </c>
      <c r="D788">
        <f t="shared" si="110"/>
        <v>-2891.1071646832588</v>
      </c>
      <c r="E788">
        <f t="shared" si="111"/>
        <v>3649.705506278141</v>
      </c>
      <c r="F788">
        <f t="shared" si="114"/>
        <v>1</v>
      </c>
      <c r="G788">
        <f t="shared" si="115"/>
        <v>1</v>
      </c>
      <c r="H788">
        <f t="shared" si="116"/>
        <v>3649.705506278141</v>
      </c>
      <c r="K788">
        <v>0.76</v>
      </c>
      <c r="L788">
        <f t="shared" si="112"/>
        <v>-2611.1071646832588</v>
      </c>
      <c r="M788">
        <f t="shared" si="113"/>
        <v>4591.3858208587335</v>
      </c>
      <c r="N788">
        <f t="shared" si="117"/>
        <v>1</v>
      </c>
      <c r="O788">
        <f t="shared" si="118"/>
        <v>1</v>
      </c>
      <c r="P788">
        <f t="shared" si="119"/>
        <v>4591.3858208587335</v>
      </c>
    </row>
    <row r="789" spans="3:16" x14ac:dyDescent="0.25">
      <c r="C789">
        <v>0.76100000000000001</v>
      </c>
      <c r="D789">
        <f t="shared" si="110"/>
        <v>-2878.2553292748562</v>
      </c>
      <c r="E789">
        <f t="shared" si="111"/>
        <v>3647.0286669992838</v>
      </c>
      <c r="F789">
        <f t="shared" si="114"/>
        <v>1</v>
      </c>
      <c r="G789">
        <f t="shared" si="115"/>
        <v>1</v>
      </c>
      <c r="H789">
        <f t="shared" si="116"/>
        <v>3647.0286669992838</v>
      </c>
      <c r="K789">
        <v>0.76100000000000001</v>
      </c>
      <c r="L789">
        <f t="shared" si="112"/>
        <v>-2595.2553292748562</v>
      </c>
      <c r="M789">
        <f t="shared" si="113"/>
        <v>4588.084127807525</v>
      </c>
      <c r="N789">
        <f t="shared" si="117"/>
        <v>1</v>
      </c>
      <c r="O789">
        <f t="shared" si="118"/>
        <v>1</v>
      </c>
      <c r="P789">
        <f t="shared" si="119"/>
        <v>4588.084127807525</v>
      </c>
    </row>
    <row r="790" spans="3:16" x14ac:dyDescent="0.25">
      <c r="C790">
        <v>0.76200000000000001</v>
      </c>
      <c r="D790">
        <f t="shared" si="110"/>
        <v>-2865.4034938664536</v>
      </c>
      <c r="E790">
        <f t="shared" si="111"/>
        <v>3644.3518277204266</v>
      </c>
      <c r="F790">
        <f t="shared" si="114"/>
        <v>1</v>
      </c>
      <c r="G790">
        <f t="shared" si="115"/>
        <v>1</v>
      </c>
      <c r="H790">
        <f t="shared" si="116"/>
        <v>3644.3518277204266</v>
      </c>
      <c r="K790">
        <v>0.76200000000000001</v>
      </c>
      <c r="L790">
        <f t="shared" si="112"/>
        <v>-2579.4034938664536</v>
      </c>
      <c r="M790">
        <f t="shared" si="113"/>
        <v>4584.7824347563164</v>
      </c>
      <c r="N790">
        <f t="shared" si="117"/>
        <v>1</v>
      </c>
      <c r="O790">
        <f t="shared" si="118"/>
        <v>1</v>
      </c>
      <c r="P790">
        <f t="shared" si="119"/>
        <v>4584.7824347563164</v>
      </c>
    </row>
    <row r="791" spans="3:16" x14ac:dyDescent="0.25">
      <c r="C791">
        <v>0.76300000000000001</v>
      </c>
      <c r="D791">
        <f t="shared" si="110"/>
        <v>-2852.551658458051</v>
      </c>
      <c r="E791">
        <f t="shared" si="111"/>
        <v>3641.674988441569</v>
      </c>
      <c r="F791">
        <f t="shared" si="114"/>
        <v>1</v>
      </c>
      <c r="G791">
        <f t="shared" si="115"/>
        <v>1</v>
      </c>
      <c r="H791">
        <f t="shared" si="116"/>
        <v>3641.674988441569</v>
      </c>
      <c r="K791">
        <v>0.76300000000000001</v>
      </c>
      <c r="L791">
        <f t="shared" si="112"/>
        <v>-2563.551658458051</v>
      </c>
      <c r="M791">
        <f t="shared" si="113"/>
        <v>4581.4807417051088</v>
      </c>
      <c r="N791">
        <f t="shared" si="117"/>
        <v>1</v>
      </c>
      <c r="O791">
        <f t="shared" si="118"/>
        <v>1</v>
      </c>
      <c r="P791">
        <f t="shared" si="119"/>
        <v>4581.4807417051088</v>
      </c>
    </row>
    <row r="792" spans="3:16" x14ac:dyDescent="0.25">
      <c r="C792">
        <v>0.76400000000000001</v>
      </c>
      <c r="D792">
        <f t="shared" si="110"/>
        <v>-2839.6998230496483</v>
      </c>
      <c r="E792">
        <f t="shared" si="111"/>
        <v>3638.9981491627118</v>
      </c>
      <c r="F792">
        <f t="shared" si="114"/>
        <v>1</v>
      </c>
      <c r="G792">
        <f t="shared" si="115"/>
        <v>1</v>
      </c>
      <c r="H792">
        <f t="shared" si="116"/>
        <v>3638.9981491627118</v>
      </c>
      <c r="K792">
        <v>0.76400000000000001</v>
      </c>
      <c r="L792">
        <f t="shared" si="112"/>
        <v>-2547.6998230496483</v>
      </c>
      <c r="M792">
        <f t="shared" si="113"/>
        <v>4578.1790486539012</v>
      </c>
      <c r="N792">
        <f t="shared" si="117"/>
        <v>1</v>
      </c>
      <c r="O792">
        <f t="shared" si="118"/>
        <v>1</v>
      </c>
      <c r="P792">
        <f t="shared" si="119"/>
        <v>4578.1790486539012</v>
      </c>
    </row>
    <row r="793" spans="3:16" x14ac:dyDescent="0.25">
      <c r="C793">
        <v>0.76500000000000001</v>
      </c>
      <c r="D793">
        <f t="shared" si="110"/>
        <v>-2826.8479876412457</v>
      </c>
      <c r="E793">
        <f t="shared" si="111"/>
        <v>3636.3213098838546</v>
      </c>
      <c r="F793">
        <f t="shared" si="114"/>
        <v>1</v>
      </c>
      <c r="G793">
        <f t="shared" si="115"/>
        <v>1</v>
      </c>
      <c r="H793">
        <f t="shared" si="116"/>
        <v>3636.3213098838546</v>
      </c>
      <c r="K793">
        <v>0.76500000000000001</v>
      </c>
      <c r="L793">
        <f t="shared" si="112"/>
        <v>-2531.8479876412457</v>
      </c>
      <c r="M793">
        <f t="shared" si="113"/>
        <v>4574.8773556026927</v>
      </c>
      <c r="N793">
        <f t="shared" si="117"/>
        <v>1</v>
      </c>
      <c r="O793">
        <f t="shared" si="118"/>
        <v>1</v>
      </c>
      <c r="P793">
        <f t="shared" si="119"/>
        <v>4574.8773556026927</v>
      </c>
    </row>
    <row r="794" spans="3:16" x14ac:dyDescent="0.25">
      <c r="C794">
        <v>0.76600000000000001</v>
      </c>
      <c r="D794">
        <f t="shared" si="110"/>
        <v>-2813.9961522328431</v>
      </c>
      <c r="E794">
        <f t="shared" si="111"/>
        <v>3633.644470604997</v>
      </c>
      <c r="F794">
        <f t="shared" si="114"/>
        <v>1</v>
      </c>
      <c r="G794">
        <f t="shared" si="115"/>
        <v>1</v>
      </c>
      <c r="H794">
        <f t="shared" si="116"/>
        <v>3633.644470604997</v>
      </c>
      <c r="K794">
        <v>0.76600000000000001</v>
      </c>
      <c r="L794">
        <f t="shared" si="112"/>
        <v>-2515.9961522328431</v>
      </c>
      <c r="M794">
        <f t="shared" si="113"/>
        <v>4571.5756625514841</v>
      </c>
      <c r="N794">
        <f t="shared" si="117"/>
        <v>1</v>
      </c>
      <c r="O794">
        <f t="shared" si="118"/>
        <v>1</v>
      </c>
      <c r="P794">
        <f t="shared" si="119"/>
        <v>4571.5756625514841</v>
      </c>
    </row>
    <row r="795" spans="3:16" x14ac:dyDescent="0.25">
      <c r="C795">
        <v>0.76700000000000002</v>
      </c>
      <c r="D795">
        <f t="shared" si="110"/>
        <v>-2801.1443168244405</v>
      </c>
      <c r="E795">
        <f t="shared" si="111"/>
        <v>3630.9676313261398</v>
      </c>
      <c r="F795">
        <f t="shared" si="114"/>
        <v>1</v>
      </c>
      <c r="G795">
        <f t="shared" si="115"/>
        <v>1</v>
      </c>
      <c r="H795">
        <f t="shared" si="116"/>
        <v>3630.9676313261398</v>
      </c>
      <c r="K795">
        <v>0.76700000000000002</v>
      </c>
      <c r="L795">
        <f t="shared" si="112"/>
        <v>-2500.1443168244405</v>
      </c>
      <c r="M795">
        <f t="shared" si="113"/>
        <v>4568.2739695002765</v>
      </c>
      <c r="N795">
        <f t="shared" si="117"/>
        <v>1</v>
      </c>
      <c r="O795">
        <f t="shared" si="118"/>
        <v>1</v>
      </c>
      <c r="P795">
        <f t="shared" si="119"/>
        <v>4568.2739695002765</v>
      </c>
    </row>
    <row r="796" spans="3:16" x14ac:dyDescent="0.25">
      <c r="C796">
        <v>0.76800000000000002</v>
      </c>
      <c r="D796">
        <f t="shared" ref="D796:D859" si="120">-$J$23+($J$15+$J$23)*C796</f>
        <v>-2788.2924814160378</v>
      </c>
      <c r="E796">
        <f t="shared" ref="E796:E859" si="121">$J$12-$J$11*D796</f>
        <v>3628.2907920472826</v>
      </c>
      <c r="F796">
        <f t="shared" si="114"/>
        <v>1</v>
      </c>
      <c r="G796">
        <f t="shared" si="115"/>
        <v>1</v>
      </c>
      <c r="H796">
        <f t="shared" si="116"/>
        <v>3628.2907920472826</v>
      </c>
      <c r="K796">
        <v>0.76800000000000002</v>
      </c>
      <c r="L796">
        <f t="shared" ref="L796:L859" si="122">-$M$23+($M$15+$M$23)*K796</f>
        <v>-2484.2924814160378</v>
      </c>
      <c r="M796">
        <f t="shared" ref="M796:M859" si="123">$J$12-$J$11*L796+$E$18</f>
        <v>4564.9722764490689</v>
      </c>
      <c r="N796">
        <f t="shared" si="117"/>
        <v>1</v>
      </c>
      <c r="O796">
        <f t="shared" si="118"/>
        <v>1</v>
      </c>
      <c r="P796">
        <f t="shared" si="119"/>
        <v>4564.9722764490689</v>
      </c>
    </row>
    <row r="797" spans="3:16" x14ac:dyDescent="0.25">
      <c r="C797">
        <v>0.76900000000000002</v>
      </c>
      <c r="D797">
        <f t="shared" si="120"/>
        <v>-2775.4406460076352</v>
      </c>
      <c r="E797">
        <f t="shared" si="121"/>
        <v>3625.6139527684254</v>
      </c>
      <c r="F797">
        <f t="shared" ref="F797:F860" si="124">IF(D797&lt;$J$20,MAX(1-(D797-$J$20)^2/$J$22^2,0),1)</f>
        <v>1</v>
      </c>
      <c r="G797">
        <f t="shared" ref="G797:G860" si="125">IF(D797&gt;$J$17,MAX(1-(D797-$J$17)^2/($J$15-$J$17)^2,0),1)</f>
        <v>1</v>
      </c>
      <c r="H797">
        <f t="shared" ref="H797:H860" si="126">SQRT(E797^2*F797*G797)</f>
        <v>3625.6139527684254</v>
      </c>
      <c r="K797">
        <v>0.76900000000000002</v>
      </c>
      <c r="L797">
        <f t="shared" si="122"/>
        <v>-2468.4406460076352</v>
      </c>
      <c r="M797">
        <f t="shared" si="123"/>
        <v>4561.6705833978604</v>
      </c>
      <c r="N797">
        <f t="shared" ref="N797:N860" si="127">IF(L797&lt;$J$20,MAX(1-(L797-$J$20)^2/$M$22^2,0),1)</f>
        <v>1</v>
      </c>
      <c r="O797">
        <f t="shared" ref="O797:O860" si="128">IF(L797&gt;$J$17,MAX(1-(L797-$J$17)^2/($M$15-$J$17)^2,0),1)</f>
        <v>1</v>
      </c>
      <c r="P797">
        <f t="shared" ref="P797:P860" si="129">SQRT(M797^2*N797*O797)</f>
        <v>4561.6705833978604</v>
      </c>
    </row>
    <row r="798" spans="3:16" x14ac:dyDescent="0.25">
      <c r="C798">
        <v>0.77</v>
      </c>
      <c r="D798">
        <f t="shared" si="120"/>
        <v>-2762.5888105992326</v>
      </c>
      <c r="E798">
        <f t="shared" si="121"/>
        <v>3622.9371134895682</v>
      </c>
      <c r="F798">
        <f t="shared" si="124"/>
        <v>1</v>
      </c>
      <c r="G798">
        <f t="shared" si="125"/>
        <v>1</v>
      </c>
      <c r="H798">
        <f t="shared" si="126"/>
        <v>3622.9371134895682</v>
      </c>
      <c r="K798">
        <v>0.77</v>
      </c>
      <c r="L798">
        <f t="shared" si="122"/>
        <v>-2452.5888105992326</v>
      </c>
      <c r="M798">
        <f t="shared" si="123"/>
        <v>4558.3688903466518</v>
      </c>
      <c r="N798">
        <f t="shared" si="127"/>
        <v>1</v>
      </c>
      <c r="O798">
        <f t="shared" si="128"/>
        <v>1</v>
      </c>
      <c r="P798">
        <f t="shared" si="129"/>
        <v>4558.3688903466518</v>
      </c>
    </row>
    <row r="799" spans="3:16" x14ac:dyDescent="0.25">
      <c r="C799">
        <v>0.77100000000000002</v>
      </c>
      <c r="D799">
        <f t="shared" si="120"/>
        <v>-2749.73697519083</v>
      </c>
      <c r="E799">
        <f t="shared" si="121"/>
        <v>3620.2602742107106</v>
      </c>
      <c r="F799">
        <f t="shared" si="124"/>
        <v>1</v>
      </c>
      <c r="G799">
        <f t="shared" si="125"/>
        <v>1</v>
      </c>
      <c r="H799">
        <f t="shared" si="126"/>
        <v>3620.2602742107106</v>
      </c>
      <c r="K799">
        <v>0.77100000000000002</v>
      </c>
      <c r="L799">
        <f t="shared" si="122"/>
        <v>-2436.73697519083</v>
      </c>
      <c r="M799">
        <f t="shared" si="123"/>
        <v>4555.0671972954442</v>
      </c>
      <c r="N799">
        <f t="shared" si="127"/>
        <v>1</v>
      </c>
      <c r="O799">
        <f t="shared" si="128"/>
        <v>1</v>
      </c>
      <c r="P799">
        <f t="shared" si="129"/>
        <v>4555.0671972954442</v>
      </c>
    </row>
    <row r="800" spans="3:16" x14ac:dyDescent="0.25">
      <c r="C800">
        <v>0.77200000000000002</v>
      </c>
      <c r="D800">
        <f t="shared" si="120"/>
        <v>-2736.8851397824274</v>
      </c>
      <c r="E800">
        <f t="shared" si="121"/>
        <v>3617.5834349318534</v>
      </c>
      <c r="F800">
        <f t="shared" si="124"/>
        <v>1</v>
      </c>
      <c r="G800">
        <f t="shared" si="125"/>
        <v>1</v>
      </c>
      <c r="H800">
        <f t="shared" si="126"/>
        <v>3617.5834349318534</v>
      </c>
      <c r="K800">
        <v>0.77200000000000002</v>
      </c>
      <c r="L800">
        <f t="shared" si="122"/>
        <v>-2420.8851397824274</v>
      </c>
      <c r="M800">
        <f t="shared" si="123"/>
        <v>4551.7655042442366</v>
      </c>
      <c r="N800">
        <f t="shared" si="127"/>
        <v>1</v>
      </c>
      <c r="O800">
        <f t="shared" si="128"/>
        <v>1</v>
      </c>
      <c r="P800">
        <f t="shared" si="129"/>
        <v>4551.7655042442366</v>
      </c>
    </row>
    <row r="801" spans="3:16" x14ac:dyDescent="0.25">
      <c r="C801">
        <v>0.77300000000000002</v>
      </c>
      <c r="D801">
        <f t="shared" si="120"/>
        <v>-2724.0333043740266</v>
      </c>
      <c r="E801">
        <f t="shared" si="121"/>
        <v>3614.9065956529967</v>
      </c>
      <c r="F801">
        <f t="shared" si="124"/>
        <v>1</v>
      </c>
      <c r="G801">
        <f t="shared" si="125"/>
        <v>1</v>
      </c>
      <c r="H801">
        <f t="shared" si="126"/>
        <v>3614.9065956529967</v>
      </c>
      <c r="K801">
        <v>0.77300000000000002</v>
      </c>
      <c r="L801">
        <f t="shared" si="122"/>
        <v>-2405.0333043740266</v>
      </c>
      <c r="M801">
        <f t="shared" si="123"/>
        <v>4548.4638111930281</v>
      </c>
      <c r="N801">
        <f t="shared" si="127"/>
        <v>1</v>
      </c>
      <c r="O801">
        <f t="shared" si="128"/>
        <v>1</v>
      </c>
      <c r="P801">
        <f t="shared" si="129"/>
        <v>4548.4638111930281</v>
      </c>
    </row>
    <row r="802" spans="3:16" x14ac:dyDescent="0.25">
      <c r="C802">
        <v>0.77400000000000002</v>
      </c>
      <c r="D802">
        <f t="shared" si="120"/>
        <v>-2711.1814689656239</v>
      </c>
      <c r="E802">
        <f t="shared" si="121"/>
        <v>3612.229756374139</v>
      </c>
      <c r="F802">
        <f t="shared" si="124"/>
        <v>1</v>
      </c>
      <c r="G802">
        <f t="shared" si="125"/>
        <v>1</v>
      </c>
      <c r="H802">
        <f t="shared" si="126"/>
        <v>3612.229756374139</v>
      </c>
      <c r="K802">
        <v>0.77400000000000002</v>
      </c>
      <c r="L802">
        <f t="shared" si="122"/>
        <v>-2389.1814689656239</v>
      </c>
      <c r="M802">
        <f t="shared" si="123"/>
        <v>4545.1621181418195</v>
      </c>
      <c r="N802">
        <f t="shared" si="127"/>
        <v>1</v>
      </c>
      <c r="O802">
        <f t="shared" si="128"/>
        <v>1</v>
      </c>
      <c r="P802">
        <f t="shared" si="129"/>
        <v>4545.1621181418195</v>
      </c>
    </row>
    <row r="803" spans="3:16" x14ac:dyDescent="0.25">
      <c r="C803">
        <v>0.77500000000000002</v>
      </c>
      <c r="D803">
        <f t="shared" si="120"/>
        <v>-2698.3296335572213</v>
      </c>
      <c r="E803">
        <f t="shared" si="121"/>
        <v>3609.5529170952818</v>
      </c>
      <c r="F803">
        <f t="shared" si="124"/>
        <v>1</v>
      </c>
      <c r="G803">
        <f t="shared" si="125"/>
        <v>1</v>
      </c>
      <c r="H803">
        <f t="shared" si="126"/>
        <v>3609.5529170952818</v>
      </c>
      <c r="K803">
        <v>0.77500000000000002</v>
      </c>
      <c r="L803">
        <f t="shared" si="122"/>
        <v>-2373.3296335572213</v>
      </c>
      <c r="M803">
        <f t="shared" si="123"/>
        <v>4541.8604250906119</v>
      </c>
      <c r="N803">
        <f t="shared" si="127"/>
        <v>1</v>
      </c>
      <c r="O803">
        <f t="shared" si="128"/>
        <v>1</v>
      </c>
      <c r="P803">
        <f t="shared" si="129"/>
        <v>4541.8604250906119</v>
      </c>
    </row>
    <row r="804" spans="3:16" x14ac:dyDescent="0.25">
      <c r="C804">
        <v>0.77600000000000002</v>
      </c>
      <c r="D804">
        <f t="shared" si="120"/>
        <v>-2685.4777981488187</v>
      </c>
      <c r="E804">
        <f t="shared" si="121"/>
        <v>3606.8760778164242</v>
      </c>
      <c r="F804">
        <f t="shared" si="124"/>
        <v>1</v>
      </c>
      <c r="G804">
        <f t="shared" si="125"/>
        <v>1</v>
      </c>
      <c r="H804">
        <f t="shared" si="126"/>
        <v>3606.8760778164242</v>
      </c>
      <c r="K804">
        <v>0.77600000000000002</v>
      </c>
      <c r="L804">
        <f t="shared" si="122"/>
        <v>-2357.4777981488187</v>
      </c>
      <c r="M804">
        <f t="shared" si="123"/>
        <v>4538.5587320394043</v>
      </c>
      <c r="N804">
        <f t="shared" si="127"/>
        <v>1</v>
      </c>
      <c r="O804">
        <f t="shared" si="128"/>
        <v>1</v>
      </c>
      <c r="P804">
        <f t="shared" si="129"/>
        <v>4538.5587320394043</v>
      </c>
    </row>
    <row r="805" spans="3:16" x14ac:dyDescent="0.25">
      <c r="C805">
        <v>0.77700000000000002</v>
      </c>
      <c r="D805">
        <f t="shared" si="120"/>
        <v>-2672.6259627404161</v>
      </c>
      <c r="E805">
        <f t="shared" si="121"/>
        <v>3604.199238537567</v>
      </c>
      <c r="F805">
        <f t="shared" si="124"/>
        <v>1</v>
      </c>
      <c r="G805">
        <f t="shared" si="125"/>
        <v>1</v>
      </c>
      <c r="H805">
        <f t="shared" si="126"/>
        <v>3604.199238537567</v>
      </c>
      <c r="K805">
        <v>0.77700000000000002</v>
      </c>
      <c r="L805">
        <f t="shared" si="122"/>
        <v>-2341.6259627404161</v>
      </c>
      <c r="M805">
        <f t="shared" si="123"/>
        <v>4535.2570389881957</v>
      </c>
      <c r="N805">
        <f t="shared" si="127"/>
        <v>1</v>
      </c>
      <c r="O805">
        <f t="shared" si="128"/>
        <v>1</v>
      </c>
      <c r="P805">
        <f t="shared" si="129"/>
        <v>4535.2570389881957</v>
      </c>
    </row>
    <row r="806" spans="3:16" x14ac:dyDescent="0.25">
      <c r="C806">
        <v>0.77800000000000002</v>
      </c>
      <c r="D806">
        <f t="shared" si="120"/>
        <v>-2659.7741273320134</v>
      </c>
      <c r="E806">
        <f t="shared" si="121"/>
        <v>3601.5223992587098</v>
      </c>
      <c r="F806">
        <f t="shared" si="124"/>
        <v>1</v>
      </c>
      <c r="G806">
        <f t="shared" si="125"/>
        <v>1</v>
      </c>
      <c r="H806">
        <f t="shared" si="126"/>
        <v>3601.5223992587098</v>
      </c>
      <c r="K806">
        <v>0.77800000000000002</v>
      </c>
      <c r="L806">
        <f t="shared" si="122"/>
        <v>-2325.7741273320134</v>
      </c>
      <c r="M806">
        <f t="shared" si="123"/>
        <v>4531.9553459369872</v>
      </c>
      <c r="N806">
        <f t="shared" si="127"/>
        <v>1</v>
      </c>
      <c r="O806">
        <f t="shared" si="128"/>
        <v>1</v>
      </c>
      <c r="P806">
        <f t="shared" si="129"/>
        <v>4531.9553459369872</v>
      </c>
    </row>
    <row r="807" spans="3:16" x14ac:dyDescent="0.25">
      <c r="C807">
        <v>0.77900000000000003</v>
      </c>
      <c r="D807">
        <f t="shared" si="120"/>
        <v>-2646.9222919236108</v>
      </c>
      <c r="E807">
        <f t="shared" si="121"/>
        <v>3598.8455599798526</v>
      </c>
      <c r="F807">
        <f t="shared" si="124"/>
        <v>1</v>
      </c>
      <c r="G807">
        <f t="shared" si="125"/>
        <v>1</v>
      </c>
      <c r="H807">
        <f t="shared" si="126"/>
        <v>3598.8455599798526</v>
      </c>
      <c r="K807">
        <v>0.77900000000000003</v>
      </c>
      <c r="L807">
        <f t="shared" si="122"/>
        <v>-2309.9222919236108</v>
      </c>
      <c r="M807">
        <f t="shared" si="123"/>
        <v>4528.6536528857796</v>
      </c>
      <c r="N807">
        <f t="shared" si="127"/>
        <v>1</v>
      </c>
      <c r="O807">
        <f t="shared" si="128"/>
        <v>1</v>
      </c>
      <c r="P807">
        <f t="shared" si="129"/>
        <v>4528.6536528857796</v>
      </c>
    </row>
    <row r="808" spans="3:16" x14ac:dyDescent="0.25">
      <c r="C808">
        <v>0.78</v>
      </c>
      <c r="D808">
        <f t="shared" si="120"/>
        <v>-2634.0704565152082</v>
      </c>
      <c r="E808">
        <f t="shared" si="121"/>
        <v>3596.1687207009954</v>
      </c>
      <c r="F808">
        <f t="shared" si="124"/>
        <v>1</v>
      </c>
      <c r="G808">
        <f t="shared" si="125"/>
        <v>1</v>
      </c>
      <c r="H808">
        <f t="shared" si="126"/>
        <v>3596.1687207009954</v>
      </c>
      <c r="K808">
        <v>0.78</v>
      </c>
      <c r="L808">
        <f t="shared" si="122"/>
        <v>-2294.0704565152082</v>
      </c>
      <c r="M808">
        <f t="shared" si="123"/>
        <v>4525.351959834572</v>
      </c>
      <c r="N808">
        <f t="shared" si="127"/>
        <v>1</v>
      </c>
      <c r="O808">
        <f t="shared" si="128"/>
        <v>1</v>
      </c>
      <c r="P808">
        <f t="shared" si="129"/>
        <v>4525.351959834572</v>
      </c>
    </row>
    <row r="809" spans="3:16" x14ac:dyDescent="0.25">
      <c r="C809">
        <v>0.78100000000000003</v>
      </c>
      <c r="D809">
        <f t="shared" si="120"/>
        <v>-2621.2186211068056</v>
      </c>
      <c r="E809">
        <f t="shared" si="121"/>
        <v>3593.4918814221378</v>
      </c>
      <c r="F809">
        <f t="shared" si="124"/>
        <v>1</v>
      </c>
      <c r="G809">
        <f t="shared" si="125"/>
        <v>1</v>
      </c>
      <c r="H809">
        <f t="shared" si="126"/>
        <v>3593.4918814221378</v>
      </c>
      <c r="K809">
        <v>0.78100000000000003</v>
      </c>
      <c r="L809">
        <f t="shared" si="122"/>
        <v>-2278.2186211068056</v>
      </c>
      <c r="M809">
        <f t="shared" si="123"/>
        <v>4522.0502667833634</v>
      </c>
      <c r="N809">
        <f t="shared" si="127"/>
        <v>1</v>
      </c>
      <c r="O809">
        <f t="shared" si="128"/>
        <v>1</v>
      </c>
      <c r="P809">
        <f t="shared" si="129"/>
        <v>4522.0502667833634</v>
      </c>
    </row>
    <row r="810" spans="3:16" x14ac:dyDescent="0.25">
      <c r="C810">
        <v>0.78200000000000003</v>
      </c>
      <c r="D810">
        <f t="shared" si="120"/>
        <v>-2608.366785698403</v>
      </c>
      <c r="E810">
        <f t="shared" si="121"/>
        <v>3590.8150421432806</v>
      </c>
      <c r="F810">
        <f t="shared" si="124"/>
        <v>1</v>
      </c>
      <c r="G810">
        <f t="shared" si="125"/>
        <v>1</v>
      </c>
      <c r="H810">
        <f t="shared" si="126"/>
        <v>3590.8150421432806</v>
      </c>
      <c r="K810">
        <v>0.78200000000000003</v>
      </c>
      <c r="L810">
        <f t="shared" si="122"/>
        <v>-2262.366785698403</v>
      </c>
      <c r="M810">
        <f t="shared" si="123"/>
        <v>4518.7485737321549</v>
      </c>
      <c r="N810">
        <f t="shared" si="127"/>
        <v>1</v>
      </c>
      <c r="O810">
        <f t="shared" si="128"/>
        <v>1</v>
      </c>
      <c r="P810">
        <f t="shared" si="129"/>
        <v>4518.7485737321549</v>
      </c>
    </row>
    <row r="811" spans="3:16" x14ac:dyDescent="0.25">
      <c r="C811">
        <v>0.78300000000000003</v>
      </c>
      <c r="D811">
        <f t="shared" si="120"/>
        <v>-2595.5149502900003</v>
      </c>
      <c r="E811">
        <f t="shared" si="121"/>
        <v>3588.1382028644234</v>
      </c>
      <c r="F811">
        <f t="shared" si="124"/>
        <v>1</v>
      </c>
      <c r="G811">
        <f t="shared" si="125"/>
        <v>1</v>
      </c>
      <c r="H811">
        <f t="shared" si="126"/>
        <v>3588.1382028644234</v>
      </c>
      <c r="K811">
        <v>0.78300000000000003</v>
      </c>
      <c r="L811">
        <f t="shared" si="122"/>
        <v>-2246.5149502900003</v>
      </c>
      <c r="M811">
        <f t="shared" si="123"/>
        <v>4515.4468806809473</v>
      </c>
      <c r="N811">
        <f t="shared" si="127"/>
        <v>1</v>
      </c>
      <c r="O811">
        <f t="shared" si="128"/>
        <v>1</v>
      </c>
      <c r="P811">
        <f t="shared" si="129"/>
        <v>4515.4468806809473</v>
      </c>
    </row>
    <row r="812" spans="3:16" x14ac:dyDescent="0.25">
      <c r="C812">
        <v>0.78400000000000003</v>
      </c>
      <c r="D812">
        <f t="shared" si="120"/>
        <v>-2582.6631148815977</v>
      </c>
      <c r="E812">
        <f t="shared" si="121"/>
        <v>3585.4613635855658</v>
      </c>
      <c r="F812">
        <f t="shared" si="124"/>
        <v>1</v>
      </c>
      <c r="G812">
        <f t="shared" si="125"/>
        <v>1</v>
      </c>
      <c r="H812">
        <f t="shared" si="126"/>
        <v>3585.4613635855658</v>
      </c>
      <c r="K812">
        <v>0.78400000000000003</v>
      </c>
      <c r="L812">
        <f t="shared" si="122"/>
        <v>-2230.6631148815977</v>
      </c>
      <c r="M812">
        <f t="shared" si="123"/>
        <v>4512.1451876297397</v>
      </c>
      <c r="N812">
        <f t="shared" si="127"/>
        <v>1</v>
      </c>
      <c r="O812">
        <f t="shared" si="128"/>
        <v>1</v>
      </c>
      <c r="P812">
        <f t="shared" si="129"/>
        <v>4512.1451876297397</v>
      </c>
    </row>
    <row r="813" spans="3:16" x14ac:dyDescent="0.25">
      <c r="C813">
        <v>0.78500000000000003</v>
      </c>
      <c r="D813">
        <f t="shared" si="120"/>
        <v>-2569.8112794731969</v>
      </c>
      <c r="E813">
        <f t="shared" si="121"/>
        <v>3582.784524306709</v>
      </c>
      <c r="F813">
        <f t="shared" si="124"/>
        <v>1</v>
      </c>
      <c r="G813">
        <f t="shared" si="125"/>
        <v>1</v>
      </c>
      <c r="H813">
        <f t="shared" si="126"/>
        <v>3582.784524306709</v>
      </c>
      <c r="K813">
        <v>0.78500000000000003</v>
      </c>
      <c r="L813">
        <f t="shared" si="122"/>
        <v>-2214.8112794731951</v>
      </c>
      <c r="M813">
        <f t="shared" si="123"/>
        <v>4508.8434945785311</v>
      </c>
      <c r="N813">
        <f t="shared" si="127"/>
        <v>1</v>
      </c>
      <c r="O813">
        <f t="shared" si="128"/>
        <v>1</v>
      </c>
      <c r="P813">
        <f t="shared" si="129"/>
        <v>4508.8434945785311</v>
      </c>
    </row>
    <row r="814" spans="3:16" x14ac:dyDescent="0.25">
      <c r="C814">
        <v>0.78600000000000003</v>
      </c>
      <c r="D814">
        <f t="shared" si="120"/>
        <v>-2556.9594440647943</v>
      </c>
      <c r="E814">
        <f t="shared" si="121"/>
        <v>3580.1076850278519</v>
      </c>
      <c r="F814">
        <f t="shared" si="124"/>
        <v>1</v>
      </c>
      <c r="G814">
        <f t="shared" si="125"/>
        <v>1</v>
      </c>
      <c r="H814">
        <f t="shared" si="126"/>
        <v>3580.1076850278519</v>
      </c>
      <c r="K814">
        <v>0.78600000000000003</v>
      </c>
      <c r="L814">
        <f t="shared" si="122"/>
        <v>-2198.9594440647943</v>
      </c>
      <c r="M814">
        <f t="shared" si="123"/>
        <v>4505.5418015273226</v>
      </c>
      <c r="N814">
        <f t="shared" si="127"/>
        <v>1</v>
      </c>
      <c r="O814">
        <f t="shared" si="128"/>
        <v>1</v>
      </c>
      <c r="P814">
        <f t="shared" si="129"/>
        <v>4505.5418015273226</v>
      </c>
    </row>
    <row r="815" spans="3:16" x14ac:dyDescent="0.25">
      <c r="C815">
        <v>0.78700000000000003</v>
      </c>
      <c r="D815">
        <f t="shared" si="120"/>
        <v>-2544.1076086563917</v>
      </c>
      <c r="E815">
        <f t="shared" si="121"/>
        <v>3577.4308457489942</v>
      </c>
      <c r="F815">
        <f t="shared" si="124"/>
        <v>1</v>
      </c>
      <c r="G815">
        <f t="shared" si="125"/>
        <v>1</v>
      </c>
      <c r="H815">
        <f t="shared" si="126"/>
        <v>3577.4308457489942</v>
      </c>
      <c r="K815">
        <v>0.78700000000000003</v>
      </c>
      <c r="L815">
        <f t="shared" si="122"/>
        <v>-2183.1076086563917</v>
      </c>
      <c r="M815">
        <f t="shared" si="123"/>
        <v>4502.240108476115</v>
      </c>
      <c r="N815">
        <f t="shared" si="127"/>
        <v>1</v>
      </c>
      <c r="O815">
        <f t="shared" si="128"/>
        <v>1</v>
      </c>
      <c r="P815">
        <f t="shared" si="129"/>
        <v>4502.240108476115</v>
      </c>
    </row>
    <row r="816" spans="3:16" x14ac:dyDescent="0.25">
      <c r="C816">
        <v>0.78800000000000003</v>
      </c>
      <c r="D816">
        <f t="shared" si="120"/>
        <v>-2531.2557732479891</v>
      </c>
      <c r="E816">
        <f t="shared" si="121"/>
        <v>3574.754006470137</v>
      </c>
      <c r="F816">
        <f t="shared" si="124"/>
        <v>1</v>
      </c>
      <c r="G816">
        <f t="shared" si="125"/>
        <v>1</v>
      </c>
      <c r="H816">
        <f t="shared" si="126"/>
        <v>3574.754006470137</v>
      </c>
      <c r="K816">
        <v>0.78800000000000003</v>
      </c>
      <c r="L816">
        <f t="shared" si="122"/>
        <v>-2167.2557732479891</v>
      </c>
      <c r="M816">
        <f t="shared" si="123"/>
        <v>4498.9384154249074</v>
      </c>
      <c r="N816">
        <f t="shared" si="127"/>
        <v>1</v>
      </c>
      <c r="O816">
        <f t="shared" si="128"/>
        <v>1</v>
      </c>
      <c r="P816">
        <f t="shared" si="129"/>
        <v>4498.9384154249074</v>
      </c>
    </row>
    <row r="817" spans="3:16" x14ac:dyDescent="0.25">
      <c r="C817">
        <v>0.78900000000000003</v>
      </c>
      <c r="D817">
        <f t="shared" si="120"/>
        <v>-2518.4039378395864</v>
      </c>
      <c r="E817">
        <f t="shared" si="121"/>
        <v>3572.0771671912798</v>
      </c>
      <c r="F817">
        <f t="shared" si="124"/>
        <v>1</v>
      </c>
      <c r="G817">
        <f t="shared" si="125"/>
        <v>1</v>
      </c>
      <c r="H817">
        <f t="shared" si="126"/>
        <v>3572.0771671912798</v>
      </c>
      <c r="K817">
        <v>0.78900000000000003</v>
      </c>
      <c r="L817">
        <f t="shared" si="122"/>
        <v>-2151.4039378395864</v>
      </c>
      <c r="M817">
        <f t="shared" si="123"/>
        <v>4495.6367223736988</v>
      </c>
      <c r="N817">
        <f t="shared" si="127"/>
        <v>1</v>
      </c>
      <c r="O817">
        <f t="shared" si="128"/>
        <v>1</v>
      </c>
      <c r="P817">
        <f t="shared" si="129"/>
        <v>4495.6367223736988</v>
      </c>
    </row>
    <row r="818" spans="3:16" x14ac:dyDescent="0.25">
      <c r="C818">
        <v>0.79</v>
      </c>
      <c r="D818">
        <f t="shared" si="120"/>
        <v>-2505.5521024311838</v>
      </c>
      <c r="E818">
        <f t="shared" si="121"/>
        <v>3569.4003279124227</v>
      </c>
      <c r="F818">
        <f t="shared" si="124"/>
        <v>1</v>
      </c>
      <c r="G818">
        <f t="shared" si="125"/>
        <v>1</v>
      </c>
      <c r="H818">
        <f t="shared" si="126"/>
        <v>3569.4003279124227</v>
      </c>
      <c r="K818">
        <v>0.79</v>
      </c>
      <c r="L818">
        <f t="shared" si="122"/>
        <v>-2135.5521024311838</v>
      </c>
      <c r="M818">
        <f t="shared" si="123"/>
        <v>4492.3350293224903</v>
      </c>
      <c r="N818">
        <f t="shared" si="127"/>
        <v>1</v>
      </c>
      <c r="O818">
        <f t="shared" si="128"/>
        <v>1</v>
      </c>
      <c r="P818">
        <f t="shared" si="129"/>
        <v>4492.3350293224903</v>
      </c>
    </row>
    <row r="819" spans="3:16" x14ac:dyDescent="0.25">
      <c r="C819">
        <v>0.79100000000000004</v>
      </c>
      <c r="D819">
        <f t="shared" si="120"/>
        <v>-2492.7002670227812</v>
      </c>
      <c r="E819">
        <f t="shared" si="121"/>
        <v>3566.7234886335655</v>
      </c>
      <c r="F819">
        <f t="shared" si="124"/>
        <v>1</v>
      </c>
      <c r="G819">
        <f t="shared" si="125"/>
        <v>1</v>
      </c>
      <c r="H819">
        <f t="shared" si="126"/>
        <v>3566.7234886335655</v>
      </c>
      <c r="K819">
        <v>0.79100000000000004</v>
      </c>
      <c r="L819">
        <f t="shared" si="122"/>
        <v>-2119.7002670227812</v>
      </c>
      <c r="M819">
        <f t="shared" si="123"/>
        <v>4489.0333362712827</v>
      </c>
      <c r="N819">
        <f t="shared" si="127"/>
        <v>1</v>
      </c>
      <c r="O819">
        <f t="shared" si="128"/>
        <v>1</v>
      </c>
      <c r="P819">
        <f t="shared" si="129"/>
        <v>4489.0333362712827</v>
      </c>
    </row>
    <row r="820" spans="3:16" x14ac:dyDescent="0.25">
      <c r="C820">
        <v>0.79200000000000004</v>
      </c>
      <c r="D820">
        <f t="shared" si="120"/>
        <v>-2479.8484316143786</v>
      </c>
      <c r="E820">
        <f t="shared" si="121"/>
        <v>3564.0466493547078</v>
      </c>
      <c r="F820">
        <f t="shared" si="124"/>
        <v>1</v>
      </c>
      <c r="G820">
        <f t="shared" si="125"/>
        <v>1</v>
      </c>
      <c r="H820">
        <f t="shared" si="126"/>
        <v>3564.0466493547078</v>
      </c>
      <c r="K820">
        <v>0.79200000000000004</v>
      </c>
      <c r="L820">
        <f t="shared" si="122"/>
        <v>-2103.8484316143786</v>
      </c>
      <c r="M820">
        <f t="shared" si="123"/>
        <v>4485.7316432200751</v>
      </c>
      <c r="N820">
        <f t="shared" si="127"/>
        <v>1</v>
      </c>
      <c r="O820">
        <f t="shared" si="128"/>
        <v>1</v>
      </c>
      <c r="P820">
        <f t="shared" si="129"/>
        <v>4485.7316432200751</v>
      </c>
    </row>
    <row r="821" spans="3:16" x14ac:dyDescent="0.25">
      <c r="C821">
        <v>0.79300000000000004</v>
      </c>
      <c r="D821">
        <f t="shared" si="120"/>
        <v>-2466.9965962059759</v>
      </c>
      <c r="E821">
        <f t="shared" si="121"/>
        <v>3561.3698100758506</v>
      </c>
      <c r="F821">
        <f t="shared" si="124"/>
        <v>1</v>
      </c>
      <c r="G821">
        <f t="shared" si="125"/>
        <v>1</v>
      </c>
      <c r="H821">
        <f t="shared" si="126"/>
        <v>3561.3698100758506</v>
      </c>
      <c r="K821">
        <v>0.79300000000000004</v>
      </c>
      <c r="L821">
        <f t="shared" si="122"/>
        <v>-2087.9965962059759</v>
      </c>
      <c r="M821">
        <f t="shared" si="123"/>
        <v>4482.4299501688665</v>
      </c>
      <c r="N821">
        <f t="shared" si="127"/>
        <v>1</v>
      </c>
      <c r="O821">
        <f t="shared" si="128"/>
        <v>1</v>
      </c>
      <c r="P821">
        <f t="shared" si="129"/>
        <v>4482.4299501688665</v>
      </c>
    </row>
    <row r="822" spans="3:16" x14ac:dyDescent="0.25">
      <c r="C822">
        <v>0.79400000000000004</v>
      </c>
      <c r="D822">
        <f t="shared" si="120"/>
        <v>-2454.1447607975733</v>
      </c>
      <c r="E822">
        <f t="shared" si="121"/>
        <v>3558.6929707969934</v>
      </c>
      <c r="F822">
        <f t="shared" si="124"/>
        <v>1</v>
      </c>
      <c r="G822">
        <f t="shared" si="125"/>
        <v>1</v>
      </c>
      <c r="H822">
        <f t="shared" si="126"/>
        <v>3558.6929707969934</v>
      </c>
      <c r="K822">
        <v>0.79400000000000004</v>
      </c>
      <c r="L822">
        <f t="shared" si="122"/>
        <v>-2072.1447607975733</v>
      </c>
      <c r="M822">
        <f t="shared" si="123"/>
        <v>4479.128257117658</v>
      </c>
      <c r="N822">
        <f t="shared" si="127"/>
        <v>1</v>
      </c>
      <c r="O822">
        <f t="shared" si="128"/>
        <v>1</v>
      </c>
      <c r="P822">
        <f t="shared" si="129"/>
        <v>4479.128257117658</v>
      </c>
    </row>
    <row r="823" spans="3:16" x14ac:dyDescent="0.25">
      <c r="C823">
        <v>0.79500000000000004</v>
      </c>
      <c r="D823">
        <f t="shared" si="120"/>
        <v>-2441.2929253891707</v>
      </c>
      <c r="E823">
        <f t="shared" si="121"/>
        <v>3556.0161315181358</v>
      </c>
      <c r="F823">
        <f t="shared" si="124"/>
        <v>1</v>
      </c>
      <c r="G823">
        <f t="shared" si="125"/>
        <v>1</v>
      </c>
      <c r="H823">
        <f t="shared" si="126"/>
        <v>3556.0161315181358</v>
      </c>
      <c r="K823">
        <v>0.79500000000000004</v>
      </c>
      <c r="L823">
        <f t="shared" si="122"/>
        <v>-2056.2929253891707</v>
      </c>
      <c r="M823">
        <f t="shared" si="123"/>
        <v>4475.8265640664504</v>
      </c>
      <c r="N823">
        <f t="shared" si="127"/>
        <v>1</v>
      </c>
      <c r="O823">
        <f t="shared" si="128"/>
        <v>1</v>
      </c>
      <c r="P823">
        <f t="shared" si="129"/>
        <v>4475.8265640664504</v>
      </c>
    </row>
    <row r="824" spans="3:16" x14ac:dyDescent="0.25">
      <c r="C824">
        <v>0.79600000000000004</v>
      </c>
      <c r="D824">
        <f t="shared" si="120"/>
        <v>-2428.4410899807681</v>
      </c>
      <c r="E824">
        <f t="shared" si="121"/>
        <v>3553.3392922392786</v>
      </c>
      <c r="F824">
        <f t="shared" si="124"/>
        <v>1</v>
      </c>
      <c r="G824">
        <f t="shared" si="125"/>
        <v>1</v>
      </c>
      <c r="H824">
        <f t="shared" si="126"/>
        <v>3553.3392922392786</v>
      </c>
      <c r="K824">
        <v>0.79600000000000004</v>
      </c>
      <c r="L824">
        <f t="shared" si="122"/>
        <v>-2040.4410899807681</v>
      </c>
      <c r="M824">
        <f t="shared" si="123"/>
        <v>4472.5248710152428</v>
      </c>
      <c r="N824">
        <f t="shared" si="127"/>
        <v>1</v>
      </c>
      <c r="O824">
        <f t="shared" si="128"/>
        <v>1</v>
      </c>
      <c r="P824">
        <f t="shared" si="129"/>
        <v>4472.5248710152428</v>
      </c>
    </row>
    <row r="825" spans="3:16" x14ac:dyDescent="0.25">
      <c r="C825">
        <v>0.79700000000000004</v>
      </c>
      <c r="D825">
        <f t="shared" si="120"/>
        <v>-2415.5892545723655</v>
      </c>
      <c r="E825">
        <f t="shared" si="121"/>
        <v>3550.6624529604214</v>
      </c>
      <c r="F825">
        <f t="shared" si="124"/>
        <v>1</v>
      </c>
      <c r="G825">
        <f t="shared" si="125"/>
        <v>1</v>
      </c>
      <c r="H825">
        <f t="shared" si="126"/>
        <v>3550.6624529604214</v>
      </c>
      <c r="K825">
        <v>0.79700000000000004</v>
      </c>
      <c r="L825">
        <f t="shared" si="122"/>
        <v>-2024.5892545723655</v>
      </c>
      <c r="M825">
        <f t="shared" si="123"/>
        <v>4469.2231779640342</v>
      </c>
      <c r="N825">
        <f t="shared" si="127"/>
        <v>1</v>
      </c>
      <c r="O825">
        <f t="shared" si="128"/>
        <v>1</v>
      </c>
      <c r="P825">
        <f t="shared" si="129"/>
        <v>4469.2231779640342</v>
      </c>
    </row>
    <row r="826" spans="3:16" x14ac:dyDescent="0.25">
      <c r="C826">
        <v>0.79800000000000004</v>
      </c>
      <c r="D826">
        <f t="shared" si="120"/>
        <v>-2402.7374191639647</v>
      </c>
      <c r="E826">
        <f t="shared" si="121"/>
        <v>3547.9856136815642</v>
      </c>
      <c r="F826">
        <f t="shared" si="124"/>
        <v>1</v>
      </c>
      <c r="G826">
        <f t="shared" si="125"/>
        <v>1</v>
      </c>
      <c r="H826">
        <f t="shared" si="126"/>
        <v>3547.9856136815642</v>
      </c>
      <c r="K826">
        <v>0.79800000000000004</v>
      </c>
      <c r="L826">
        <f t="shared" si="122"/>
        <v>-2008.7374191639628</v>
      </c>
      <c r="M826">
        <f t="shared" si="123"/>
        <v>4465.9214849128257</v>
      </c>
      <c r="N826">
        <f t="shared" si="127"/>
        <v>1</v>
      </c>
      <c r="O826">
        <f t="shared" si="128"/>
        <v>1</v>
      </c>
      <c r="P826">
        <f t="shared" si="129"/>
        <v>4465.9214849128257</v>
      </c>
    </row>
    <row r="827" spans="3:16" x14ac:dyDescent="0.25">
      <c r="C827">
        <v>0.79900000000000004</v>
      </c>
      <c r="D827">
        <f t="shared" si="120"/>
        <v>-2389.885583755562</v>
      </c>
      <c r="E827">
        <f t="shared" si="121"/>
        <v>3545.3087744027071</v>
      </c>
      <c r="F827">
        <f t="shared" si="124"/>
        <v>1</v>
      </c>
      <c r="G827">
        <f t="shared" si="125"/>
        <v>1</v>
      </c>
      <c r="H827">
        <f t="shared" si="126"/>
        <v>3545.3087744027071</v>
      </c>
      <c r="K827">
        <v>0.79900000000000004</v>
      </c>
      <c r="L827">
        <f t="shared" si="122"/>
        <v>-1992.885583755562</v>
      </c>
      <c r="M827">
        <f t="shared" si="123"/>
        <v>4462.6197918616181</v>
      </c>
      <c r="N827">
        <f t="shared" si="127"/>
        <v>1</v>
      </c>
      <c r="O827">
        <f t="shared" si="128"/>
        <v>0.99999503647706278</v>
      </c>
      <c r="P827">
        <f t="shared" si="129"/>
        <v>4462.608716690027</v>
      </c>
    </row>
    <row r="828" spans="3:16" x14ac:dyDescent="0.25">
      <c r="C828">
        <v>0.8</v>
      </c>
      <c r="D828">
        <f t="shared" si="120"/>
        <v>-2377.0337483471594</v>
      </c>
      <c r="E828">
        <f t="shared" si="121"/>
        <v>3542.6319351238499</v>
      </c>
      <c r="F828">
        <f t="shared" si="124"/>
        <v>1</v>
      </c>
      <c r="G828">
        <f t="shared" si="125"/>
        <v>1</v>
      </c>
      <c r="H828">
        <f t="shared" si="126"/>
        <v>3542.6319351238499</v>
      </c>
      <c r="K828">
        <v>0.8</v>
      </c>
      <c r="L828">
        <f t="shared" si="122"/>
        <v>-1977.0337483471594</v>
      </c>
      <c r="M828">
        <f t="shared" si="123"/>
        <v>4459.3180988104104</v>
      </c>
      <c r="N828">
        <f t="shared" si="127"/>
        <v>1</v>
      </c>
      <c r="O828">
        <f t="shared" si="128"/>
        <v>0.99994827604444247</v>
      </c>
      <c r="P828">
        <f t="shared" si="129"/>
        <v>4459.2027705335031</v>
      </c>
    </row>
    <row r="829" spans="3:16" x14ac:dyDescent="0.25">
      <c r="C829">
        <v>0.80100000000000005</v>
      </c>
      <c r="D829">
        <f t="shared" si="120"/>
        <v>-2364.1819129387568</v>
      </c>
      <c r="E829">
        <f t="shared" si="121"/>
        <v>3539.9550958449927</v>
      </c>
      <c r="F829">
        <f t="shared" si="124"/>
        <v>1</v>
      </c>
      <c r="G829">
        <f t="shared" si="125"/>
        <v>1</v>
      </c>
      <c r="H829">
        <f t="shared" si="126"/>
        <v>3539.9550958449927</v>
      </c>
      <c r="K829">
        <v>0.80100000000000005</v>
      </c>
      <c r="L829">
        <f t="shared" si="122"/>
        <v>-1961.1819129387568</v>
      </c>
      <c r="M829">
        <f t="shared" si="123"/>
        <v>4456.0164057592019</v>
      </c>
      <c r="N829">
        <f t="shared" si="127"/>
        <v>1</v>
      </c>
      <c r="O829">
        <f t="shared" si="128"/>
        <v>0.99985223221930852</v>
      </c>
      <c r="P829">
        <f t="shared" si="129"/>
        <v>4455.6871657684851</v>
      </c>
    </row>
    <row r="830" spans="3:16" x14ac:dyDescent="0.25">
      <c r="C830">
        <v>0.80200000000000005</v>
      </c>
      <c r="D830">
        <f t="shared" si="120"/>
        <v>-2351.3300775303542</v>
      </c>
      <c r="E830">
        <f t="shared" si="121"/>
        <v>3537.278256566135</v>
      </c>
      <c r="F830">
        <f t="shared" si="124"/>
        <v>1</v>
      </c>
      <c r="G830">
        <f t="shared" si="125"/>
        <v>1</v>
      </c>
      <c r="H830">
        <f t="shared" si="126"/>
        <v>3537.278256566135</v>
      </c>
      <c r="K830">
        <v>0.80200000000000005</v>
      </c>
      <c r="L830">
        <f t="shared" si="122"/>
        <v>-1945.3300775303542</v>
      </c>
      <c r="M830">
        <f t="shared" si="123"/>
        <v>4452.7147127079934</v>
      </c>
      <c r="N830">
        <f t="shared" si="127"/>
        <v>1</v>
      </c>
      <c r="O830">
        <f t="shared" si="128"/>
        <v>0.99970690500166126</v>
      </c>
      <c r="P830">
        <f t="shared" si="129"/>
        <v>4452.0621306816947</v>
      </c>
    </row>
    <row r="831" spans="3:16" x14ac:dyDescent="0.25">
      <c r="C831">
        <v>0.80300000000000005</v>
      </c>
      <c r="D831">
        <f t="shared" si="120"/>
        <v>-2338.4782421219516</v>
      </c>
      <c r="E831">
        <f t="shared" si="121"/>
        <v>3534.6014172872779</v>
      </c>
      <c r="F831">
        <f t="shared" si="124"/>
        <v>1</v>
      </c>
      <c r="G831">
        <f t="shared" si="125"/>
        <v>1</v>
      </c>
      <c r="H831">
        <f t="shared" si="126"/>
        <v>3534.6014172872779</v>
      </c>
      <c r="K831">
        <v>0.80300000000000005</v>
      </c>
      <c r="L831">
        <f t="shared" si="122"/>
        <v>-1929.4782421219516</v>
      </c>
      <c r="M831">
        <f t="shared" si="123"/>
        <v>4449.4130196567858</v>
      </c>
      <c r="N831">
        <f t="shared" si="127"/>
        <v>1</v>
      </c>
      <c r="O831">
        <f t="shared" si="128"/>
        <v>0.99951229439150058</v>
      </c>
      <c r="P831">
        <f t="shared" si="129"/>
        <v>4448.3278854920372</v>
      </c>
    </row>
    <row r="832" spans="3:16" x14ac:dyDescent="0.25">
      <c r="C832">
        <v>0.80400000000000005</v>
      </c>
      <c r="D832">
        <f t="shared" si="120"/>
        <v>-2325.6264067135489</v>
      </c>
      <c r="E832">
        <f t="shared" si="121"/>
        <v>3531.9245780084207</v>
      </c>
      <c r="F832">
        <f t="shared" si="124"/>
        <v>1</v>
      </c>
      <c r="G832">
        <f t="shared" si="125"/>
        <v>1</v>
      </c>
      <c r="H832">
        <f t="shared" si="126"/>
        <v>3531.9245780084207</v>
      </c>
      <c r="K832">
        <v>0.80400000000000005</v>
      </c>
      <c r="L832">
        <f t="shared" si="122"/>
        <v>-1913.6264067135489</v>
      </c>
      <c r="M832">
        <f t="shared" si="123"/>
        <v>4446.1113266055781</v>
      </c>
      <c r="N832">
        <f t="shared" si="127"/>
        <v>1</v>
      </c>
      <c r="O832">
        <f t="shared" si="128"/>
        <v>0.99926840038882636</v>
      </c>
      <c r="P832">
        <f t="shared" si="129"/>
        <v>4444.4846423718636</v>
      </c>
    </row>
    <row r="833" spans="3:16" x14ac:dyDescent="0.25">
      <c r="C833">
        <v>0.80500000000000005</v>
      </c>
      <c r="D833">
        <f t="shared" si="120"/>
        <v>-2312.7745713051463</v>
      </c>
      <c r="E833">
        <f t="shared" si="121"/>
        <v>3529.247738729563</v>
      </c>
      <c r="F833">
        <f t="shared" si="124"/>
        <v>1</v>
      </c>
      <c r="G833">
        <f t="shared" si="125"/>
        <v>1</v>
      </c>
      <c r="H833">
        <f t="shared" si="126"/>
        <v>3529.247738729563</v>
      </c>
      <c r="K833">
        <v>0.80500000000000005</v>
      </c>
      <c r="L833">
        <f t="shared" si="122"/>
        <v>-1897.7745713051463</v>
      </c>
      <c r="M833">
        <f t="shared" si="123"/>
        <v>4442.8096335543696</v>
      </c>
      <c r="N833">
        <f t="shared" si="127"/>
        <v>1</v>
      </c>
      <c r="O833">
        <f t="shared" si="128"/>
        <v>0.99897522299363872</v>
      </c>
      <c r="P833">
        <f t="shared" si="129"/>
        <v>4440.5326054652787</v>
      </c>
    </row>
    <row r="834" spans="3:16" x14ac:dyDescent="0.25">
      <c r="C834">
        <v>0.80600000000000005</v>
      </c>
      <c r="D834">
        <f t="shared" si="120"/>
        <v>-2299.9227358967437</v>
      </c>
      <c r="E834">
        <f t="shared" si="121"/>
        <v>3526.5708994507058</v>
      </c>
      <c r="F834">
        <f t="shared" si="124"/>
        <v>1</v>
      </c>
      <c r="G834">
        <f t="shared" si="125"/>
        <v>1</v>
      </c>
      <c r="H834">
        <f t="shared" si="126"/>
        <v>3526.5708994507058</v>
      </c>
      <c r="K834">
        <v>0.80600000000000005</v>
      </c>
      <c r="L834">
        <f t="shared" si="122"/>
        <v>-1881.9227358967437</v>
      </c>
      <c r="M834">
        <f t="shared" si="123"/>
        <v>4439.5079405031611</v>
      </c>
      <c r="N834">
        <f t="shared" si="127"/>
        <v>1</v>
      </c>
      <c r="O834">
        <f t="shared" si="128"/>
        <v>0.99863276220593755</v>
      </c>
      <c r="P834">
        <f t="shared" si="129"/>
        <v>4436.4719709034716</v>
      </c>
    </row>
    <row r="835" spans="3:16" x14ac:dyDescent="0.25">
      <c r="C835">
        <v>0.80700000000000005</v>
      </c>
      <c r="D835">
        <f t="shared" si="120"/>
        <v>-2287.0709004883411</v>
      </c>
      <c r="E835">
        <f t="shared" si="121"/>
        <v>3523.8940601718487</v>
      </c>
      <c r="F835">
        <f t="shared" si="124"/>
        <v>1</v>
      </c>
      <c r="G835">
        <f t="shared" si="125"/>
        <v>1</v>
      </c>
      <c r="H835">
        <f t="shared" si="126"/>
        <v>3523.8940601718487</v>
      </c>
      <c r="K835">
        <v>0.80700000000000005</v>
      </c>
      <c r="L835">
        <f t="shared" si="122"/>
        <v>-1866.0709004883411</v>
      </c>
      <c r="M835">
        <f t="shared" si="123"/>
        <v>4436.2062474519535</v>
      </c>
      <c r="N835">
        <f t="shared" si="127"/>
        <v>1</v>
      </c>
      <c r="O835">
        <f t="shared" si="128"/>
        <v>0.99824101802572296</v>
      </c>
      <c r="P835">
        <f t="shared" si="129"/>
        <v>4432.3029268170994</v>
      </c>
    </row>
    <row r="836" spans="3:16" x14ac:dyDescent="0.25">
      <c r="C836">
        <v>0.80800000000000005</v>
      </c>
      <c r="D836">
        <f t="shared" si="120"/>
        <v>-2274.2190650799384</v>
      </c>
      <c r="E836">
        <f t="shared" si="121"/>
        <v>3521.2172208929915</v>
      </c>
      <c r="F836">
        <f t="shared" si="124"/>
        <v>1</v>
      </c>
      <c r="G836">
        <f t="shared" si="125"/>
        <v>1</v>
      </c>
      <c r="H836">
        <f t="shared" si="126"/>
        <v>3521.2172208929915</v>
      </c>
      <c r="K836">
        <v>0.80800000000000005</v>
      </c>
      <c r="L836">
        <f t="shared" si="122"/>
        <v>-1850.2190650799384</v>
      </c>
      <c r="M836">
        <f t="shared" si="123"/>
        <v>4432.9045544007458</v>
      </c>
      <c r="N836">
        <f t="shared" si="127"/>
        <v>1</v>
      </c>
      <c r="O836">
        <f t="shared" si="128"/>
        <v>0.99779999045299506</v>
      </c>
      <c r="P836">
        <f t="shared" si="129"/>
        <v>4428.0256533456932</v>
      </c>
    </row>
    <row r="837" spans="3:16" x14ac:dyDescent="0.25">
      <c r="C837">
        <v>0.80900000000000005</v>
      </c>
      <c r="D837">
        <f t="shared" si="120"/>
        <v>-2261.3672296715358</v>
      </c>
      <c r="E837">
        <f t="shared" si="121"/>
        <v>3518.5403816141338</v>
      </c>
      <c r="F837">
        <f t="shared" si="124"/>
        <v>1</v>
      </c>
      <c r="G837">
        <f t="shared" si="125"/>
        <v>1</v>
      </c>
      <c r="H837">
        <f t="shared" si="126"/>
        <v>3518.5403816141338</v>
      </c>
      <c r="K837">
        <v>0.80900000000000005</v>
      </c>
      <c r="L837">
        <f t="shared" si="122"/>
        <v>-1834.3672296715358</v>
      </c>
      <c r="M837">
        <f t="shared" si="123"/>
        <v>4429.6028613495373</v>
      </c>
      <c r="N837">
        <f t="shared" si="127"/>
        <v>1</v>
      </c>
      <c r="O837">
        <f t="shared" si="128"/>
        <v>0.99730967948775351</v>
      </c>
      <c r="P837">
        <f t="shared" si="129"/>
        <v>4423.6403226441216</v>
      </c>
    </row>
    <row r="838" spans="3:16" x14ac:dyDescent="0.25">
      <c r="C838">
        <v>0.81</v>
      </c>
      <c r="D838">
        <f t="shared" si="120"/>
        <v>-2248.5153942631332</v>
      </c>
      <c r="E838">
        <f t="shared" si="121"/>
        <v>3515.8635423352766</v>
      </c>
      <c r="F838">
        <f t="shared" si="124"/>
        <v>1</v>
      </c>
      <c r="G838">
        <f t="shared" si="125"/>
        <v>1</v>
      </c>
      <c r="H838">
        <f t="shared" si="126"/>
        <v>3515.8635423352766</v>
      </c>
      <c r="K838">
        <v>0.81</v>
      </c>
      <c r="L838">
        <f t="shared" si="122"/>
        <v>-1818.5153942631332</v>
      </c>
      <c r="M838">
        <f t="shared" si="123"/>
        <v>4426.3011682983288</v>
      </c>
      <c r="N838">
        <f t="shared" si="127"/>
        <v>1</v>
      </c>
      <c r="O838">
        <f t="shared" si="128"/>
        <v>0.99677008512999865</v>
      </c>
      <c r="P838">
        <f t="shared" si="129"/>
        <v>4419.147098886081</v>
      </c>
    </row>
    <row r="839" spans="3:16" x14ac:dyDescent="0.25">
      <c r="C839">
        <v>0.81100000000000005</v>
      </c>
      <c r="D839">
        <f t="shared" si="120"/>
        <v>-2235.6635588547324</v>
      </c>
      <c r="E839">
        <f t="shared" si="121"/>
        <v>3513.1867030564199</v>
      </c>
      <c r="F839">
        <f t="shared" si="124"/>
        <v>1</v>
      </c>
      <c r="G839">
        <f t="shared" si="125"/>
        <v>1</v>
      </c>
      <c r="H839">
        <f t="shared" si="126"/>
        <v>3513.1867030564199</v>
      </c>
      <c r="K839">
        <v>0.81100000000000005</v>
      </c>
      <c r="L839">
        <f t="shared" si="122"/>
        <v>-1802.6635588547306</v>
      </c>
      <c r="M839">
        <f t="shared" si="123"/>
        <v>4422.9994752471212</v>
      </c>
      <c r="N839">
        <f t="shared" si="127"/>
        <v>1</v>
      </c>
      <c r="O839">
        <f t="shared" si="128"/>
        <v>0.99618120737973026</v>
      </c>
      <c r="P839">
        <f t="shared" si="129"/>
        <v>4414.5461382646063</v>
      </c>
    </row>
    <row r="840" spans="3:16" x14ac:dyDescent="0.25">
      <c r="C840">
        <v>0.81200000000000006</v>
      </c>
      <c r="D840">
        <f t="shared" si="120"/>
        <v>-2222.8117234463298</v>
      </c>
      <c r="E840">
        <f t="shared" si="121"/>
        <v>3510.5098637775623</v>
      </c>
      <c r="F840">
        <f t="shared" si="124"/>
        <v>1</v>
      </c>
      <c r="G840">
        <f t="shared" si="125"/>
        <v>1</v>
      </c>
      <c r="H840">
        <f t="shared" si="126"/>
        <v>3510.5098637775623</v>
      </c>
      <c r="K840">
        <v>0.81200000000000006</v>
      </c>
      <c r="L840">
        <f t="shared" si="122"/>
        <v>-1786.8117234463298</v>
      </c>
      <c r="M840">
        <f t="shared" si="123"/>
        <v>4419.6977821959135</v>
      </c>
      <c r="N840">
        <f t="shared" si="127"/>
        <v>1</v>
      </c>
      <c r="O840">
        <f t="shared" si="128"/>
        <v>0.99554304623694856</v>
      </c>
      <c r="P840">
        <f t="shared" si="129"/>
        <v>4409.8375889896006</v>
      </c>
    </row>
    <row r="841" spans="3:16" x14ac:dyDescent="0.25">
      <c r="C841">
        <v>0.81299999999999994</v>
      </c>
      <c r="D841">
        <f t="shared" si="120"/>
        <v>-2209.9598880379272</v>
      </c>
      <c r="E841">
        <f t="shared" si="121"/>
        <v>3507.8330244987051</v>
      </c>
      <c r="F841">
        <f t="shared" si="124"/>
        <v>1</v>
      </c>
      <c r="G841">
        <f t="shared" si="125"/>
        <v>1</v>
      </c>
      <c r="H841">
        <f t="shared" si="126"/>
        <v>3507.8330244987051</v>
      </c>
      <c r="K841">
        <v>0.81299999999999994</v>
      </c>
      <c r="L841">
        <f t="shared" si="122"/>
        <v>-1770.959888037929</v>
      </c>
      <c r="M841">
        <f t="shared" si="123"/>
        <v>4416.3960891447059</v>
      </c>
      <c r="N841">
        <f t="shared" si="127"/>
        <v>1</v>
      </c>
      <c r="O841">
        <f t="shared" si="128"/>
        <v>0.99485560170165332</v>
      </c>
      <c r="P841">
        <f t="shared" si="129"/>
        <v>4405.0215912823714</v>
      </c>
    </row>
    <row r="842" spans="3:16" x14ac:dyDescent="0.25">
      <c r="C842">
        <v>0.81399999999999995</v>
      </c>
      <c r="D842">
        <f t="shared" si="120"/>
        <v>-2197.1080526295264</v>
      </c>
      <c r="E842">
        <f t="shared" si="121"/>
        <v>3505.1561852198483</v>
      </c>
      <c r="F842">
        <f t="shared" si="124"/>
        <v>1</v>
      </c>
      <c r="G842">
        <f t="shared" si="125"/>
        <v>1</v>
      </c>
      <c r="H842">
        <f t="shared" si="126"/>
        <v>3505.1561852198483</v>
      </c>
      <c r="K842">
        <v>0.81399999999999995</v>
      </c>
      <c r="L842">
        <f t="shared" si="122"/>
        <v>-1755.1080526295264</v>
      </c>
      <c r="M842">
        <f t="shared" si="123"/>
        <v>4413.0943960934974</v>
      </c>
      <c r="N842">
        <f t="shared" si="127"/>
        <v>1</v>
      </c>
      <c r="O842">
        <f t="shared" si="128"/>
        <v>0.99411887377384467</v>
      </c>
      <c r="P842">
        <f t="shared" si="129"/>
        <v>4400.0982773671558</v>
      </c>
    </row>
    <row r="843" spans="3:16" x14ac:dyDescent="0.25">
      <c r="C843">
        <v>0.81499999999999995</v>
      </c>
      <c r="D843">
        <f t="shared" si="120"/>
        <v>-2184.2562172211237</v>
      </c>
      <c r="E843">
        <f t="shared" si="121"/>
        <v>3502.4793459409907</v>
      </c>
      <c r="F843">
        <f t="shared" si="124"/>
        <v>1</v>
      </c>
      <c r="G843">
        <f t="shared" si="125"/>
        <v>1</v>
      </c>
      <c r="H843">
        <f t="shared" si="126"/>
        <v>3502.4793459409907</v>
      </c>
      <c r="K843">
        <v>0.81499999999999995</v>
      </c>
      <c r="L843">
        <f t="shared" si="122"/>
        <v>-1739.2562172211237</v>
      </c>
      <c r="M843">
        <f t="shared" si="123"/>
        <v>4409.7927030422888</v>
      </c>
      <c r="N843">
        <f t="shared" si="127"/>
        <v>1</v>
      </c>
      <c r="O843">
        <f t="shared" si="128"/>
        <v>0.99333286245352248</v>
      </c>
      <c r="P843">
        <f t="shared" si="129"/>
        <v>4395.0677714596068</v>
      </c>
    </row>
    <row r="844" spans="3:16" x14ac:dyDescent="0.25">
      <c r="C844">
        <v>0.81599999999999995</v>
      </c>
      <c r="D844">
        <f t="shared" si="120"/>
        <v>-2171.4043818127211</v>
      </c>
      <c r="E844">
        <f t="shared" si="121"/>
        <v>3499.8025066621335</v>
      </c>
      <c r="F844">
        <f t="shared" si="124"/>
        <v>1</v>
      </c>
      <c r="G844">
        <f t="shared" si="125"/>
        <v>1</v>
      </c>
      <c r="H844">
        <f t="shared" si="126"/>
        <v>3499.8025066621335</v>
      </c>
      <c r="K844">
        <v>0.81599999999999995</v>
      </c>
      <c r="L844">
        <f t="shared" si="122"/>
        <v>-1723.4043818127211</v>
      </c>
      <c r="M844">
        <f t="shared" si="123"/>
        <v>4406.4910099910812</v>
      </c>
      <c r="N844">
        <f t="shared" si="127"/>
        <v>1</v>
      </c>
      <c r="O844">
        <f t="shared" si="128"/>
        <v>0.99249756774068687</v>
      </c>
      <c r="P844">
        <f t="shared" si="129"/>
        <v>4389.93018975224</v>
      </c>
    </row>
    <row r="845" spans="3:16" x14ac:dyDescent="0.25">
      <c r="C845">
        <v>0.81699999999999995</v>
      </c>
      <c r="D845">
        <f t="shared" si="120"/>
        <v>-2158.5525464043185</v>
      </c>
      <c r="E845">
        <f t="shared" si="121"/>
        <v>3497.1256673832763</v>
      </c>
      <c r="F845">
        <f t="shared" si="124"/>
        <v>1</v>
      </c>
      <c r="G845">
        <f t="shared" si="125"/>
        <v>1</v>
      </c>
      <c r="H845">
        <f t="shared" si="126"/>
        <v>3497.1256673832763</v>
      </c>
      <c r="K845">
        <v>0.81699999999999995</v>
      </c>
      <c r="L845">
        <f t="shared" si="122"/>
        <v>-1707.5525464043185</v>
      </c>
      <c r="M845">
        <f t="shared" si="123"/>
        <v>4403.1893169398736</v>
      </c>
      <c r="N845">
        <f t="shared" si="127"/>
        <v>1</v>
      </c>
      <c r="O845">
        <f t="shared" si="128"/>
        <v>0.99161298963533784</v>
      </c>
      <c r="P845">
        <f t="shared" si="129"/>
        <v>4384.6856403967922</v>
      </c>
    </row>
    <row r="846" spans="3:16" x14ac:dyDescent="0.25">
      <c r="C846">
        <v>0.81799999999999995</v>
      </c>
      <c r="D846">
        <f t="shared" si="120"/>
        <v>-2145.7007109959159</v>
      </c>
      <c r="E846">
        <f t="shared" si="121"/>
        <v>3494.4488281044191</v>
      </c>
      <c r="F846">
        <f t="shared" si="124"/>
        <v>1</v>
      </c>
      <c r="G846">
        <f t="shared" si="125"/>
        <v>1</v>
      </c>
      <c r="H846">
        <f t="shared" si="126"/>
        <v>3494.4488281044191</v>
      </c>
      <c r="K846">
        <v>0.81799999999999995</v>
      </c>
      <c r="L846">
        <f t="shared" si="122"/>
        <v>-1691.7007109959159</v>
      </c>
      <c r="M846">
        <f t="shared" si="123"/>
        <v>4399.8876238886651</v>
      </c>
      <c r="N846">
        <f t="shared" si="127"/>
        <v>1</v>
      </c>
      <c r="O846">
        <f t="shared" si="128"/>
        <v>0.99067912813747527</v>
      </c>
      <c r="P846">
        <f t="shared" si="129"/>
        <v>4379.3342234834963</v>
      </c>
    </row>
    <row r="847" spans="3:16" x14ac:dyDescent="0.25">
      <c r="C847">
        <v>0.81899999999999995</v>
      </c>
      <c r="D847">
        <f t="shared" si="120"/>
        <v>-2132.8488755875132</v>
      </c>
      <c r="E847">
        <f t="shared" si="121"/>
        <v>3491.7719888255615</v>
      </c>
      <c r="F847">
        <f t="shared" si="124"/>
        <v>1</v>
      </c>
      <c r="G847">
        <f t="shared" si="125"/>
        <v>1</v>
      </c>
      <c r="H847">
        <f t="shared" si="126"/>
        <v>3491.7719888255615</v>
      </c>
      <c r="K847">
        <v>0.81899999999999995</v>
      </c>
      <c r="L847">
        <f t="shared" si="122"/>
        <v>-1675.8488755875132</v>
      </c>
      <c r="M847">
        <f t="shared" si="123"/>
        <v>4396.5859308374565</v>
      </c>
      <c r="N847">
        <f t="shared" si="127"/>
        <v>1</v>
      </c>
      <c r="O847">
        <f t="shared" si="128"/>
        <v>0.98969598324709929</v>
      </c>
      <c r="P847">
        <f t="shared" si="129"/>
        <v>4373.8760310172129</v>
      </c>
    </row>
    <row r="848" spans="3:16" x14ac:dyDescent="0.25">
      <c r="C848">
        <v>0.82</v>
      </c>
      <c r="D848">
        <f t="shared" si="120"/>
        <v>-2119.9970401791106</v>
      </c>
      <c r="E848">
        <f t="shared" si="121"/>
        <v>3489.0951495467043</v>
      </c>
      <c r="F848">
        <f t="shared" si="124"/>
        <v>1</v>
      </c>
      <c r="G848">
        <f t="shared" si="125"/>
        <v>1</v>
      </c>
      <c r="H848">
        <f t="shared" si="126"/>
        <v>3489.0951495467043</v>
      </c>
      <c r="K848">
        <v>0.82</v>
      </c>
      <c r="L848">
        <f t="shared" si="122"/>
        <v>-1659.9970401791106</v>
      </c>
      <c r="M848">
        <f t="shared" si="123"/>
        <v>4393.2842377862489</v>
      </c>
      <c r="N848">
        <f t="shared" si="127"/>
        <v>1</v>
      </c>
      <c r="O848">
        <f t="shared" si="128"/>
        <v>0.98866355496420988</v>
      </c>
      <c r="P848">
        <f t="shared" si="129"/>
        <v>4368.3111468904099</v>
      </c>
    </row>
    <row r="849" spans="3:16" x14ac:dyDescent="0.25">
      <c r="C849">
        <v>0.82099999999999995</v>
      </c>
      <c r="D849">
        <f t="shared" si="120"/>
        <v>-2107.145204770708</v>
      </c>
      <c r="E849">
        <f t="shared" si="121"/>
        <v>3486.4183102678471</v>
      </c>
      <c r="F849">
        <f t="shared" si="124"/>
        <v>1</v>
      </c>
      <c r="G849">
        <f t="shared" si="125"/>
        <v>1</v>
      </c>
      <c r="H849">
        <f t="shared" si="126"/>
        <v>3486.4183102678471</v>
      </c>
      <c r="K849">
        <v>0.82099999999999995</v>
      </c>
      <c r="L849">
        <f t="shared" si="122"/>
        <v>-1644.145204770708</v>
      </c>
      <c r="M849">
        <f t="shared" si="123"/>
        <v>4389.9825447350404</v>
      </c>
      <c r="N849">
        <f t="shared" si="127"/>
        <v>1</v>
      </c>
      <c r="O849">
        <f t="shared" si="128"/>
        <v>0.98758184328880705</v>
      </c>
      <c r="P849">
        <f t="shared" si="129"/>
        <v>4362.6396468529265</v>
      </c>
    </row>
    <row r="850" spans="3:16" x14ac:dyDescent="0.25">
      <c r="C850">
        <v>0.82199999999999995</v>
      </c>
      <c r="D850">
        <f t="shared" si="120"/>
        <v>-2094.2933693623054</v>
      </c>
      <c r="E850">
        <f t="shared" si="121"/>
        <v>3483.7414709889899</v>
      </c>
      <c r="F850">
        <f t="shared" si="124"/>
        <v>1</v>
      </c>
      <c r="G850">
        <f t="shared" si="125"/>
        <v>1</v>
      </c>
      <c r="H850">
        <f t="shared" si="126"/>
        <v>3483.7414709889899</v>
      </c>
      <c r="K850">
        <v>0.82199999999999995</v>
      </c>
      <c r="L850">
        <f t="shared" si="122"/>
        <v>-1628.2933693623054</v>
      </c>
      <c r="M850">
        <f t="shared" si="123"/>
        <v>4386.6808516838319</v>
      </c>
      <c r="N850">
        <f t="shared" si="127"/>
        <v>1</v>
      </c>
      <c r="O850">
        <f t="shared" si="128"/>
        <v>0.98645084822089069</v>
      </c>
      <c r="P850">
        <f t="shared" si="129"/>
        <v>4356.8615984785338</v>
      </c>
    </row>
    <row r="851" spans="3:16" x14ac:dyDescent="0.25">
      <c r="C851">
        <v>0.82299999999999995</v>
      </c>
      <c r="D851">
        <f t="shared" si="120"/>
        <v>-2081.4415339539028</v>
      </c>
      <c r="E851">
        <f t="shared" si="121"/>
        <v>3481.0646317101323</v>
      </c>
      <c r="F851">
        <f t="shared" si="124"/>
        <v>1</v>
      </c>
      <c r="G851">
        <f t="shared" si="125"/>
        <v>1</v>
      </c>
      <c r="H851">
        <f t="shared" si="126"/>
        <v>3481.0646317101323</v>
      </c>
      <c r="K851">
        <v>0.82299999999999995</v>
      </c>
      <c r="L851">
        <f t="shared" si="122"/>
        <v>-1612.4415339539028</v>
      </c>
      <c r="M851">
        <f t="shared" si="123"/>
        <v>4383.3791586326242</v>
      </c>
      <c r="N851">
        <f t="shared" si="127"/>
        <v>1</v>
      </c>
      <c r="O851">
        <f t="shared" si="128"/>
        <v>0.9852705697604609</v>
      </c>
      <c r="P851">
        <f t="shared" si="129"/>
        <v>4350.9770611281892</v>
      </c>
    </row>
    <row r="852" spans="3:16" x14ac:dyDescent="0.25">
      <c r="C852">
        <v>0.82399999999999995</v>
      </c>
      <c r="D852">
        <f t="shared" si="120"/>
        <v>-2068.5896985455001</v>
      </c>
      <c r="E852">
        <f t="shared" si="121"/>
        <v>3478.3877924312751</v>
      </c>
      <c r="F852">
        <f t="shared" si="124"/>
        <v>1</v>
      </c>
      <c r="G852">
        <f t="shared" si="125"/>
        <v>1</v>
      </c>
      <c r="H852">
        <f t="shared" si="126"/>
        <v>3478.3877924312751</v>
      </c>
      <c r="K852">
        <v>0.82399999999999995</v>
      </c>
      <c r="L852">
        <f t="shared" si="122"/>
        <v>-1596.5896985455001</v>
      </c>
      <c r="M852">
        <f t="shared" si="123"/>
        <v>4380.0774655814166</v>
      </c>
      <c r="N852">
        <f t="shared" si="127"/>
        <v>1</v>
      </c>
      <c r="O852">
        <f t="shared" si="128"/>
        <v>0.9840410079075177</v>
      </c>
      <c r="P852">
        <f t="shared" si="129"/>
        <v>4344.9860859099826</v>
      </c>
    </row>
    <row r="853" spans="3:16" x14ac:dyDescent="0.25">
      <c r="C853">
        <v>0.82499999999999996</v>
      </c>
      <c r="D853">
        <f t="shared" si="120"/>
        <v>-2055.7378631370975</v>
      </c>
      <c r="E853">
        <f t="shared" si="121"/>
        <v>3475.7109531524179</v>
      </c>
      <c r="F853">
        <f t="shared" si="124"/>
        <v>1</v>
      </c>
      <c r="G853">
        <f t="shared" si="125"/>
        <v>1</v>
      </c>
      <c r="H853">
        <f t="shared" si="126"/>
        <v>3475.7109531524179</v>
      </c>
      <c r="K853">
        <v>0.82499999999999996</v>
      </c>
      <c r="L853">
        <f t="shared" si="122"/>
        <v>-1580.7378631370993</v>
      </c>
      <c r="M853">
        <f t="shared" si="123"/>
        <v>4376.775772530209</v>
      </c>
      <c r="N853">
        <f t="shared" si="127"/>
        <v>1</v>
      </c>
      <c r="O853">
        <f t="shared" si="128"/>
        <v>0.98276216266206118</v>
      </c>
      <c r="P853">
        <f t="shared" si="129"/>
        <v>4338.8887156357168</v>
      </c>
    </row>
    <row r="854" spans="3:16" x14ac:dyDescent="0.25">
      <c r="C854">
        <v>0.82599999999999996</v>
      </c>
      <c r="D854">
        <f t="shared" si="120"/>
        <v>-2042.8860277286967</v>
      </c>
      <c r="E854">
        <f t="shared" si="121"/>
        <v>3473.0341138735607</v>
      </c>
      <c r="F854">
        <f t="shared" si="124"/>
        <v>1</v>
      </c>
      <c r="G854">
        <f t="shared" si="125"/>
        <v>1</v>
      </c>
      <c r="H854">
        <f t="shared" si="126"/>
        <v>3473.0341138735607</v>
      </c>
      <c r="K854">
        <v>0.82599999999999996</v>
      </c>
      <c r="L854">
        <f t="shared" si="122"/>
        <v>-1564.8860277286967</v>
      </c>
      <c r="M854">
        <f t="shared" si="123"/>
        <v>4373.4740794790005</v>
      </c>
      <c r="N854">
        <f t="shared" si="127"/>
        <v>1</v>
      </c>
      <c r="O854">
        <f t="shared" si="128"/>
        <v>0.98143403402409102</v>
      </c>
      <c r="P854">
        <f t="shared" si="129"/>
        <v>4332.6849847740596</v>
      </c>
    </row>
    <row r="855" spans="3:16" x14ac:dyDescent="0.25">
      <c r="C855">
        <v>0.82699999999999996</v>
      </c>
      <c r="D855">
        <f t="shared" si="120"/>
        <v>-2030.0341923202941</v>
      </c>
      <c r="E855">
        <f t="shared" si="121"/>
        <v>3470.3572745947035</v>
      </c>
      <c r="F855">
        <f t="shared" si="124"/>
        <v>1</v>
      </c>
      <c r="G855">
        <f t="shared" si="125"/>
        <v>1</v>
      </c>
      <c r="H855">
        <f t="shared" si="126"/>
        <v>3470.3572745947035</v>
      </c>
      <c r="K855">
        <v>0.82699999999999996</v>
      </c>
      <c r="L855">
        <f t="shared" si="122"/>
        <v>-1549.0341923202941</v>
      </c>
      <c r="M855">
        <f t="shared" si="123"/>
        <v>4370.1723864277919</v>
      </c>
      <c r="N855">
        <f t="shared" si="127"/>
        <v>1</v>
      </c>
      <c r="O855">
        <f t="shared" si="128"/>
        <v>0.98005662199360744</v>
      </c>
      <c r="P855">
        <f t="shared" si="129"/>
        <v>4326.3749194002376</v>
      </c>
    </row>
    <row r="856" spans="3:16" x14ac:dyDescent="0.25">
      <c r="C856">
        <v>0.82799999999999996</v>
      </c>
      <c r="D856">
        <f t="shared" si="120"/>
        <v>-2017.1823569118915</v>
      </c>
      <c r="E856">
        <f t="shared" si="121"/>
        <v>3467.6804353158464</v>
      </c>
      <c r="F856">
        <f t="shared" si="124"/>
        <v>1</v>
      </c>
      <c r="G856">
        <f t="shared" si="125"/>
        <v>1</v>
      </c>
      <c r="H856">
        <f t="shared" si="126"/>
        <v>3467.6804353158464</v>
      </c>
      <c r="K856">
        <v>0.82799999999999996</v>
      </c>
      <c r="L856">
        <f t="shared" si="122"/>
        <v>-1533.1823569118915</v>
      </c>
      <c r="M856">
        <f t="shared" si="123"/>
        <v>4366.8706933765843</v>
      </c>
      <c r="N856">
        <f t="shared" si="127"/>
        <v>1</v>
      </c>
      <c r="O856">
        <f t="shared" si="128"/>
        <v>0.97862992657061043</v>
      </c>
      <c r="P856">
        <f t="shared" si="129"/>
        <v>4319.9585371421772</v>
      </c>
    </row>
    <row r="857" spans="3:16" x14ac:dyDescent="0.25">
      <c r="C857">
        <v>0.82899999999999996</v>
      </c>
      <c r="D857">
        <f t="shared" si="120"/>
        <v>-2004.3305215034889</v>
      </c>
      <c r="E857">
        <f t="shared" si="121"/>
        <v>3465.0035960369887</v>
      </c>
      <c r="F857">
        <f t="shared" si="124"/>
        <v>1</v>
      </c>
      <c r="G857">
        <f t="shared" si="125"/>
        <v>1</v>
      </c>
      <c r="H857">
        <f t="shared" si="126"/>
        <v>3465.0035960369887</v>
      </c>
      <c r="K857">
        <v>0.82899999999999996</v>
      </c>
      <c r="L857">
        <f t="shared" si="122"/>
        <v>-1517.3305215034889</v>
      </c>
      <c r="M857">
        <f t="shared" si="123"/>
        <v>4363.5690003253767</v>
      </c>
      <c r="N857">
        <f t="shared" si="127"/>
        <v>1</v>
      </c>
      <c r="O857">
        <f t="shared" si="128"/>
        <v>0.97715394775509989</v>
      </c>
      <c r="P857">
        <f t="shared" si="129"/>
        <v>4313.435847123068</v>
      </c>
    </row>
    <row r="858" spans="3:16" x14ac:dyDescent="0.25">
      <c r="C858">
        <v>0.83</v>
      </c>
      <c r="D858">
        <f t="shared" si="120"/>
        <v>-1991.4786860950862</v>
      </c>
      <c r="E858">
        <f t="shared" si="121"/>
        <v>3462.3267567581315</v>
      </c>
      <c r="F858">
        <f t="shared" si="124"/>
        <v>1</v>
      </c>
      <c r="G858">
        <f t="shared" si="125"/>
        <v>0.99998490601722101</v>
      </c>
      <c r="H858">
        <f t="shared" si="126"/>
        <v>3462.3006265093077</v>
      </c>
      <c r="K858">
        <v>0.83</v>
      </c>
      <c r="L858">
        <f t="shared" si="122"/>
        <v>-1501.4786860950862</v>
      </c>
      <c r="M858">
        <f t="shared" si="123"/>
        <v>4360.2673072741682</v>
      </c>
      <c r="N858">
        <f t="shared" si="127"/>
        <v>1</v>
      </c>
      <c r="O858">
        <f t="shared" si="128"/>
        <v>0.97562868554707605</v>
      </c>
      <c r="P858">
        <f t="shared" si="129"/>
        <v>4306.8068499002602</v>
      </c>
    </row>
    <row r="859" spans="3:16" x14ac:dyDescent="0.25">
      <c r="C859">
        <v>0.83099999999999996</v>
      </c>
      <c r="D859">
        <f t="shared" si="120"/>
        <v>-1978.6268506866836</v>
      </c>
      <c r="E859">
        <f t="shared" si="121"/>
        <v>3459.6499174792743</v>
      </c>
      <c r="F859">
        <f t="shared" si="124"/>
        <v>1</v>
      </c>
      <c r="G859">
        <f t="shared" si="125"/>
        <v>0.9999050428302555</v>
      </c>
      <c r="H859">
        <f t="shared" si="126"/>
        <v>3459.4856542974544</v>
      </c>
      <c r="K859">
        <v>0.83099999999999996</v>
      </c>
      <c r="L859">
        <f t="shared" si="122"/>
        <v>-1485.6268506866836</v>
      </c>
      <c r="M859">
        <f t="shared" si="123"/>
        <v>4356.9656142229596</v>
      </c>
      <c r="N859">
        <f t="shared" si="127"/>
        <v>1</v>
      </c>
      <c r="O859">
        <f t="shared" si="128"/>
        <v>0.97405413994653856</v>
      </c>
      <c r="P859">
        <f t="shared" si="129"/>
        <v>4300.0715374004385</v>
      </c>
    </row>
    <row r="860" spans="3:16" x14ac:dyDescent="0.25">
      <c r="C860">
        <v>0.83199999999999996</v>
      </c>
      <c r="D860">
        <f t="shared" ref="D860:D923" si="130">-$J$23+($J$15+$J$23)*C860</f>
        <v>-1965.775015278281</v>
      </c>
      <c r="E860">
        <f t="shared" ref="E860:E923" si="131">$J$12-$J$11*D860</f>
        <v>3456.9730782004171</v>
      </c>
      <c r="F860">
        <f t="shared" si="124"/>
        <v>1</v>
      </c>
      <c r="G860">
        <f t="shared" si="125"/>
        <v>0.99975651217623596</v>
      </c>
      <c r="H860">
        <f t="shared" si="126"/>
        <v>3456.5521871525852</v>
      </c>
      <c r="K860">
        <v>0.83199999999999996</v>
      </c>
      <c r="L860">
        <f t="shared" ref="L860:L923" si="132">-$M$23+($M$15+$M$23)*K860</f>
        <v>-1469.775015278281</v>
      </c>
      <c r="M860">
        <f t="shared" ref="M860:M923" si="133">$J$12-$J$11*L860+$E$18</f>
        <v>4353.663921171752</v>
      </c>
      <c r="N860">
        <f t="shared" si="127"/>
        <v>1</v>
      </c>
      <c r="O860">
        <f t="shared" si="128"/>
        <v>0.97243031095348775</v>
      </c>
      <c r="P860">
        <f t="shared" si="129"/>
        <v>4293.2298928509917</v>
      </c>
    </row>
    <row r="861" spans="3:16" x14ac:dyDescent="0.25">
      <c r="C861">
        <v>0.83299999999999996</v>
      </c>
      <c r="D861">
        <f t="shared" si="130"/>
        <v>-1952.9231798698784</v>
      </c>
      <c r="E861">
        <f t="shared" si="131"/>
        <v>3454.2962389215595</v>
      </c>
      <c r="F861">
        <f t="shared" ref="F861:F924" si="134">IF(D861&lt;$J$20,MAX(1-(D861-$J$20)^2/$J$22^2,0),1)</f>
        <v>1</v>
      </c>
      <c r="G861">
        <f t="shared" ref="G861:G924" si="135">IF(D861&gt;$J$17,MAX(1-(D861-$J$17)^2/($J$15-$J$17)^2,0),1)</f>
        <v>0.99953931405516228</v>
      </c>
      <c r="H861">
        <f t="shared" ref="H861:H924" si="136">SQRT(E861^2*F861*G861)</f>
        <v>3453.5004743983304</v>
      </c>
      <c r="K861">
        <v>0.83299999999999996</v>
      </c>
      <c r="L861">
        <f t="shared" si="132"/>
        <v>-1453.9231798698784</v>
      </c>
      <c r="M861">
        <f t="shared" si="133"/>
        <v>4350.3622281205435</v>
      </c>
      <c r="N861">
        <f t="shared" ref="N861:N924" si="137">IF(L861&lt;$J$20,MAX(1-(L861-$J$20)^2/$M$22^2,0),1)</f>
        <v>1</v>
      </c>
      <c r="O861">
        <f t="shared" ref="O861:O924" si="138">IF(L861&gt;$J$17,MAX(1-(L861-$J$17)^2/($M$15-$J$17)^2,0),1)</f>
        <v>0.97075719856792353</v>
      </c>
      <c r="P861">
        <f t="shared" ref="P861:P924" si="139">SQRT(M861^2*N861*O861)</f>
        <v>4286.2818907074961</v>
      </c>
    </row>
    <row r="862" spans="3:16" x14ac:dyDescent="0.25">
      <c r="C862">
        <v>0.83399999999999996</v>
      </c>
      <c r="D862">
        <f t="shared" si="130"/>
        <v>-1940.0713444614757</v>
      </c>
      <c r="E862">
        <f t="shared" si="131"/>
        <v>3451.6193996427023</v>
      </c>
      <c r="F862">
        <f t="shared" si="134"/>
        <v>1</v>
      </c>
      <c r="G862">
        <f t="shared" si="135"/>
        <v>0.99925344846703434</v>
      </c>
      <c r="H862">
        <f t="shared" si="136"/>
        <v>3450.3307532105464</v>
      </c>
      <c r="K862">
        <v>0.83399999999999996</v>
      </c>
      <c r="L862">
        <f t="shared" si="132"/>
        <v>-1438.0713444614757</v>
      </c>
      <c r="M862">
        <f t="shared" si="133"/>
        <v>4347.0605350693349</v>
      </c>
      <c r="N862">
        <f t="shared" si="137"/>
        <v>1</v>
      </c>
      <c r="O862">
        <f t="shared" si="138"/>
        <v>0.96903480278984577</v>
      </c>
      <c r="P862">
        <f t="shared" si="139"/>
        <v>4279.2274965772549</v>
      </c>
    </row>
    <row r="863" spans="3:16" x14ac:dyDescent="0.25">
      <c r="C863">
        <v>0.83499999999999996</v>
      </c>
      <c r="D863">
        <f t="shared" si="130"/>
        <v>-1927.2195090530731</v>
      </c>
      <c r="E863">
        <f t="shared" si="131"/>
        <v>3448.9425603638451</v>
      </c>
      <c r="F863">
        <f t="shared" si="134"/>
        <v>1</v>
      </c>
      <c r="G863">
        <f t="shared" si="135"/>
        <v>0.99889891541185227</v>
      </c>
      <c r="H863">
        <f t="shared" si="136"/>
        <v>3447.0432486448199</v>
      </c>
      <c r="K863">
        <v>0.83499999999999996</v>
      </c>
      <c r="L863">
        <f t="shared" si="132"/>
        <v>-1422.2195090530731</v>
      </c>
      <c r="M863">
        <f t="shared" si="133"/>
        <v>4343.7588420181273</v>
      </c>
      <c r="N863">
        <f t="shared" si="137"/>
        <v>1</v>
      </c>
      <c r="O863">
        <f t="shared" si="138"/>
        <v>0.96726312361925459</v>
      </c>
      <c r="P863">
        <f t="shared" si="139"/>
        <v>4272.0666671387744</v>
      </c>
    </row>
    <row r="864" spans="3:16" x14ac:dyDescent="0.25">
      <c r="C864">
        <v>0.83599999999999997</v>
      </c>
      <c r="D864">
        <f t="shared" si="130"/>
        <v>-1914.3676736446705</v>
      </c>
      <c r="E864">
        <f t="shared" si="131"/>
        <v>3446.2657210849875</v>
      </c>
      <c r="F864">
        <f t="shared" si="134"/>
        <v>1</v>
      </c>
      <c r="G864">
        <f t="shared" si="135"/>
        <v>0.99847571488961595</v>
      </c>
      <c r="H864">
        <f t="shared" si="136"/>
        <v>3443.6381736577428</v>
      </c>
      <c r="K864">
        <v>0.83599999999999997</v>
      </c>
      <c r="L864">
        <f t="shared" si="132"/>
        <v>-1406.3676736446705</v>
      </c>
      <c r="M864">
        <f t="shared" si="133"/>
        <v>4340.4571489669197</v>
      </c>
      <c r="N864">
        <f t="shared" si="137"/>
        <v>1</v>
      </c>
      <c r="O864">
        <f t="shared" si="138"/>
        <v>0.96544216105614988</v>
      </c>
      <c r="P864">
        <f t="shared" si="139"/>
        <v>4264.7993500571101</v>
      </c>
    </row>
    <row r="865" spans="3:16" x14ac:dyDescent="0.25">
      <c r="C865">
        <v>0.83699999999999997</v>
      </c>
      <c r="D865">
        <f t="shared" si="130"/>
        <v>-1901.5158382362679</v>
      </c>
      <c r="E865">
        <f t="shared" si="131"/>
        <v>3443.5888818061303</v>
      </c>
      <c r="F865">
        <f t="shared" si="134"/>
        <v>1</v>
      </c>
      <c r="G865">
        <f t="shared" si="135"/>
        <v>0.9979838469003256</v>
      </c>
      <c r="H865">
        <f t="shared" si="136"/>
        <v>3440.1157291219529</v>
      </c>
      <c r="K865">
        <v>0.83699999999999997</v>
      </c>
      <c r="L865">
        <f t="shared" si="132"/>
        <v>-1390.5158382362679</v>
      </c>
      <c r="M865">
        <f t="shared" si="133"/>
        <v>4337.1554559157112</v>
      </c>
      <c r="N865">
        <f t="shared" si="137"/>
        <v>1</v>
      </c>
      <c r="O865">
        <f t="shared" si="138"/>
        <v>0.96357191510053175</v>
      </c>
      <c r="P865">
        <f t="shared" si="139"/>
        <v>4257.4254838949782</v>
      </c>
    </row>
    <row r="866" spans="3:16" x14ac:dyDescent="0.25">
      <c r="C866">
        <v>0.83799999999999997</v>
      </c>
      <c r="D866">
        <f t="shared" si="130"/>
        <v>-1888.6640028278653</v>
      </c>
      <c r="E866">
        <f t="shared" si="131"/>
        <v>3440.9120425272731</v>
      </c>
      <c r="F866">
        <f t="shared" si="134"/>
        <v>1</v>
      </c>
      <c r="G866">
        <f t="shared" si="135"/>
        <v>0.997423311443981</v>
      </c>
      <c r="H866">
        <f t="shared" si="136"/>
        <v>3436.4761038349307</v>
      </c>
      <c r="K866">
        <v>0.83799999999999997</v>
      </c>
      <c r="L866">
        <f t="shared" si="132"/>
        <v>-1374.6640028278671</v>
      </c>
      <c r="M866">
        <f t="shared" si="133"/>
        <v>4333.8537628645036</v>
      </c>
      <c r="N866">
        <f t="shared" si="137"/>
        <v>1</v>
      </c>
      <c r="O866">
        <f t="shared" si="138"/>
        <v>0.96165238575240042</v>
      </c>
      <c r="P866">
        <f t="shared" si="139"/>
        <v>4249.9449980195359</v>
      </c>
    </row>
    <row r="867" spans="3:16" x14ac:dyDescent="0.25">
      <c r="C867">
        <v>0.83899999999999997</v>
      </c>
      <c r="D867">
        <f t="shared" si="130"/>
        <v>-1875.8121674194645</v>
      </c>
      <c r="E867">
        <f t="shared" si="131"/>
        <v>3438.2352032484164</v>
      </c>
      <c r="F867">
        <f t="shared" si="134"/>
        <v>1</v>
      </c>
      <c r="G867">
        <f t="shared" si="135"/>
        <v>0.99679410852058226</v>
      </c>
      <c r="H867">
        <f t="shared" si="136"/>
        <v>3432.7194745215529</v>
      </c>
      <c r="K867">
        <v>0.83899999999999997</v>
      </c>
      <c r="L867">
        <f t="shared" si="132"/>
        <v>-1358.8121674194645</v>
      </c>
      <c r="M867">
        <f t="shared" si="133"/>
        <v>4330.552069813295</v>
      </c>
      <c r="N867">
        <f t="shared" si="137"/>
        <v>1</v>
      </c>
      <c r="O867">
        <f t="shared" si="138"/>
        <v>0.95968357301175544</v>
      </c>
      <c r="P867">
        <f t="shared" si="139"/>
        <v>4242.3578125047088</v>
      </c>
    </row>
    <row r="868" spans="3:16" x14ac:dyDescent="0.25">
      <c r="C868">
        <v>0.84</v>
      </c>
      <c r="D868">
        <f t="shared" si="130"/>
        <v>-1862.9603320110618</v>
      </c>
      <c r="E868">
        <f t="shared" si="131"/>
        <v>3435.5583639695587</v>
      </c>
      <c r="F868">
        <f t="shared" si="134"/>
        <v>1</v>
      </c>
      <c r="G868">
        <f t="shared" si="135"/>
        <v>0.99609623813012937</v>
      </c>
      <c r="H868">
        <f t="shared" si="136"/>
        <v>3428.8460058303681</v>
      </c>
      <c r="K868">
        <v>0.84</v>
      </c>
      <c r="L868">
        <f t="shared" si="132"/>
        <v>-1342.9603320110618</v>
      </c>
      <c r="M868">
        <f t="shared" si="133"/>
        <v>4327.2503767620874</v>
      </c>
      <c r="N868">
        <f t="shared" si="137"/>
        <v>1</v>
      </c>
      <c r="O868">
        <f t="shared" si="138"/>
        <v>0.95766547687859704</v>
      </c>
      <c r="P868">
        <f t="shared" si="139"/>
        <v>4234.6638380289887</v>
      </c>
    </row>
    <row r="869" spans="3:16" x14ac:dyDescent="0.25">
      <c r="C869">
        <v>0.84099999999999997</v>
      </c>
      <c r="D869">
        <f t="shared" si="130"/>
        <v>-1850.1084966026592</v>
      </c>
      <c r="E869">
        <f t="shared" si="131"/>
        <v>3432.8815246907016</v>
      </c>
      <c r="F869">
        <f t="shared" si="134"/>
        <v>1</v>
      </c>
      <c r="G869">
        <f t="shared" si="135"/>
        <v>0.99532970027262235</v>
      </c>
      <c r="H869">
        <f t="shared" si="136"/>
        <v>3424.8558503235849</v>
      </c>
      <c r="K869">
        <v>0.84099999999999997</v>
      </c>
      <c r="L869">
        <f t="shared" si="132"/>
        <v>-1327.1084966026592</v>
      </c>
      <c r="M869">
        <f t="shared" si="133"/>
        <v>4323.9486837108798</v>
      </c>
      <c r="N869">
        <f t="shared" si="137"/>
        <v>1</v>
      </c>
      <c r="O869">
        <f t="shared" si="138"/>
        <v>0.95559809735292511</v>
      </c>
      <c r="P869">
        <f t="shared" si="139"/>
        <v>4226.862975768543</v>
      </c>
    </row>
    <row r="870" spans="3:16" x14ac:dyDescent="0.25">
      <c r="C870">
        <v>0.84199999999999997</v>
      </c>
      <c r="D870">
        <f t="shared" si="130"/>
        <v>-1837.2566611942566</v>
      </c>
      <c r="E870">
        <f t="shared" si="131"/>
        <v>3430.2046854118444</v>
      </c>
      <c r="F870">
        <f t="shared" si="134"/>
        <v>1</v>
      </c>
      <c r="G870">
        <f t="shared" si="135"/>
        <v>0.99449449494806108</v>
      </c>
      <c r="H870">
        <f t="shared" si="136"/>
        <v>3420.7491484607126</v>
      </c>
      <c r="K870">
        <v>0.84199999999999997</v>
      </c>
      <c r="L870">
        <f t="shared" si="132"/>
        <v>-1311.2566611942566</v>
      </c>
      <c r="M870">
        <f t="shared" si="133"/>
        <v>4320.6469906596712</v>
      </c>
      <c r="N870">
        <f t="shared" si="137"/>
        <v>1</v>
      </c>
      <c r="O870">
        <f t="shared" si="138"/>
        <v>0.95348143443473976</v>
      </c>
      <c r="P870">
        <f t="shared" si="139"/>
        <v>4218.9551172855472</v>
      </c>
    </row>
    <row r="871" spans="3:16" x14ac:dyDescent="0.25">
      <c r="C871">
        <v>0.84299999999999997</v>
      </c>
      <c r="D871">
        <f t="shared" si="130"/>
        <v>-1824.404825785854</v>
      </c>
      <c r="E871">
        <f t="shared" si="131"/>
        <v>3427.5278461329872</v>
      </c>
      <c r="F871">
        <f t="shared" si="134"/>
        <v>1</v>
      </c>
      <c r="G871">
        <f t="shared" si="135"/>
        <v>0.99359062215644567</v>
      </c>
      <c r="H871">
        <f t="shared" si="136"/>
        <v>3416.5260285758395</v>
      </c>
      <c r="K871">
        <v>0.84299999999999997</v>
      </c>
      <c r="L871">
        <f t="shared" si="132"/>
        <v>-1295.404825785854</v>
      </c>
      <c r="M871">
        <f t="shared" si="133"/>
        <v>4317.3452976084627</v>
      </c>
      <c r="N871">
        <f t="shared" si="137"/>
        <v>1</v>
      </c>
      <c r="O871">
        <f t="shared" si="138"/>
        <v>0.95131548812404099</v>
      </c>
      <c r="P871">
        <f t="shared" si="139"/>
        <v>4210.9401444115938</v>
      </c>
    </row>
    <row r="872" spans="3:16" x14ac:dyDescent="0.25">
      <c r="C872">
        <v>0.84399999999999997</v>
      </c>
      <c r="D872">
        <f t="shared" si="130"/>
        <v>-1811.5529903774514</v>
      </c>
      <c r="E872">
        <f t="shared" si="131"/>
        <v>3424.8510068541295</v>
      </c>
      <c r="F872">
        <f t="shared" si="134"/>
        <v>1</v>
      </c>
      <c r="G872">
        <f t="shared" si="135"/>
        <v>0.99261808189777612</v>
      </c>
      <c r="H872">
        <f t="shared" si="136"/>
        <v>3412.1866068484733</v>
      </c>
      <c r="K872">
        <v>0.84399999999999997</v>
      </c>
      <c r="L872">
        <f t="shared" si="132"/>
        <v>-1279.5529903774514</v>
      </c>
      <c r="M872">
        <f t="shared" si="133"/>
        <v>4314.0436045572551</v>
      </c>
      <c r="N872">
        <f t="shared" si="137"/>
        <v>1</v>
      </c>
      <c r="O872">
        <f t="shared" si="138"/>
        <v>0.94910025842082868</v>
      </c>
      <c r="P872">
        <f t="shared" si="139"/>
        <v>4202.8179291260449</v>
      </c>
    </row>
    <row r="873" spans="3:16" x14ac:dyDescent="0.25">
      <c r="C873">
        <v>0.84499999999999997</v>
      </c>
      <c r="D873">
        <f t="shared" si="130"/>
        <v>-1798.7011549690487</v>
      </c>
      <c r="E873">
        <f t="shared" si="131"/>
        <v>3422.1741675752723</v>
      </c>
      <c r="F873">
        <f t="shared" si="134"/>
        <v>1</v>
      </c>
      <c r="G873">
        <f t="shared" si="135"/>
        <v>0.99157687417205231</v>
      </c>
      <c r="H873">
        <f t="shared" si="136"/>
        <v>3407.7309872679025</v>
      </c>
      <c r="K873">
        <v>0.84499999999999997</v>
      </c>
      <c r="L873">
        <f t="shared" si="132"/>
        <v>-1263.7011549690487</v>
      </c>
      <c r="M873">
        <f t="shared" si="133"/>
        <v>4310.7419115060466</v>
      </c>
      <c r="N873">
        <f t="shared" si="137"/>
        <v>1</v>
      </c>
      <c r="O873">
        <f t="shared" si="138"/>
        <v>0.94683574532510306</v>
      </c>
      <c r="P873">
        <f t="shared" si="139"/>
        <v>4194.5883334291912</v>
      </c>
    </row>
    <row r="874" spans="3:16" x14ac:dyDescent="0.25">
      <c r="C874">
        <v>0.84599999999999997</v>
      </c>
      <c r="D874">
        <f t="shared" si="130"/>
        <v>-1785.8493195606461</v>
      </c>
      <c r="E874">
        <f t="shared" si="131"/>
        <v>3419.4973282964152</v>
      </c>
      <c r="F874">
        <f t="shared" si="134"/>
        <v>1</v>
      </c>
      <c r="G874">
        <f t="shared" si="135"/>
        <v>0.99046699897927437</v>
      </c>
      <c r="H874">
        <f t="shared" si="136"/>
        <v>3403.1592615909976</v>
      </c>
      <c r="K874">
        <v>0.84599999999999997</v>
      </c>
      <c r="L874">
        <f t="shared" si="132"/>
        <v>-1247.8493195606461</v>
      </c>
      <c r="M874">
        <f t="shared" si="133"/>
        <v>4307.440218454838</v>
      </c>
      <c r="N874">
        <f t="shared" si="137"/>
        <v>1</v>
      </c>
      <c r="O874">
        <f t="shared" si="138"/>
        <v>0.94452194883686391</v>
      </c>
      <c r="P874">
        <f t="shared" si="139"/>
        <v>4186.2512092100733</v>
      </c>
    </row>
    <row r="875" spans="3:16" x14ac:dyDescent="0.25">
      <c r="C875">
        <v>0.84699999999999998</v>
      </c>
      <c r="D875">
        <f t="shared" si="130"/>
        <v>-1772.9974841522435</v>
      </c>
      <c r="E875">
        <f t="shared" si="131"/>
        <v>3416.8204890175575</v>
      </c>
      <c r="F875">
        <f t="shared" si="134"/>
        <v>1</v>
      </c>
      <c r="G875">
        <f t="shared" si="135"/>
        <v>0.98928845631944229</v>
      </c>
      <c r="H875">
        <f t="shared" si="136"/>
        <v>3398.471509293388</v>
      </c>
      <c r="K875">
        <v>0.84699999999999998</v>
      </c>
      <c r="L875">
        <f t="shared" si="132"/>
        <v>-1231.9974841522435</v>
      </c>
      <c r="M875">
        <f t="shared" si="133"/>
        <v>4304.1385254036304</v>
      </c>
      <c r="N875">
        <f t="shared" si="137"/>
        <v>1</v>
      </c>
      <c r="O875">
        <f t="shared" si="138"/>
        <v>0.94215886895611123</v>
      </c>
      <c r="P875">
        <f t="shared" si="139"/>
        <v>4177.8063981087926</v>
      </c>
    </row>
    <row r="876" spans="3:16" x14ac:dyDescent="0.25">
      <c r="C876">
        <v>0.84799999999999998</v>
      </c>
      <c r="D876">
        <f t="shared" si="130"/>
        <v>-1760.1456487438409</v>
      </c>
      <c r="E876">
        <f t="shared" si="131"/>
        <v>3414.1436497387003</v>
      </c>
      <c r="F876">
        <f t="shared" si="134"/>
        <v>1</v>
      </c>
      <c r="G876">
        <f t="shared" si="135"/>
        <v>0.98804124619255607</v>
      </c>
      <c r="H876">
        <f t="shared" si="136"/>
        <v>3393.6677975139223</v>
      </c>
      <c r="K876">
        <v>0.84799999999999998</v>
      </c>
      <c r="L876">
        <f t="shared" si="132"/>
        <v>-1216.1456487438409</v>
      </c>
      <c r="M876">
        <f t="shared" si="133"/>
        <v>4300.8368323524228</v>
      </c>
      <c r="N876">
        <f t="shared" si="137"/>
        <v>1</v>
      </c>
      <c r="O876">
        <f t="shared" si="138"/>
        <v>0.93974650568284512</v>
      </c>
      <c r="P876">
        <f t="shared" si="139"/>
        <v>4169.2537313731627</v>
      </c>
    </row>
    <row r="877" spans="3:16" x14ac:dyDescent="0.25">
      <c r="C877">
        <v>0.84899999999999998</v>
      </c>
      <c r="D877">
        <f t="shared" si="130"/>
        <v>-1747.2938133354382</v>
      </c>
      <c r="E877">
        <f t="shared" si="131"/>
        <v>3411.4668104598431</v>
      </c>
      <c r="F877">
        <f t="shared" si="134"/>
        <v>1</v>
      </c>
      <c r="G877">
        <f t="shared" si="135"/>
        <v>0.98672536859861559</v>
      </c>
      <c r="H877">
        <f t="shared" si="136"/>
        <v>3388.7481809923192</v>
      </c>
      <c r="K877">
        <v>0.84899999999999998</v>
      </c>
      <c r="L877">
        <f t="shared" si="132"/>
        <v>-1200.2938133354382</v>
      </c>
      <c r="M877">
        <f t="shared" si="133"/>
        <v>4297.5351393012143</v>
      </c>
      <c r="N877">
        <f t="shared" si="137"/>
        <v>1</v>
      </c>
      <c r="O877">
        <f t="shared" si="138"/>
        <v>0.93728485901706571</v>
      </c>
      <c r="P877">
        <f t="shared" si="139"/>
        <v>4160.5930297095356</v>
      </c>
    </row>
    <row r="878" spans="3:16" x14ac:dyDescent="0.25">
      <c r="C878">
        <v>0.85</v>
      </c>
      <c r="D878">
        <f t="shared" si="130"/>
        <v>-1734.4419779270356</v>
      </c>
      <c r="E878">
        <f t="shared" si="131"/>
        <v>3408.789971180986</v>
      </c>
      <c r="F878">
        <f t="shared" si="134"/>
        <v>1</v>
      </c>
      <c r="G878">
        <f t="shared" si="135"/>
        <v>0.98534082353762098</v>
      </c>
      <c r="H878">
        <f t="shared" si="136"/>
        <v>3383.7127019999134</v>
      </c>
      <c r="K878">
        <v>0.85</v>
      </c>
      <c r="L878">
        <f t="shared" si="132"/>
        <v>-1184.4419779270356</v>
      </c>
      <c r="M878">
        <f t="shared" si="133"/>
        <v>4294.2334462500057</v>
      </c>
      <c r="N878">
        <f t="shared" si="137"/>
        <v>1</v>
      </c>
      <c r="O878">
        <f t="shared" si="138"/>
        <v>0.93477392895877265</v>
      </c>
      <c r="P878">
        <f t="shared" si="139"/>
        <v>4151.8241031276011</v>
      </c>
    </row>
    <row r="879" spans="3:16" x14ac:dyDescent="0.25">
      <c r="C879">
        <v>0.85099999999999998</v>
      </c>
      <c r="D879">
        <f t="shared" si="130"/>
        <v>-1721.590142518633</v>
      </c>
      <c r="E879">
        <f t="shared" si="131"/>
        <v>3406.1131319021283</v>
      </c>
      <c r="F879">
        <f t="shared" si="134"/>
        <v>1</v>
      </c>
      <c r="G879">
        <f t="shared" si="135"/>
        <v>0.98388761100957223</v>
      </c>
      <c r="H879">
        <f t="shared" si="136"/>
        <v>3378.561390263375</v>
      </c>
      <c r="K879">
        <v>0.85099999999999998</v>
      </c>
      <c r="L879">
        <f t="shared" si="132"/>
        <v>-1168.5901425186348</v>
      </c>
      <c r="M879">
        <f t="shared" si="133"/>
        <v>4290.9317531987981</v>
      </c>
      <c r="N879">
        <f t="shared" si="137"/>
        <v>1</v>
      </c>
      <c r="O879">
        <f t="shared" si="138"/>
        <v>0.93221371550796661</v>
      </c>
      <c r="P879">
        <f t="shared" si="139"/>
        <v>4142.9467507790014</v>
      </c>
    </row>
    <row r="880" spans="3:16" x14ac:dyDescent="0.25">
      <c r="C880">
        <v>0.85199999999999998</v>
      </c>
      <c r="D880">
        <f t="shared" si="130"/>
        <v>-1708.7383071102322</v>
      </c>
      <c r="E880">
        <f t="shared" si="131"/>
        <v>3403.4362926232716</v>
      </c>
      <c r="F880">
        <f t="shared" si="134"/>
        <v>1</v>
      </c>
      <c r="G880">
        <f t="shared" si="135"/>
        <v>0.98236573101446956</v>
      </c>
      <c r="H880">
        <f t="shared" si="136"/>
        <v>3373.2942628812916</v>
      </c>
      <c r="K880">
        <v>0.85199999999999998</v>
      </c>
      <c r="L880">
        <f t="shared" si="132"/>
        <v>-1152.7383071102322</v>
      </c>
      <c r="M880">
        <f t="shared" si="133"/>
        <v>4287.6300601475905</v>
      </c>
      <c r="N880">
        <f t="shared" si="137"/>
        <v>1</v>
      </c>
      <c r="O880">
        <f t="shared" si="138"/>
        <v>0.92960421866464671</v>
      </c>
      <c r="P880">
        <f t="shared" si="139"/>
        <v>4133.960760789525</v>
      </c>
    </row>
    <row r="881" spans="3:16" x14ac:dyDescent="0.25">
      <c r="C881">
        <v>0.85299999999999998</v>
      </c>
      <c r="D881">
        <f t="shared" si="130"/>
        <v>-1695.8864717018296</v>
      </c>
      <c r="E881">
        <f t="shared" si="131"/>
        <v>3400.7594533444144</v>
      </c>
      <c r="F881">
        <f t="shared" si="134"/>
        <v>1</v>
      </c>
      <c r="G881">
        <f t="shared" si="135"/>
        <v>0.98077518355231241</v>
      </c>
      <c r="H881">
        <f t="shared" si="136"/>
        <v>3367.9113242334702</v>
      </c>
      <c r="K881">
        <v>0.85299999999999998</v>
      </c>
      <c r="L881">
        <f t="shared" si="132"/>
        <v>-1136.8864717018296</v>
      </c>
      <c r="M881">
        <f t="shared" si="133"/>
        <v>4284.3283670963829</v>
      </c>
      <c r="N881">
        <f t="shared" si="137"/>
        <v>1</v>
      </c>
      <c r="O881">
        <f t="shared" si="138"/>
        <v>0.92694543842881338</v>
      </c>
      <c r="P881">
        <f t="shared" si="139"/>
        <v>4124.8659100847217</v>
      </c>
    </row>
    <row r="882" spans="3:16" x14ac:dyDescent="0.25">
      <c r="C882">
        <v>0.85399999999999998</v>
      </c>
      <c r="D882">
        <f t="shared" si="130"/>
        <v>-1683.034636293427</v>
      </c>
      <c r="E882">
        <f t="shared" si="131"/>
        <v>3398.0826140655568</v>
      </c>
      <c r="F882">
        <f t="shared" si="134"/>
        <v>1</v>
      </c>
      <c r="G882">
        <f t="shared" si="135"/>
        <v>0.97911596862310124</v>
      </c>
      <c r="H882">
        <f t="shared" si="136"/>
        <v>3362.4125658828316</v>
      </c>
      <c r="K882">
        <v>0.85399999999999998</v>
      </c>
      <c r="L882">
        <f t="shared" si="132"/>
        <v>-1121.034636293427</v>
      </c>
      <c r="M882">
        <f t="shared" si="133"/>
        <v>4281.0266740451743</v>
      </c>
      <c r="N882">
        <f t="shared" si="137"/>
        <v>1</v>
      </c>
      <c r="O882">
        <f t="shared" si="138"/>
        <v>0.92423737480046664</v>
      </c>
      <c r="P882">
        <f t="shared" si="139"/>
        <v>4115.6619642086798</v>
      </c>
    </row>
    <row r="883" spans="3:16" x14ac:dyDescent="0.25">
      <c r="C883">
        <v>0.85499999999999998</v>
      </c>
      <c r="D883">
        <f t="shared" si="130"/>
        <v>-1670.1828008850243</v>
      </c>
      <c r="E883">
        <f t="shared" si="131"/>
        <v>3395.4057747866996</v>
      </c>
      <c r="F883">
        <f t="shared" si="134"/>
        <v>1</v>
      </c>
      <c r="G883">
        <f t="shared" si="135"/>
        <v>0.97738808622683582</v>
      </c>
      <c r="H883">
        <f t="shared" si="136"/>
        <v>3356.7979664697327</v>
      </c>
      <c r="K883">
        <v>0.85499999999999998</v>
      </c>
      <c r="L883">
        <f t="shared" si="132"/>
        <v>-1105.1828008850243</v>
      </c>
      <c r="M883">
        <f t="shared" si="133"/>
        <v>4277.7249809939658</v>
      </c>
      <c r="N883">
        <f t="shared" si="137"/>
        <v>1</v>
      </c>
      <c r="O883">
        <f t="shared" si="138"/>
        <v>0.92148002777960636</v>
      </c>
      <c r="P883">
        <f t="shared" si="139"/>
        <v>4106.3486771357602</v>
      </c>
    </row>
    <row r="884" spans="3:16" x14ac:dyDescent="0.25">
      <c r="C884">
        <v>0.85599999999999998</v>
      </c>
      <c r="D884">
        <f t="shared" si="130"/>
        <v>-1657.3309654766217</v>
      </c>
      <c r="E884">
        <f t="shared" si="131"/>
        <v>3392.7289355078424</v>
      </c>
      <c r="F884">
        <f t="shared" si="134"/>
        <v>1</v>
      </c>
      <c r="G884">
        <f t="shared" si="135"/>
        <v>0.97559153636351614</v>
      </c>
      <c r="H884">
        <f t="shared" si="136"/>
        <v>3351.0674915985587</v>
      </c>
      <c r="K884">
        <v>0.85599999999999998</v>
      </c>
      <c r="L884">
        <f t="shared" si="132"/>
        <v>-1089.3309654766217</v>
      </c>
      <c r="M884">
        <f t="shared" si="133"/>
        <v>4274.4232879427582</v>
      </c>
      <c r="N884">
        <f t="shared" si="137"/>
        <v>1</v>
      </c>
      <c r="O884">
        <f t="shared" si="138"/>
        <v>0.91867339736623277</v>
      </c>
      <c r="P884">
        <f t="shared" si="139"/>
        <v>4096.925791075053</v>
      </c>
    </row>
    <row r="885" spans="3:16" x14ac:dyDescent="0.25">
      <c r="C885">
        <v>0.85699999999999998</v>
      </c>
      <c r="D885">
        <f t="shared" si="130"/>
        <v>-1644.4791300682191</v>
      </c>
      <c r="E885">
        <f t="shared" si="131"/>
        <v>3390.0520962289847</v>
      </c>
      <c r="F885">
        <f t="shared" si="134"/>
        <v>1</v>
      </c>
      <c r="G885">
        <f t="shared" si="135"/>
        <v>0.97372631903314244</v>
      </c>
      <c r="H885">
        <f t="shared" si="136"/>
        <v>3345.2210937164136</v>
      </c>
      <c r="K885">
        <v>0.85699999999999998</v>
      </c>
      <c r="L885">
        <f t="shared" si="132"/>
        <v>-1073.4791300682191</v>
      </c>
      <c r="M885">
        <f t="shared" si="133"/>
        <v>4271.1215948915496</v>
      </c>
      <c r="N885">
        <f t="shared" si="137"/>
        <v>1</v>
      </c>
      <c r="O885">
        <f t="shared" si="138"/>
        <v>0.91581748356034565</v>
      </c>
      <c r="P885">
        <f t="shared" si="139"/>
        <v>4087.3930362672813</v>
      </c>
    </row>
    <row r="886" spans="3:16" x14ac:dyDescent="0.25">
      <c r="C886">
        <v>0.85799999999999998</v>
      </c>
      <c r="D886">
        <f t="shared" si="130"/>
        <v>-1631.6272946598165</v>
      </c>
      <c r="E886">
        <f t="shared" si="131"/>
        <v>3387.3752569501276</v>
      </c>
      <c r="F886">
        <f t="shared" si="134"/>
        <v>1</v>
      </c>
      <c r="G886">
        <f t="shared" si="135"/>
        <v>0.97179243423571449</v>
      </c>
      <c r="H886">
        <f t="shared" si="136"/>
        <v>3339.2587119837185</v>
      </c>
      <c r="K886">
        <v>0.85799999999999998</v>
      </c>
      <c r="L886">
        <f t="shared" si="132"/>
        <v>-1057.6272946598165</v>
      </c>
      <c r="M886">
        <f t="shared" si="133"/>
        <v>4267.8199018403411</v>
      </c>
      <c r="N886">
        <f t="shared" si="137"/>
        <v>1</v>
      </c>
      <c r="O886">
        <f t="shared" si="138"/>
        <v>0.91291228636194499</v>
      </c>
      <c r="P886">
        <f t="shared" si="139"/>
        <v>4077.7501307739317</v>
      </c>
    </row>
    <row r="887" spans="3:16" x14ac:dyDescent="0.25">
      <c r="C887">
        <v>0.85899999999999999</v>
      </c>
      <c r="D887">
        <f t="shared" si="130"/>
        <v>-1618.7754592514138</v>
      </c>
      <c r="E887">
        <f t="shared" si="131"/>
        <v>3384.6984176712704</v>
      </c>
      <c r="F887">
        <f t="shared" si="134"/>
        <v>1</v>
      </c>
      <c r="G887">
        <f t="shared" si="135"/>
        <v>0.96978988197123239</v>
      </c>
      <c r="H887">
        <f t="shared" si="136"/>
        <v>3333.1802721365225</v>
      </c>
      <c r="K887">
        <v>0.85899999999999999</v>
      </c>
      <c r="L887">
        <f t="shared" si="132"/>
        <v>-1041.7754592514138</v>
      </c>
      <c r="M887">
        <f t="shared" si="133"/>
        <v>4264.5182087891335</v>
      </c>
      <c r="N887">
        <f t="shared" si="137"/>
        <v>1</v>
      </c>
      <c r="O887">
        <f t="shared" si="138"/>
        <v>0.90995780577103103</v>
      </c>
      <c r="P887">
        <f t="shared" si="139"/>
        <v>4067.9967802583014</v>
      </c>
    </row>
    <row r="888" spans="3:16" x14ac:dyDescent="0.25">
      <c r="C888">
        <v>0.86</v>
      </c>
      <c r="D888">
        <f t="shared" si="130"/>
        <v>-1605.9236238430112</v>
      </c>
      <c r="E888">
        <f t="shared" si="131"/>
        <v>3382.0215783924132</v>
      </c>
      <c r="F888">
        <f t="shared" si="134"/>
        <v>1</v>
      </c>
      <c r="G888">
        <f t="shared" si="135"/>
        <v>0.96771866223969616</v>
      </c>
      <c r="H888">
        <f t="shared" si="136"/>
        <v>3326.9856863403111</v>
      </c>
      <c r="K888">
        <v>0.86</v>
      </c>
      <c r="L888">
        <f t="shared" si="132"/>
        <v>-1025.9236238430112</v>
      </c>
      <c r="M888">
        <f t="shared" si="133"/>
        <v>4261.2165157379259</v>
      </c>
      <c r="N888">
        <f t="shared" si="137"/>
        <v>1</v>
      </c>
      <c r="O888">
        <f t="shared" si="138"/>
        <v>0.90695404178760353</v>
      </c>
      <c r="P888">
        <f t="shared" si="139"/>
        <v>4058.1326777581899</v>
      </c>
    </row>
    <row r="889" spans="3:16" x14ac:dyDescent="0.25">
      <c r="C889">
        <v>0.86099999999999999</v>
      </c>
      <c r="D889">
        <f t="shared" si="130"/>
        <v>-1593.0717884346086</v>
      </c>
      <c r="E889">
        <f t="shared" si="131"/>
        <v>3379.344739113556</v>
      </c>
      <c r="F889">
        <f t="shared" si="134"/>
        <v>1</v>
      </c>
      <c r="G889">
        <f t="shared" si="135"/>
        <v>0.96557877504110567</v>
      </c>
      <c r="H889">
        <f t="shared" si="136"/>
        <v>3320.6748530350915</v>
      </c>
      <c r="K889">
        <v>0.86099999999999999</v>
      </c>
      <c r="L889">
        <f t="shared" si="132"/>
        <v>-1010.0717884346086</v>
      </c>
      <c r="M889">
        <f t="shared" si="133"/>
        <v>4257.9148226867173</v>
      </c>
      <c r="N889">
        <f t="shared" si="137"/>
        <v>1</v>
      </c>
      <c r="O889">
        <f t="shared" si="138"/>
        <v>0.90390099441166261</v>
      </c>
      <c r="P889">
        <f t="shared" si="139"/>
        <v>4048.1575034499351</v>
      </c>
    </row>
    <row r="890" spans="3:16" x14ac:dyDescent="0.25">
      <c r="C890">
        <v>0.86199999999999999</v>
      </c>
      <c r="D890">
        <f t="shared" si="130"/>
        <v>-1580.219953026206</v>
      </c>
      <c r="E890">
        <f t="shared" si="131"/>
        <v>3376.6678998346983</v>
      </c>
      <c r="F890">
        <f t="shared" si="134"/>
        <v>1</v>
      </c>
      <c r="G890">
        <f t="shared" si="135"/>
        <v>0.96337022037546105</v>
      </c>
      <c r="H890">
        <f t="shared" si="136"/>
        <v>3314.2476567715148</v>
      </c>
      <c r="K890">
        <v>0.86199999999999999</v>
      </c>
      <c r="L890">
        <f t="shared" si="132"/>
        <v>-994.21995302620599</v>
      </c>
      <c r="M890">
        <f t="shared" si="133"/>
        <v>4254.6131296355088</v>
      </c>
      <c r="N890">
        <f t="shared" si="137"/>
        <v>1</v>
      </c>
      <c r="O890">
        <f t="shared" si="138"/>
        <v>0.90079866364320815</v>
      </c>
      <c r="P890">
        <f t="shared" si="139"/>
        <v>4038.0709244034811</v>
      </c>
    </row>
    <row r="891" spans="3:16" x14ac:dyDescent="0.25">
      <c r="C891">
        <v>0.86299999999999999</v>
      </c>
      <c r="D891">
        <f t="shared" si="130"/>
        <v>-1567.3681176178034</v>
      </c>
      <c r="E891">
        <f t="shared" si="131"/>
        <v>3373.9910605558412</v>
      </c>
      <c r="F891">
        <f t="shared" si="134"/>
        <v>1</v>
      </c>
      <c r="G891">
        <f t="shared" si="135"/>
        <v>0.96109299824276229</v>
      </c>
      <c r="H891">
        <f t="shared" si="136"/>
        <v>3307.7039680377798</v>
      </c>
      <c r="K891">
        <v>0.86299999999999999</v>
      </c>
      <c r="L891">
        <f t="shared" si="132"/>
        <v>-978.36811761780336</v>
      </c>
      <c r="M891">
        <f t="shared" si="133"/>
        <v>4251.3114365843012</v>
      </c>
      <c r="N891">
        <f t="shared" si="137"/>
        <v>1</v>
      </c>
      <c r="O891">
        <f t="shared" si="138"/>
        <v>0.89764704948224039</v>
      </c>
      <c r="P891">
        <f t="shared" si="139"/>
        <v>4027.8725943281302</v>
      </c>
    </row>
    <row r="892" spans="3:16" x14ac:dyDescent="0.25">
      <c r="C892">
        <v>0.86399999999999999</v>
      </c>
      <c r="D892">
        <f t="shared" si="130"/>
        <v>-1554.5162822094026</v>
      </c>
      <c r="E892">
        <f t="shared" si="131"/>
        <v>3371.3142212769844</v>
      </c>
      <c r="F892">
        <f t="shared" si="134"/>
        <v>1</v>
      </c>
      <c r="G892">
        <f t="shared" si="135"/>
        <v>0.95874710864300972</v>
      </c>
      <c r="H892">
        <f t="shared" si="136"/>
        <v>3301.0436430770533</v>
      </c>
      <c r="K892">
        <v>0.86399999999999999</v>
      </c>
      <c r="L892">
        <f t="shared" si="132"/>
        <v>-962.51628220940256</v>
      </c>
      <c r="M892">
        <f t="shared" si="133"/>
        <v>4248.0097435330936</v>
      </c>
      <c r="N892">
        <f t="shared" si="137"/>
        <v>1</v>
      </c>
      <c r="O892">
        <f t="shared" si="138"/>
        <v>0.89444615192875943</v>
      </c>
      <c r="P892">
        <f t="shared" si="139"/>
        <v>4017.5621533086432</v>
      </c>
    </row>
    <row r="893" spans="3:16" x14ac:dyDescent="0.25">
      <c r="C893">
        <v>0.86499999999999999</v>
      </c>
      <c r="D893">
        <f t="shared" si="130"/>
        <v>-1541.6644468009999</v>
      </c>
      <c r="E893">
        <f t="shared" si="131"/>
        <v>3368.6373819981268</v>
      </c>
      <c r="F893">
        <f t="shared" si="134"/>
        <v>1</v>
      </c>
      <c r="G893">
        <f t="shared" si="135"/>
        <v>0.95633255157620267</v>
      </c>
      <c r="H893">
        <f t="shared" si="136"/>
        <v>3294.2665236951134</v>
      </c>
      <c r="K893">
        <v>0.86499999999999999</v>
      </c>
      <c r="L893">
        <f t="shared" si="132"/>
        <v>-946.66444680099994</v>
      </c>
      <c r="M893">
        <f t="shared" si="133"/>
        <v>4244.7080504818859</v>
      </c>
      <c r="N893">
        <f t="shared" si="137"/>
        <v>1</v>
      </c>
      <c r="O893">
        <f t="shared" si="138"/>
        <v>0.89119597098276471</v>
      </c>
      <c r="P893">
        <f t="shared" si="139"/>
        <v>4007.1392275313287</v>
      </c>
    </row>
    <row r="894" spans="3:16" x14ac:dyDescent="0.25">
      <c r="C894">
        <v>0.86599999999999999</v>
      </c>
      <c r="D894">
        <f t="shared" si="130"/>
        <v>-1528.8126113925973</v>
      </c>
      <c r="E894">
        <f t="shared" si="131"/>
        <v>3365.9605427192696</v>
      </c>
      <c r="F894">
        <f t="shared" si="134"/>
        <v>1</v>
      </c>
      <c r="G894">
        <f t="shared" si="135"/>
        <v>0.95384932704234138</v>
      </c>
      <c r="H894">
        <f t="shared" si="136"/>
        <v>3287.3724370579375</v>
      </c>
      <c r="K894">
        <v>0.86599999999999999</v>
      </c>
      <c r="L894">
        <f t="shared" si="132"/>
        <v>-930.81261139259732</v>
      </c>
      <c r="M894">
        <f t="shared" si="133"/>
        <v>4241.4063574306774</v>
      </c>
      <c r="N894">
        <f t="shared" si="137"/>
        <v>1</v>
      </c>
      <c r="O894">
        <f t="shared" si="138"/>
        <v>0.88789650664425657</v>
      </c>
      <c r="P894">
        <f t="shared" si="139"/>
        <v>3996.6034289997215</v>
      </c>
    </row>
    <row r="895" spans="3:16" x14ac:dyDescent="0.25">
      <c r="C895">
        <v>0.86699999999999999</v>
      </c>
      <c r="D895">
        <f t="shared" si="130"/>
        <v>-1515.9607759841947</v>
      </c>
      <c r="E895">
        <f t="shared" si="131"/>
        <v>3363.2837034404124</v>
      </c>
      <c r="F895">
        <f t="shared" si="134"/>
        <v>1</v>
      </c>
      <c r="G895">
        <f t="shared" si="135"/>
        <v>0.95129743504142594</v>
      </c>
      <c r="H895">
        <f t="shared" si="136"/>
        <v>3280.3611954788817</v>
      </c>
      <c r="K895">
        <v>0.86699999999999999</v>
      </c>
      <c r="L895">
        <f t="shared" si="132"/>
        <v>-914.9607759841947</v>
      </c>
      <c r="M895">
        <f t="shared" si="133"/>
        <v>4238.1046643794689</v>
      </c>
      <c r="N895">
        <f t="shared" si="137"/>
        <v>1</v>
      </c>
      <c r="O895">
        <f t="shared" si="138"/>
        <v>0.88454775891323489</v>
      </c>
      <c r="P895">
        <f t="shared" si="139"/>
        <v>3985.9543552394634</v>
      </c>
    </row>
    <row r="896" spans="3:16" x14ac:dyDescent="0.25">
      <c r="C896">
        <v>0.86799999999999999</v>
      </c>
      <c r="D896">
        <f t="shared" si="130"/>
        <v>-1503.1089405757921</v>
      </c>
      <c r="E896">
        <f t="shared" si="131"/>
        <v>3360.6068641615548</v>
      </c>
      <c r="F896">
        <f t="shared" si="134"/>
        <v>1</v>
      </c>
      <c r="G896">
        <f t="shared" si="135"/>
        <v>0.94867687557345637</v>
      </c>
      <c r="H896">
        <f t="shared" si="136"/>
        <v>3273.2325961951451</v>
      </c>
      <c r="K896">
        <v>0.86799999999999999</v>
      </c>
      <c r="L896">
        <f t="shared" si="132"/>
        <v>-899.10894057579208</v>
      </c>
      <c r="M896">
        <f t="shared" si="133"/>
        <v>4234.8029713282613</v>
      </c>
      <c r="N896">
        <f t="shared" si="137"/>
        <v>1</v>
      </c>
      <c r="O896">
        <f t="shared" si="138"/>
        <v>0.8811497277896998</v>
      </c>
      <c r="P896">
        <f t="shared" si="139"/>
        <v>3975.1915889919492</v>
      </c>
    </row>
    <row r="897" spans="3:16" x14ac:dyDescent="0.25">
      <c r="C897">
        <v>0.86899999999999999</v>
      </c>
      <c r="D897">
        <f t="shared" si="130"/>
        <v>-1490.2571051673895</v>
      </c>
      <c r="E897">
        <f t="shared" si="131"/>
        <v>3357.9300248826976</v>
      </c>
      <c r="F897">
        <f t="shared" si="134"/>
        <v>1</v>
      </c>
      <c r="G897">
        <f t="shared" si="135"/>
        <v>0.94598764863843254</v>
      </c>
      <c r="H897">
        <f t="shared" si="136"/>
        <v>3265.9864211331442</v>
      </c>
      <c r="K897">
        <v>0.86899999999999999</v>
      </c>
      <c r="L897">
        <f t="shared" si="132"/>
        <v>-883.25710516738945</v>
      </c>
      <c r="M897">
        <f t="shared" si="133"/>
        <v>4231.5012782770527</v>
      </c>
      <c r="N897">
        <f t="shared" si="137"/>
        <v>1</v>
      </c>
      <c r="O897">
        <f t="shared" si="138"/>
        <v>0.87770241327365128</v>
      </c>
      <c r="P897">
        <f t="shared" si="139"/>
        <v>3964.3146978963018</v>
      </c>
    </row>
    <row r="898" spans="3:16" x14ac:dyDescent="0.25">
      <c r="C898">
        <v>0.87</v>
      </c>
      <c r="D898">
        <f t="shared" si="130"/>
        <v>-1477.4052697589868</v>
      </c>
      <c r="E898">
        <f t="shared" si="131"/>
        <v>3355.2531856038404</v>
      </c>
      <c r="F898">
        <f t="shared" si="134"/>
        <v>1</v>
      </c>
      <c r="G898">
        <f t="shared" si="135"/>
        <v>0.94322975423635458</v>
      </c>
      <c r="H898">
        <f t="shared" si="136"/>
        <v>3258.6224366624251</v>
      </c>
      <c r="K898">
        <v>0.87</v>
      </c>
      <c r="L898">
        <f t="shared" si="132"/>
        <v>-867.40526975898683</v>
      </c>
      <c r="M898">
        <f t="shared" si="133"/>
        <v>4228.1995852258442</v>
      </c>
      <c r="N898">
        <f t="shared" si="137"/>
        <v>1</v>
      </c>
      <c r="O898">
        <f t="shared" si="138"/>
        <v>0.87420581536508923</v>
      </c>
      <c r="P898">
        <f t="shared" si="139"/>
        <v>3953.3232341592143</v>
      </c>
    </row>
    <row r="899" spans="3:16" x14ac:dyDescent="0.25">
      <c r="C899">
        <v>0.871</v>
      </c>
      <c r="D899">
        <f t="shared" si="130"/>
        <v>-1464.5534343505842</v>
      </c>
      <c r="E899">
        <f t="shared" si="131"/>
        <v>3352.5763463249832</v>
      </c>
      <c r="F899">
        <f t="shared" si="134"/>
        <v>1</v>
      </c>
      <c r="G899">
        <f t="shared" si="135"/>
        <v>0.94040319236722247</v>
      </c>
      <c r="H899">
        <f t="shared" si="136"/>
        <v>3251.1403933377192</v>
      </c>
      <c r="K899">
        <v>0.871</v>
      </c>
      <c r="L899">
        <f t="shared" si="132"/>
        <v>-851.55343435058421</v>
      </c>
      <c r="M899">
        <f t="shared" si="133"/>
        <v>4224.8978921746366</v>
      </c>
      <c r="N899">
        <f t="shared" si="137"/>
        <v>1</v>
      </c>
      <c r="O899">
        <f t="shared" si="138"/>
        <v>0.87065993406401376</v>
      </c>
      <c r="P899">
        <f t="shared" si="139"/>
        <v>3942.2167342121529</v>
      </c>
    </row>
    <row r="900" spans="3:16" x14ac:dyDescent="0.25">
      <c r="C900">
        <v>0.872</v>
      </c>
      <c r="D900">
        <f t="shared" si="130"/>
        <v>-1451.7015989421816</v>
      </c>
      <c r="E900">
        <f t="shared" si="131"/>
        <v>3349.8995070461256</v>
      </c>
      <c r="F900">
        <f t="shared" si="134"/>
        <v>1</v>
      </c>
      <c r="G900">
        <f t="shared" si="135"/>
        <v>0.93750796303103623</v>
      </c>
      <c r="H900">
        <f t="shared" si="136"/>
        <v>3243.5400256287089</v>
      </c>
      <c r="K900">
        <v>0.872</v>
      </c>
      <c r="L900">
        <f t="shared" si="132"/>
        <v>-835.70159894218159</v>
      </c>
      <c r="M900">
        <f t="shared" si="133"/>
        <v>4221.596199123429</v>
      </c>
      <c r="N900">
        <f t="shared" si="137"/>
        <v>1</v>
      </c>
      <c r="O900">
        <f t="shared" si="138"/>
        <v>0.86706476937042487</v>
      </c>
      <c r="P900">
        <f t="shared" si="139"/>
        <v>3930.9947183554182</v>
      </c>
    </row>
    <row r="901" spans="3:16" x14ac:dyDescent="0.25">
      <c r="C901">
        <v>0.873</v>
      </c>
      <c r="D901">
        <f t="shared" si="130"/>
        <v>-1438.849763533779</v>
      </c>
      <c r="E901">
        <f t="shared" si="131"/>
        <v>3347.2226677672684</v>
      </c>
      <c r="F901">
        <f t="shared" si="134"/>
        <v>1</v>
      </c>
      <c r="G901">
        <f t="shared" si="135"/>
        <v>0.93454406622779584</v>
      </c>
      <c r="H901">
        <f t="shared" si="136"/>
        <v>3235.8210516370764</v>
      </c>
      <c r="K901">
        <v>0.873</v>
      </c>
      <c r="L901">
        <f t="shared" si="132"/>
        <v>-819.84976353377897</v>
      </c>
      <c r="M901">
        <f t="shared" si="133"/>
        <v>4218.2945060722204</v>
      </c>
      <c r="N901">
        <f t="shared" si="137"/>
        <v>1</v>
      </c>
      <c r="O901">
        <f t="shared" si="138"/>
        <v>0.86342032128432256</v>
      </c>
      <c r="P901">
        <f t="shared" si="139"/>
        <v>3919.656690388515</v>
      </c>
    </row>
    <row r="902" spans="3:16" x14ac:dyDescent="0.25">
      <c r="C902">
        <v>0.874</v>
      </c>
      <c r="D902">
        <f t="shared" si="130"/>
        <v>-1425.9979281253763</v>
      </c>
      <c r="E902">
        <f t="shared" si="131"/>
        <v>3344.5458284884112</v>
      </c>
      <c r="F902">
        <f t="shared" si="134"/>
        <v>1</v>
      </c>
      <c r="G902">
        <f t="shared" si="135"/>
        <v>0.93151150195750121</v>
      </c>
      <c r="H902">
        <f t="shared" si="136"/>
        <v>3227.9831728003392</v>
      </c>
      <c r="K902">
        <v>0.874</v>
      </c>
      <c r="L902">
        <f t="shared" si="132"/>
        <v>-803.99792812537635</v>
      </c>
      <c r="M902">
        <f t="shared" si="133"/>
        <v>4214.9928130210119</v>
      </c>
      <c r="N902">
        <f t="shared" si="137"/>
        <v>1</v>
      </c>
      <c r="O902">
        <f t="shared" si="138"/>
        <v>0.85972658980570671</v>
      </c>
      <c r="P902">
        <f t="shared" si="139"/>
        <v>3908.2021372262625</v>
      </c>
    </row>
    <row r="903" spans="3:16" x14ac:dyDescent="0.25">
      <c r="C903">
        <v>0.875</v>
      </c>
      <c r="D903">
        <f t="shared" si="130"/>
        <v>-1413.1460927169737</v>
      </c>
      <c r="E903">
        <f t="shared" si="131"/>
        <v>3341.8689892095535</v>
      </c>
      <c r="F903">
        <f t="shared" si="134"/>
        <v>1</v>
      </c>
      <c r="G903">
        <f t="shared" si="135"/>
        <v>0.92841027022015243</v>
      </c>
      <c r="H903">
        <f t="shared" si="136"/>
        <v>3220.0260735820025</v>
      </c>
      <c r="K903">
        <v>0.875</v>
      </c>
      <c r="L903">
        <f t="shared" si="132"/>
        <v>-788.14609271697373</v>
      </c>
      <c r="M903">
        <f t="shared" si="133"/>
        <v>4211.6911199698043</v>
      </c>
      <c r="N903">
        <f t="shared" si="137"/>
        <v>1</v>
      </c>
      <c r="O903">
        <f t="shared" si="138"/>
        <v>0.85598357493457744</v>
      </c>
      <c r="P903">
        <f t="shared" si="139"/>
        <v>3896.6305285000408</v>
      </c>
    </row>
    <row r="904" spans="3:16" x14ac:dyDescent="0.25">
      <c r="C904">
        <v>0.876</v>
      </c>
      <c r="D904">
        <f t="shared" si="130"/>
        <v>-1400.2942573085711</v>
      </c>
      <c r="E904">
        <f t="shared" si="131"/>
        <v>3339.1921499306964</v>
      </c>
      <c r="F904">
        <f t="shared" si="134"/>
        <v>1</v>
      </c>
      <c r="G904">
        <f t="shared" si="135"/>
        <v>0.92524037101574952</v>
      </c>
      <c r="H904">
        <f t="shared" si="136"/>
        <v>3211.9494211474826</v>
      </c>
      <c r="K904">
        <v>0.876</v>
      </c>
      <c r="L904">
        <f t="shared" si="132"/>
        <v>-772.2942573085711</v>
      </c>
      <c r="M904">
        <f t="shared" si="133"/>
        <v>4208.3894269185967</v>
      </c>
      <c r="N904">
        <f t="shared" si="137"/>
        <v>1</v>
      </c>
      <c r="O904">
        <f t="shared" si="138"/>
        <v>0.85219127667093475</v>
      </c>
      <c r="P904">
        <f t="shared" si="139"/>
        <v>3884.9413161435391</v>
      </c>
    </row>
    <row r="905" spans="3:16" x14ac:dyDescent="0.25">
      <c r="C905">
        <v>0.877</v>
      </c>
      <c r="D905">
        <f t="shared" si="130"/>
        <v>-1387.4424219001703</v>
      </c>
      <c r="E905">
        <f t="shared" si="131"/>
        <v>3336.5153106518396</v>
      </c>
      <c r="F905">
        <f t="shared" si="134"/>
        <v>1</v>
      </c>
      <c r="G905">
        <f t="shared" si="135"/>
        <v>0.9220018043442928</v>
      </c>
      <c r="H905">
        <f t="shared" si="136"/>
        <v>3203.7528650252525</v>
      </c>
      <c r="K905">
        <v>0.877</v>
      </c>
      <c r="L905">
        <f t="shared" si="132"/>
        <v>-756.4424219001703</v>
      </c>
      <c r="M905">
        <f t="shared" si="133"/>
        <v>4205.087733867389</v>
      </c>
      <c r="N905">
        <f t="shared" si="137"/>
        <v>1</v>
      </c>
      <c r="O905">
        <f t="shared" si="138"/>
        <v>0.84834969501477908</v>
      </c>
      <c r="P905">
        <f t="shared" si="139"/>
        <v>3873.1339339623451</v>
      </c>
    </row>
    <row r="906" spans="3:16" x14ac:dyDescent="0.25">
      <c r="C906">
        <v>0.878</v>
      </c>
      <c r="D906">
        <f t="shared" si="130"/>
        <v>-1374.5905864917677</v>
      </c>
      <c r="E906">
        <f t="shared" si="131"/>
        <v>3333.838471372982</v>
      </c>
      <c r="F906">
        <f t="shared" si="134"/>
        <v>1</v>
      </c>
      <c r="G906">
        <f t="shared" si="135"/>
        <v>0.9186945702057816</v>
      </c>
      <c r="H906">
        <f t="shared" si="136"/>
        <v>3195.4360367526197</v>
      </c>
      <c r="K906">
        <v>0.878</v>
      </c>
      <c r="L906">
        <f t="shared" si="132"/>
        <v>-740.59058649176768</v>
      </c>
      <c r="M906">
        <f t="shared" si="133"/>
        <v>4201.7860408161805</v>
      </c>
      <c r="N906">
        <f t="shared" si="137"/>
        <v>1</v>
      </c>
      <c r="O906">
        <f t="shared" si="138"/>
        <v>0.84445882996610955</v>
      </c>
      <c r="P906">
        <f t="shared" si="139"/>
        <v>3861.2077971866629</v>
      </c>
    </row>
    <row r="907" spans="3:16" x14ac:dyDescent="0.25">
      <c r="C907">
        <v>0.879</v>
      </c>
      <c r="D907">
        <f t="shared" si="130"/>
        <v>-1361.7387510833651</v>
      </c>
      <c r="E907">
        <f t="shared" si="131"/>
        <v>3331.1616320941248</v>
      </c>
      <c r="F907">
        <f t="shared" si="134"/>
        <v>1</v>
      </c>
      <c r="G907">
        <f t="shared" si="135"/>
        <v>0.91531866860021616</v>
      </c>
      <c r="H907">
        <f t="shared" si="136"/>
        <v>3186.9985495055316</v>
      </c>
      <c r="K907">
        <v>0.879</v>
      </c>
      <c r="L907">
        <f t="shared" si="132"/>
        <v>-724.73875108336506</v>
      </c>
      <c r="M907">
        <f t="shared" si="133"/>
        <v>4198.484347764972</v>
      </c>
      <c r="N907">
        <f t="shared" si="137"/>
        <v>1</v>
      </c>
      <c r="O907">
        <f t="shared" si="138"/>
        <v>0.84051868152492637</v>
      </c>
      <c r="P907">
        <f t="shared" si="139"/>
        <v>3849.1623020064326</v>
      </c>
    </row>
    <row r="908" spans="3:16" x14ac:dyDescent="0.25">
      <c r="C908">
        <v>0.88</v>
      </c>
      <c r="D908">
        <f t="shared" si="130"/>
        <v>-1348.8869156749624</v>
      </c>
      <c r="E908">
        <f t="shared" si="131"/>
        <v>3328.4847928152676</v>
      </c>
      <c r="F908">
        <f t="shared" si="134"/>
        <v>1</v>
      </c>
      <c r="G908">
        <f t="shared" si="135"/>
        <v>0.91187409952759646</v>
      </c>
      <c r="H908">
        <f t="shared" si="136"/>
        <v>3178.4399977117218</v>
      </c>
      <c r="K908">
        <v>0.88</v>
      </c>
      <c r="L908">
        <f t="shared" si="132"/>
        <v>-708.88691567496244</v>
      </c>
      <c r="M908">
        <f t="shared" si="133"/>
        <v>4195.1826547137644</v>
      </c>
      <c r="N908">
        <f t="shared" si="137"/>
        <v>1</v>
      </c>
      <c r="O908">
        <f t="shared" si="138"/>
        <v>0.83652924969122988</v>
      </c>
      <c r="P908">
        <f t="shared" si="139"/>
        <v>3836.9968250880579</v>
      </c>
    </row>
    <row r="909" spans="3:16" x14ac:dyDescent="0.25">
      <c r="C909">
        <v>0.88100000000000001</v>
      </c>
      <c r="D909">
        <f t="shared" si="130"/>
        <v>-1336.0350802665598</v>
      </c>
      <c r="E909">
        <f t="shared" si="131"/>
        <v>3325.8079535364104</v>
      </c>
      <c r="F909">
        <f t="shared" si="134"/>
        <v>1</v>
      </c>
      <c r="G909">
        <f t="shared" si="135"/>
        <v>0.90836086298792273</v>
      </c>
      <c r="H909">
        <f t="shared" si="136"/>
        <v>3169.759956646531</v>
      </c>
      <c r="K909">
        <v>0.88100000000000001</v>
      </c>
      <c r="L909">
        <f t="shared" si="132"/>
        <v>-693.03508026655982</v>
      </c>
      <c r="M909">
        <f t="shared" si="133"/>
        <v>4191.8809616625558</v>
      </c>
      <c r="N909">
        <f t="shared" si="137"/>
        <v>1</v>
      </c>
      <c r="O909">
        <f t="shared" si="138"/>
        <v>0.83249053446501997</v>
      </c>
      <c r="P909">
        <f t="shared" si="139"/>
        <v>3824.7107230719139</v>
      </c>
    </row>
    <row r="910" spans="3:16" x14ac:dyDescent="0.25">
      <c r="C910">
        <v>0.88200000000000001</v>
      </c>
      <c r="D910">
        <f t="shared" si="130"/>
        <v>-1323.1832448581572</v>
      </c>
      <c r="E910">
        <f t="shared" si="131"/>
        <v>3323.1311142575532</v>
      </c>
      <c r="F910">
        <f t="shared" si="134"/>
        <v>1</v>
      </c>
      <c r="G910">
        <f t="shared" si="135"/>
        <v>0.90477895898119476</v>
      </c>
      <c r="H910">
        <f t="shared" si="136"/>
        <v>3160.9579820106542</v>
      </c>
      <c r="K910">
        <v>0.88200000000000001</v>
      </c>
      <c r="L910">
        <f t="shared" si="132"/>
        <v>-677.1832448581572</v>
      </c>
      <c r="M910">
        <f t="shared" si="133"/>
        <v>4188.5792686113473</v>
      </c>
      <c r="N910">
        <f t="shared" si="137"/>
        <v>1</v>
      </c>
      <c r="O910">
        <f t="shared" si="138"/>
        <v>0.82840253584629653</v>
      </c>
      <c r="P910">
        <f t="shared" si="139"/>
        <v>3812.3033320497884</v>
      </c>
    </row>
    <row r="911" spans="3:16" x14ac:dyDescent="0.25">
      <c r="C911">
        <v>0.88300000000000001</v>
      </c>
      <c r="D911">
        <f t="shared" si="130"/>
        <v>-1310.3314094497546</v>
      </c>
      <c r="E911">
        <f t="shared" si="131"/>
        <v>3320.4542749786956</v>
      </c>
      <c r="F911">
        <f t="shared" si="134"/>
        <v>1</v>
      </c>
      <c r="G911">
        <f t="shared" si="135"/>
        <v>0.90112838750741264</v>
      </c>
      <c r="H911">
        <f t="shared" si="136"/>
        <v>3152.0336094890472</v>
      </c>
      <c r="K911">
        <v>0.88300000000000001</v>
      </c>
      <c r="L911">
        <f t="shared" si="132"/>
        <v>-661.33140944975457</v>
      </c>
      <c r="M911">
        <f t="shared" si="133"/>
        <v>4185.2775755601397</v>
      </c>
      <c r="N911">
        <f t="shared" si="137"/>
        <v>1</v>
      </c>
      <c r="O911">
        <f t="shared" si="138"/>
        <v>0.82426525383505966</v>
      </c>
      <c r="P911">
        <f t="shared" si="139"/>
        <v>3799.7739670213173</v>
      </c>
    </row>
    <row r="912" spans="3:16" x14ac:dyDescent="0.25">
      <c r="C912">
        <v>0.88400000000000001</v>
      </c>
      <c r="D912">
        <f t="shared" si="130"/>
        <v>-1297.479574041352</v>
      </c>
      <c r="E912">
        <f t="shared" si="131"/>
        <v>3317.7774356998384</v>
      </c>
      <c r="F912">
        <f t="shared" si="134"/>
        <v>1</v>
      </c>
      <c r="G912">
        <f t="shared" si="135"/>
        <v>0.89740914856657639</v>
      </c>
      <c r="H912">
        <f t="shared" si="136"/>
        <v>3142.9863542901639</v>
      </c>
      <c r="K912">
        <v>0.88400000000000001</v>
      </c>
      <c r="L912">
        <f t="shared" si="132"/>
        <v>-645.47957404135195</v>
      </c>
      <c r="M912">
        <f t="shared" si="133"/>
        <v>4181.975882508932</v>
      </c>
      <c r="N912">
        <f t="shared" si="137"/>
        <v>1</v>
      </c>
      <c r="O912">
        <f t="shared" si="138"/>
        <v>0.82007868843130938</v>
      </c>
      <c r="P912">
        <f t="shared" si="139"/>
        <v>3787.1219213284471</v>
      </c>
    </row>
    <row r="913" spans="3:16" x14ac:dyDescent="0.25">
      <c r="C913">
        <v>0.88500000000000001</v>
      </c>
      <c r="D913">
        <f t="shared" si="130"/>
        <v>-1284.6277386329493</v>
      </c>
      <c r="E913">
        <f t="shared" si="131"/>
        <v>3315.1005964209812</v>
      </c>
      <c r="F913">
        <f t="shared" si="134"/>
        <v>1</v>
      </c>
      <c r="G913">
        <f t="shared" si="135"/>
        <v>0.89362124215868599</v>
      </c>
      <c r="H913">
        <f t="shared" si="136"/>
        <v>3133.8157106646554</v>
      </c>
      <c r="K913">
        <v>0.88500000000000001</v>
      </c>
      <c r="L913">
        <f t="shared" si="132"/>
        <v>-629.62773863294933</v>
      </c>
      <c r="M913">
        <f t="shared" si="133"/>
        <v>4178.6741894577235</v>
      </c>
      <c r="N913">
        <f t="shared" si="137"/>
        <v>1</v>
      </c>
      <c r="O913">
        <f t="shared" si="138"/>
        <v>0.81584283963504567</v>
      </c>
      <c r="P913">
        <f t="shared" si="139"/>
        <v>3774.3464660669133</v>
      </c>
    </row>
    <row r="914" spans="3:16" x14ac:dyDescent="0.25">
      <c r="C914">
        <v>0.88600000000000001</v>
      </c>
      <c r="D914">
        <f t="shared" si="130"/>
        <v>-1271.7759032245467</v>
      </c>
      <c r="E914">
        <f t="shared" si="131"/>
        <v>3312.4237571421236</v>
      </c>
      <c r="F914">
        <f t="shared" si="134"/>
        <v>1</v>
      </c>
      <c r="G914">
        <f t="shared" si="135"/>
        <v>0.88976466828374134</v>
      </c>
      <c r="H914">
        <f t="shared" si="136"/>
        <v>3124.5211514026191</v>
      </c>
      <c r="K914">
        <v>0.88600000000000001</v>
      </c>
      <c r="L914">
        <f t="shared" si="132"/>
        <v>-613.77590322454671</v>
      </c>
      <c r="M914">
        <f t="shared" si="133"/>
        <v>4175.372496406515</v>
      </c>
      <c r="N914">
        <f t="shared" si="137"/>
        <v>1</v>
      </c>
      <c r="O914">
        <f t="shared" si="138"/>
        <v>0.81155770744626832</v>
      </c>
      <c r="P914">
        <f t="shared" si="139"/>
        <v>3761.4468494736393</v>
      </c>
    </row>
    <row r="915" spans="3:16" x14ac:dyDescent="0.25">
      <c r="C915">
        <v>0.88700000000000001</v>
      </c>
      <c r="D915">
        <f t="shared" si="130"/>
        <v>-1258.9240678161441</v>
      </c>
      <c r="E915">
        <f t="shared" si="131"/>
        <v>3309.7469178632664</v>
      </c>
      <c r="F915">
        <f t="shared" si="134"/>
        <v>1</v>
      </c>
      <c r="G915">
        <f t="shared" si="135"/>
        <v>0.88583942694174256</v>
      </c>
      <c r="H915">
        <f t="shared" si="136"/>
        <v>3115.1021273084166</v>
      </c>
      <c r="K915">
        <v>0.88700000000000001</v>
      </c>
      <c r="L915">
        <f t="shared" si="132"/>
        <v>-597.92406781614409</v>
      </c>
      <c r="M915">
        <f t="shared" si="133"/>
        <v>4172.0708033553074</v>
      </c>
      <c r="N915">
        <f t="shared" si="137"/>
        <v>1</v>
      </c>
      <c r="O915">
        <f t="shared" si="138"/>
        <v>0.80722329186497777</v>
      </c>
      <c r="P915">
        <f t="shared" si="139"/>
        <v>3748.4222962889194</v>
      </c>
    </row>
    <row r="916" spans="3:16" x14ac:dyDescent="0.25">
      <c r="C916">
        <v>0.88800000000000001</v>
      </c>
      <c r="D916">
        <f t="shared" si="130"/>
        <v>-1246.0722324077415</v>
      </c>
      <c r="E916">
        <f t="shared" si="131"/>
        <v>3307.0700785844092</v>
      </c>
      <c r="F916">
        <f t="shared" si="134"/>
        <v>1</v>
      </c>
      <c r="G916">
        <f t="shared" si="135"/>
        <v>0.88184551813268963</v>
      </c>
      <c r="H916">
        <f t="shared" si="136"/>
        <v>3105.5580666520268</v>
      </c>
      <c r="K916">
        <v>0.88800000000000001</v>
      </c>
      <c r="L916">
        <f t="shared" si="132"/>
        <v>-582.07223240774147</v>
      </c>
      <c r="M916">
        <f t="shared" si="133"/>
        <v>4168.7691103040997</v>
      </c>
      <c r="N916">
        <f t="shared" si="137"/>
        <v>1</v>
      </c>
      <c r="O916">
        <f t="shared" si="138"/>
        <v>0.80283959289117357</v>
      </c>
      <c r="P916">
        <f t="shared" si="139"/>
        <v>3735.2720070921632</v>
      </c>
    </row>
    <row r="917" spans="3:16" x14ac:dyDescent="0.25">
      <c r="C917">
        <v>0.88900000000000001</v>
      </c>
      <c r="D917">
        <f t="shared" si="130"/>
        <v>-1233.2203969993388</v>
      </c>
      <c r="E917">
        <f t="shared" si="131"/>
        <v>3304.393239305552</v>
      </c>
      <c r="F917">
        <f t="shared" si="134"/>
        <v>1</v>
      </c>
      <c r="G917">
        <f t="shared" si="135"/>
        <v>0.87778294185658245</v>
      </c>
      <c r="H917">
        <f t="shared" si="136"/>
        <v>3095.8883745958497</v>
      </c>
      <c r="K917">
        <v>0.88900000000000001</v>
      </c>
      <c r="L917">
        <f t="shared" si="132"/>
        <v>-566.22039699933885</v>
      </c>
      <c r="M917">
        <f t="shared" si="133"/>
        <v>4165.4674172528912</v>
      </c>
      <c r="N917">
        <f t="shared" si="137"/>
        <v>1</v>
      </c>
      <c r="O917">
        <f t="shared" si="138"/>
        <v>0.79840661052485595</v>
      </c>
      <c r="P917">
        <f t="shared" si="139"/>
        <v>3721.9951576099343</v>
      </c>
    </row>
    <row r="918" spans="3:16" x14ac:dyDescent="0.25">
      <c r="C918">
        <v>0.89</v>
      </c>
      <c r="D918">
        <f t="shared" si="130"/>
        <v>-1220.368561590938</v>
      </c>
      <c r="E918">
        <f t="shared" si="131"/>
        <v>3301.7164000266948</v>
      </c>
      <c r="F918">
        <f t="shared" si="134"/>
        <v>1</v>
      </c>
      <c r="G918">
        <f t="shared" si="135"/>
        <v>0.8736516981134218</v>
      </c>
      <c r="H918">
        <f t="shared" si="136"/>
        <v>3086.0924325957913</v>
      </c>
      <c r="K918">
        <v>0.89</v>
      </c>
      <c r="L918">
        <f t="shared" si="132"/>
        <v>-550.36856159093804</v>
      </c>
      <c r="M918">
        <f t="shared" si="133"/>
        <v>4162.1657242016836</v>
      </c>
      <c r="N918">
        <f t="shared" si="137"/>
        <v>1</v>
      </c>
      <c r="O918">
        <f t="shared" si="138"/>
        <v>0.79392434476602558</v>
      </c>
      <c r="P918">
        <f t="shared" si="139"/>
        <v>3708.5908979949213</v>
      </c>
    </row>
    <row r="919" spans="3:16" x14ac:dyDescent="0.25">
      <c r="C919">
        <v>0.89100000000000001</v>
      </c>
      <c r="D919">
        <f t="shared" si="130"/>
        <v>-1207.5167261825354</v>
      </c>
      <c r="E919">
        <f t="shared" si="131"/>
        <v>3299.0395607478376</v>
      </c>
      <c r="F919">
        <f t="shared" si="134"/>
        <v>1</v>
      </c>
      <c r="G919">
        <f t="shared" si="135"/>
        <v>0.86945178690320635</v>
      </c>
      <c r="H919">
        <f t="shared" si="136"/>
        <v>3076.1695977754034</v>
      </c>
      <c r="K919">
        <v>0.89100000000000001</v>
      </c>
      <c r="L919">
        <f t="shared" si="132"/>
        <v>-534.51672618253542</v>
      </c>
      <c r="M919">
        <f t="shared" si="133"/>
        <v>4158.8640311504751</v>
      </c>
      <c r="N919">
        <f t="shared" si="137"/>
        <v>1</v>
      </c>
      <c r="O919">
        <f t="shared" si="138"/>
        <v>0.78939279561468101</v>
      </c>
      <c r="P919">
        <f t="shared" si="139"/>
        <v>3695.0583520743844</v>
      </c>
    </row>
    <row r="920" spans="3:16" x14ac:dyDescent="0.25">
      <c r="C920">
        <v>0.89200000000000002</v>
      </c>
      <c r="D920">
        <f t="shared" si="130"/>
        <v>-1194.6648907741328</v>
      </c>
      <c r="E920">
        <f t="shared" si="131"/>
        <v>3296.3627214689805</v>
      </c>
      <c r="F920">
        <f t="shared" si="134"/>
        <v>1</v>
      </c>
      <c r="G920">
        <f t="shared" si="135"/>
        <v>0.86518320822593675</v>
      </c>
      <c r="H920">
        <f t="shared" si="136"/>
        <v>3066.1192022717823</v>
      </c>
      <c r="K920">
        <v>0.89200000000000002</v>
      </c>
      <c r="L920">
        <f t="shared" si="132"/>
        <v>-518.6648907741328</v>
      </c>
      <c r="M920">
        <f t="shared" si="133"/>
        <v>4155.5623380992674</v>
      </c>
      <c r="N920">
        <f t="shared" si="137"/>
        <v>1</v>
      </c>
      <c r="O920">
        <f t="shared" si="138"/>
        <v>0.78481196307082313</v>
      </c>
      <c r="P920">
        <f t="shared" si="139"/>
        <v>3681.3966165665952</v>
      </c>
    </row>
    <row r="921" spans="3:16" x14ac:dyDescent="0.25">
      <c r="C921">
        <v>0.89300000000000002</v>
      </c>
      <c r="D921">
        <f t="shared" si="130"/>
        <v>-1181.8130553657302</v>
      </c>
      <c r="E921">
        <f t="shared" si="131"/>
        <v>3293.6858821901228</v>
      </c>
      <c r="F921">
        <f t="shared" si="134"/>
        <v>1</v>
      </c>
      <c r="G921">
        <f t="shared" si="135"/>
        <v>0.8608459620816129</v>
      </c>
      <c r="H921">
        <f t="shared" si="136"/>
        <v>3055.9405525518264</v>
      </c>
      <c r="K921">
        <v>0.89300000000000002</v>
      </c>
      <c r="L921">
        <f t="shared" si="132"/>
        <v>-502.81305536573018</v>
      </c>
      <c r="M921">
        <f t="shared" si="133"/>
        <v>4152.2606450480589</v>
      </c>
      <c r="N921">
        <f t="shared" si="137"/>
        <v>1</v>
      </c>
      <c r="O921">
        <f t="shared" si="138"/>
        <v>0.78018184713445171</v>
      </c>
      <c r="P921">
        <f t="shared" si="139"/>
        <v>3667.6047602635981</v>
      </c>
    </row>
    <row r="922" spans="3:16" x14ac:dyDescent="0.25">
      <c r="C922">
        <v>0.89400000000000002</v>
      </c>
      <c r="D922">
        <f t="shared" si="130"/>
        <v>-1168.9612199573276</v>
      </c>
      <c r="E922">
        <f t="shared" si="131"/>
        <v>3291.0090429112656</v>
      </c>
      <c r="F922">
        <f t="shared" si="134"/>
        <v>1</v>
      </c>
      <c r="G922">
        <f t="shared" si="135"/>
        <v>0.85644004847023503</v>
      </c>
      <c r="H922">
        <f t="shared" si="136"/>
        <v>3045.632928697396</v>
      </c>
      <c r="K922">
        <v>0.89400000000000002</v>
      </c>
      <c r="L922">
        <f t="shared" si="132"/>
        <v>-486.96121995732756</v>
      </c>
      <c r="M922">
        <f t="shared" si="133"/>
        <v>4148.9589519968504</v>
      </c>
      <c r="N922">
        <f t="shared" si="137"/>
        <v>1</v>
      </c>
      <c r="O922">
        <f t="shared" si="138"/>
        <v>0.77550244780556699</v>
      </c>
      <c r="P922">
        <f t="shared" si="139"/>
        <v>3653.6818231786315</v>
      </c>
    </row>
    <row r="923" spans="3:16" x14ac:dyDescent="0.25">
      <c r="C923">
        <v>0.89500000000000002</v>
      </c>
      <c r="D923">
        <f t="shared" si="130"/>
        <v>-1156.1093845489249</v>
      </c>
      <c r="E923">
        <f t="shared" si="131"/>
        <v>3288.3322036324084</v>
      </c>
      <c r="F923">
        <f t="shared" si="134"/>
        <v>1</v>
      </c>
      <c r="G923">
        <f t="shared" si="135"/>
        <v>0.8519654673918029</v>
      </c>
      <c r="H923">
        <f t="shared" si="136"/>
        <v>3035.1955836578022</v>
      </c>
      <c r="K923">
        <v>0.89500000000000002</v>
      </c>
      <c r="L923">
        <f t="shared" si="132"/>
        <v>-471.10938454892494</v>
      </c>
      <c r="M923">
        <f t="shared" si="133"/>
        <v>4145.6572589456428</v>
      </c>
      <c r="N923">
        <f t="shared" si="137"/>
        <v>1</v>
      </c>
      <c r="O923">
        <f t="shared" si="138"/>
        <v>0.77077376508416862</v>
      </c>
      <c r="P923">
        <f t="shared" si="139"/>
        <v>3639.6268156563438</v>
      </c>
    </row>
    <row r="924" spans="3:16" x14ac:dyDescent="0.25">
      <c r="C924">
        <v>0.89600000000000002</v>
      </c>
      <c r="D924">
        <f t="shared" ref="D924:D987" si="140">-$J$23+($J$15+$J$23)*C924</f>
        <v>-1143.2575491405223</v>
      </c>
      <c r="E924">
        <f t="shared" ref="E924:E987" si="141">$J$12-$J$11*D924</f>
        <v>3285.6553643535508</v>
      </c>
      <c r="F924">
        <f t="shared" si="134"/>
        <v>1</v>
      </c>
      <c r="G924">
        <f t="shared" si="135"/>
        <v>0.84742221884631652</v>
      </c>
      <c r="H924">
        <f t="shared" si="136"/>
        <v>3024.6277424679761</v>
      </c>
      <c r="K924">
        <v>0.89600000000000002</v>
      </c>
      <c r="L924">
        <f t="shared" ref="L924:L987" si="142">-$M$23+($M$15+$M$23)*K924</f>
        <v>-455.25754914052231</v>
      </c>
      <c r="M924">
        <f t="shared" ref="M924:M987" si="143">$J$12-$J$11*L924+$E$18</f>
        <v>4142.3555658944351</v>
      </c>
      <c r="N924">
        <f t="shared" si="137"/>
        <v>1</v>
      </c>
      <c r="O924">
        <f t="shared" si="138"/>
        <v>0.76599579897025682</v>
      </c>
      <c r="P924">
        <f t="shared" si="139"/>
        <v>3625.4387174438984</v>
      </c>
    </row>
    <row r="925" spans="3:16" x14ac:dyDescent="0.25">
      <c r="C925">
        <v>0.89700000000000002</v>
      </c>
      <c r="D925">
        <f t="shared" si="140"/>
        <v>-1130.4057137321197</v>
      </c>
      <c r="E925">
        <f t="shared" si="141"/>
        <v>3282.9785250746936</v>
      </c>
      <c r="F925">
        <f t="shared" ref="F925:F988" si="144">IF(D925&lt;$J$20,MAX(1-(D925-$J$20)^2/$J$22^2,0),1)</f>
        <v>1</v>
      </c>
      <c r="G925">
        <f t="shared" ref="G925:G988" si="145">IF(D925&gt;$J$17,MAX(1-(D925-$J$17)^2/($J$15-$J$17)^2,0),1)</f>
        <v>0.84281030283377611</v>
      </c>
      <c r="H925">
        <f t="shared" ref="H925:H988" si="146">SQRT(E925^2*F925*G925)</f>
        <v>3013.9286014305462</v>
      </c>
      <c r="K925">
        <v>0.89700000000000002</v>
      </c>
      <c r="L925">
        <f t="shared" si="142"/>
        <v>-439.40571373211969</v>
      </c>
      <c r="M925">
        <f t="shared" si="143"/>
        <v>4139.0538728432266</v>
      </c>
      <c r="N925">
        <f t="shared" ref="N925:N988" si="147">IF(L925&lt;$J$20,MAX(1-(L925-$J$20)^2/$M$22^2,0),1)</f>
        <v>1</v>
      </c>
      <c r="O925">
        <f t="shared" ref="O925:O988" si="148">IF(L925&gt;$J$17,MAX(1-(L925-$J$17)^2/($M$15-$J$17)^2,0),1)</f>
        <v>0.76116854946383172</v>
      </c>
      <c r="P925">
        <f t="shared" ref="P925:P988" si="149">SQRT(M925^2*N925*O925)</f>
        <v>3611.1164767208984</v>
      </c>
    </row>
    <row r="926" spans="3:16" x14ac:dyDescent="0.25">
      <c r="C926">
        <v>0.89800000000000002</v>
      </c>
      <c r="D926">
        <f t="shared" si="140"/>
        <v>-1117.5538783237171</v>
      </c>
      <c r="E926">
        <f t="shared" si="141"/>
        <v>3280.3016857958364</v>
      </c>
      <c r="F926">
        <f t="shared" si="144"/>
        <v>1</v>
      </c>
      <c r="G926">
        <f t="shared" si="145"/>
        <v>0.83812971935418146</v>
      </c>
      <c r="H926">
        <f t="shared" si="146"/>
        <v>3003.0973272599404</v>
      </c>
      <c r="K926">
        <v>0.89800000000000002</v>
      </c>
      <c r="L926">
        <f t="shared" si="142"/>
        <v>-423.55387832371707</v>
      </c>
      <c r="M926">
        <f t="shared" si="143"/>
        <v>4135.7521797920181</v>
      </c>
      <c r="N926">
        <f t="shared" si="147"/>
        <v>1</v>
      </c>
      <c r="O926">
        <f t="shared" si="148"/>
        <v>0.75629201656489309</v>
      </c>
      <c r="P926">
        <f t="shared" si="149"/>
        <v>3596.6590090859495</v>
      </c>
    </row>
    <row r="927" spans="3:16" x14ac:dyDescent="0.25">
      <c r="C927">
        <v>0.89900000000000002</v>
      </c>
      <c r="D927">
        <f t="shared" si="140"/>
        <v>-1104.7020429153145</v>
      </c>
      <c r="E927">
        <f t="shared" si="141"/>
        <v>3277.6248465169792</v>
      </c>
      <c r="F927">
        <f t="shared" si="144"/>
        <v>1</v>
      </c>
      <c r="G927">
        <f t="shared" si="145"/>
        <v>0.83338046840753266</v>
      </c>
      <c r="H927">
        <f t="shared" si="146"/>
        <v>2992.1330561865284</v>
      </c>
      <c r="K927">
        <v>0.89900000000000002</v>
      </c>
      <c r="L927">
        <f t="shared" si="142"/>
        <v>-407.70204291531445</v>
      </c>
      <c r="M927">
        <f t="shared" si="143"/>
        <v>4132.4504867408104</v>
      </c>
      <c r="N927">
        <f t="shared" si="147"/>
        <v>1</v>
      </c>
      <c r="O927">
        <f t="shared" si="148"/>
        <v>0.75136620027344103</v>
      </c>
      <c r="P927">
        <f t="shared" si="149"/>
        <v>3582.0651964975341</v>
      </c>
    </row>
    <row r="928" spans="3:16" x14ac:dyDescent="0.25">
      <c r="C928">
        <v>0.9</v>
      </c>
      <c r="D928">
        <f t="shared" si="140"/>
        <v>-1091.8502075069118</v>
      </c>
      <c r="E928">
        <f t="shared" si="141"/>
        <v>3274.9480072381216</v>
      </c>
      <c r="F928">
        <f t="shared" si="144"/>
        <v>1</v>
      </c>
      <c r="G928">
        <f t="shared" si="145"/>
        <v>0.82856254999382972</v>
      </c>
      <c r="H928">
        <f t="shared" si="146"/>
        <v>2981.034893018656</v>
      </c>
      <c r="K928">
        <v>0.9</v>
      </c>
      <c r="L928">
        <f t="shared" si="142"/>
        <v>-391.85020750691183</v>
      </c>
      <c r="M928">
        <f t="shared" si="143"/>
        <v>4129.1487936896028</v>
      </c>
      <c r="N928">
        <f t="shared" si="147"/>
        <v>1</v>
      </c>
      <c r="O928">
        <f t="shared" si="148"/>
        <v>0.74639110058947544</v>
      </c>
      <c r="P928">
        <f t="shared" si="149"/>
        <v>3567.3338861667121</v>
      </c>
    </row>
    <row r="929" spans="3:16" x14ac:dyDescent="0.25">
      <c r="C929">
        <v>0.90100000000000002</v>
      </c>
      <c r="D929">
        <f t="shared" si="140"/>
        <v>-1078.9983720985092</v>
      </c>
      <c r="E929">
        <f t="shared" si="141"/>
        <v>3272.2711679592644</v>
      </c>
      <c r="F929">
        <f t="shared" si="144"/>
        <v>1</v>
      </c>
      <c r="G929">
        <f t="shared" si="145"/>
        <v>0.82367596411307265</v>
      </c>
      <c r="H929">
        <f t="shared" si="146"/>
        <v>2969.8019101603222</v>
      </c>
      <c r="K929">
        <v>0.90100000000000002</v>
      </c>
      <c r="L929">
        <f t="shared" si="142"/>
        <v>-375.99837209850921</v>
      </c>
      <c r="M929">
        <f t="shared" si="143"/>
        <v>4125.8471006383943</v>
      </c>
      <c r="N929">
        <f t="shared" si="147"/>
        <v>1</v>
      </c>
      <c r="O929">
        <f t="shared" si="148"/>
        <v>0.74136671751299654</v>
      </c>
      <c r="P929">
        <f t="shared" si="149"/>
        <v>3552.4638893990282</v>
      </c>
    </row>
    <row r="930" spans="3:16" x14ac:dyDescent="0.25">
      <c r="C930">
        <v>0.90200000000000002</v>
      </c>
      <c r="D930">
        <f t="shared" si="140"/>
        <v>-1066.1465366901084</v>
      </c>
      <c r="E930">
        <f t="shared" si="141"/>
        <v>3269.5943286804077</v>
      </c>
      <c r="F930">
        <f t="shared" si="144"/>
        <v>1</v>
      </c>
      <c r="G930">
        <f t="shared" si="145"/>
        <v>0.81872071076526198</v>
      </c>
      <c r="H930">
        <f t="shared" si="146"/>
        <v>2958.4331465820578</v>
      </c>
      <c r="K930">
        <v>0.90200000000000002</v>
      </c>
      <c r="L930">
        <f t="shared" si="142"/>
        <v>-360.14653669010659</v>
      </c>
      <c r="M930">
        <f t="shared" si="143"/>
        <v>4122.5454075871858</v>
      </c>
      <c r="N930">
        <f t="shared" si="147"/>
        <v>1</v>
      </c>
      <c r="O930">
        <f t="shared" si="148"/>
        <v>0.736293051044004</v>
      </c>
      <c r="P930">
        <f t="shared" si="149"/>
        <v>3537.4539803827965</v>
      </c>
    </row>
    <row r="931" spans="3:16" x14ac:dyDescent="0.25">
      <c r="C931">
        <v>0.90300000000000002</v>
      </c>
      <c r="D931">
        <f t="shared" si="140"/>
        <v>-1053.2947012817058</v>
      </c>
      <c r="E931">
        <f t="shared" si="141"/>
        <v>3266.91748940155</v>
      </c>
      <c r="F931">
        <f t="shared" si="144"/>
        <v>1</v>
      </c>
      <c r="G931">
        <f t="shared" si="145"/>
        <v>0.81369678995039652</v>
      </c>
      <c r="H931">
        <f t="shared" si="146"/>
        <v>2946.9276067424348</v>
      </c>
      <c r="K931">
        <v>0.90300000000000002</v>
      </c>
      <c r="L931">
        <f t="shared" si="142"/>
        <v>-344.29470128170578</v>
      </c>
      <c r="M931">
        <f t="shared" si="143"/>
        <v>4119.2437145359781</v>
      </c>
      <c r="N931">
        <f t="shared" si="147"/>
        <v>1</v>
      </c>
      <c r="O931">
        <f t="shared" si="148"/>
        <v>0.7311701011824987</v>
      </c>
      <c r="P931">
        <f t="shared" si="149"/>
        <v>3522.3028949207728</v>
      </c>
    </row>
    <row r="932" spans="3:16" x14ac:dyDescent="0.25">
      <c r="C932">
        <v>0.90400000000000003</v>
      </c>
      <c r="D932">
        <f t="shared" si="140"/>
        <v>-1040.4428658733032</v>
      </c>
      <c r="E932">
        <f t="shared" si="141"/>
        <v>3264.2406501226928</v>
      </c>
      <c r="F932">
        <f t="shared" si="144"/>
        <v>1</v>
      </c>
      <c r="G932">
        <f t="shared" si="145"/>
        <v>0.80860420166847691</v>
      </c>
      <c r="H932">
        <f t="shared" si="146"/>
        <v>2935.2842594574636</v>
      </c>
      <c r="K932">
        <v>0.90400000000000003</v>
      </c>
      <c r="L932">
        <f t="shared" si="142"/>
        <v>-328.44286587330316</v>
      </c>
      <c r="M932">
        <f t="shared" si="143"/>
        <v>4115.9420214847705</v>
      </c>
      <c r="N932">
        <f t="shared" si="147"/>
        <v>1</v>
      </c>
      <c r="O932">
        <f t="shared" si="148"/>
        <v>0.72599786792847931</v>
      </c>
      <c r="P932">
        <f t="shared" si="149"/>
        <v>3507.0093291019994</v>
      </c>
    </row>
    <row r="933" spans="3:16" x14ac:dyDescent="0.25">
      <c r="C933">
        <v>0.90500000000000003</v>
      </c>
      <c r="D933">
        <f t="shared" si="140"/>
        <v>-1027.5910304649005</v>
      </c>
      <c r="E933">
        <f t="shared" si="141"/>
        <v>3261.5638108438357</v>
      </c>
      <c r="F933">
        <f t="shared" si="144"/>
        <v>1</v>
      </c>
      <c r="G933">
        <f t="shared" si="145"/>
        <v>0.80344294591950316</v>
      </c>
      <c r="H933">
        <f t="shared" si="146"/>
        <v>2923.5020367149004</v>
      </c>
      <c r="K933">
        <v>0.90500000000000003</v>
      </c>
      <c r="L933">
        <f t="shared" si="142"/>
        <v>-312.59103046490054</v>
      </c>
      <c r="M933">
        <f t="shared" si="143"/>
        <v>4112.640328433562</v>
      </c>
      <c r="N933">
        <f t="shared" si="147"/>
        <v>1</v>
      </c>
      <c r="O933">
        <f t="shared" si="148"/>
        <v>0.7207763512819465</v>
      </c>
      <c r="P933">
        <f t="shared" si="149"/>
        <v>3491.5719379104376</v>
      </c>
    </row>
    <row r="934" spans="3:16" x14ac:dyDescent="0.25">
      <c r="C934">
        <v>0.90600000000000003</v>
      </c>
      <c r="D934">
        <f t="shared" si="140"/>
        <v>-1014.7391950564979</v>
      </c>
      <c r="E934">
        <f t="shared" si="141"/>
        <v>3258.8869715649785</v>
      </c>
      <c r="F934">
        <f t="shared" si="144"/>
        <v>1</v>
      </c>
      <c r="G934">
        <f t="shared" si="145"/>
        <v>0.79821302270347516</v>
      </c>
      <c r="H934">
        <f t="shared" si="146"/>
        <v>2911.5798324303455</v>
      </c>
      <c r="K934">
        <v>0.90600000000000003</v>
      </c>
      <c r="L934">
        <f t="shared" si="142"/>
        <v>-296.73919505649792</v>
      </c>
      <c r="M934">
        <f t="shared" si="143"/>
        <v>4109.3386353823535</v>
      </c>
      <c r="N934">
        <f t="shared" si="147"/>
        <v>1</v>
      </c>
      <c r="O934">
        <f t="shared" si="148"/>
        <v>0.71550555124290027</v>
      </c>
      <c r="P934">
        <f t="shared" si="149"/>
        <v>3475.9893337666958</v>
      </c>
    </row>
    <row r="935" spans="3:16" x14ac:dyDescent="0.25">
      <c r="C935">
        <v>0.90700000000000003</v>
      </c>
      <c r="D935">
        <f t="shared" si="140"/>
        <v>-1001.8873596480953</v>
      </c>
      <c r="E935">
        <f t="shared" si="141"/>
        <v>3256.2101322861208</v>
      </c>
      <c r="F935">
        <f t="shared" si="144"/>
        <v>1</v>
      </c>
      <c r="G935">
        <f t="shared" si="145"/>
        <v>0.79291443202039302</v>
      </c>
      <c r="H935">
        <f t="shared" si="146"/>
        <v>2899.5165011417598</v>
      </c>
      <c r="K935">
        <v>0.90700000000000003</v>
      </c>
      <c r="L935">
        <f t="shared" si="142"/>
        <v>-280.8873596480953</v>
      </c>
      <c r="M935">
        <f t="shared" si="143"/>
        <v>4106.0369423311458</v>
      </c>
      <c r="N935">
        <f t="shared" si="147"/>
        <v>1</v>
      </c>
      <c r="O935">
        <f t="shared" si="148"/>
        <v>0.71018546781134062</v>
      </c>
      <c r="P935">
        <f t="shared" si="149"/>
        <v>3460.2600849989662</v>
      </c>
    </row>
    <row r="936" spans="3:16" x14ac:dyDescent="0.25">
      <c r="C936">
        <v>0.90800000000000003</v>
      </c>
      <c r="D936">
        <f t="shared" si="140"/>
        <v>-989.03552423969268</v>
      </c>
      <c r="E936">
        <f t="shared" si="141"/>
        <v>3253.5332930072636</v>
      </c>
      <c r="F936">
        <f t="shared" si="144"/>
        <v>1</v>
      </c>
      <c r="G936">
        <f t="shared" si="145"/>
        <v>0.78754717387025674</v>
      </c>
      <c r="H936">
        <f t="shared" si="146"/>
        <v>2887.3108566387896</v>
      </c>
      <c r="K936">
        <v>0.90800000000000003</v>
      </c>
      <c r="L936">
        <f t="shared" si="142"/>
        <v>-265.03552423969268</v>
      </c>
      <c r="M936">
        <f t="shared" si="143"/>
        <v>4102.7352492799382</v>
      </c>
      <c r="N936">
        <f t="shared" si="147"/>
        <v>1</v>
      </c>
      <c r="O936">
        <f t="shared" si="148"/>
        <v>0.70481610098726744</v>
      </c>
      <c r="P936">
        <f t="shared" si="149"/>
        <v>3444.3827142389891</v>
      </c>
    </row>
    <row r="937" spans="3:16" x14ac:dyDescent="0.25">
      <c r="C937">
        <v>0.90900000000000003</v>
      </c>
      <c r="D937">
        <f t="shared" si="140"/>
        <v>-976.18368883129006</v>
      </c>
      <c r="E937">
        <f t="shared" si="141"/>
        <v>3250.8564537284064</v>
      </c>
      <c r="F937">
        <f t="shared" si="144"/>
        <v>1</v>
      </c>
      <c r="G937">
        <f t="shared" si="145"/>
        <v>0.78211124825306633</v>
      </c>
      <c r="H937">
        <f t="shared" si="146"/>
        <v>2874.9616705230419</v>
      </c>
      <c r="K937">
        <v>0.90900000000000003</v>
      </c>
      <c r="L937">
        <f t="shared" si="142"/>
        <v>-249.18368883129006</v>
      </c>
      <c r="M937">
        <f t="shared" si="143"/>
        <v>4099.4335562287297</v>
      </c>
      <c r="N937">
        <f t="shared" si="147"/>
        <v>1</v>
      </c>
      <c r="O937">
        <f t="shared" si="148"/>
        <v>0.69939745077068083</v>
      </c>
      <c r="P937">
        <f t="shared" si="149"/>
        <v>3428.3556967385716</v>
      </c>
    </row>
    <row r="938" spans="3:16" x14ac:dyDescent="0.25">
      <c r="C938">
        <v>0.91</v>
      </c>
      <c r="D938">
        <f t="shared" si="140"/>
        <v>-963.33185342288743</v>
      </c>
      <c r="E938">
        <f t="shared" si="141"/>
        <v>3248.1796144495493</v>
      </c>
      <c r="F938">
        <f t="shared" si="144"/>
        <v>1</v>
      </c>
      <c r="G938">
        <f t="shared" si="145"/>
        <v>0.77660665516882166</v>
      </c>
      <c r="H938">
        <f t="shared" si="146"/>
        <v>2862.4676706951864</v>
      </c>
      <c r="K938">
        <v>0.91</v>
      </c>
      <c r="L938">
        <f t="shared" si="142"/>
        <v>-233.33185342288743</v>
      </c>
      <c r="M938">
        <f t="shared" si="143"/>
        <v>4096.1318631775212</v>
      </c>
      <c r="N938">
        <f t="shared" si="147"/>
        <v>1</v>
      </c>
      <c r="O938">
        <f t="shared" si="148"/>
        <v>0.6939295171615808</v>
      </c>
      <c r="P938">
        <f t="shared" si="149"/>
        <v>3412.1774586018537</v>
      </c>
    </row>
    <row r="939" spans="3:16" x14ac:dyDescent="0.25">
      <c r="C939">
        <v>0.91100000000000003</v>
      </c>
      <c r="D939">
        <f t="shared" si="140"/>
        <v>-950.48001801448481</v>
      </c>
      <c r="E939">
        <f t="shared" si="141"/>
        <v>3245.5027751706916</v>
      </c>
      <c r="F939">
        <f t="shared" si="144"/>
        <v>1</v>
      </c>
      <c r="G939">
        <f t="shared" si="145"/>
        <v>0.77103339461752285</v>
      </c>
      <c r="H939">
        <f t="shared" si="146"/>
        <v>2849.8275397644279</v>
      </c>
      <c r="K939">
        <v>0.91100000000000003</v>
      </c>
      <c r="L939">
        <f t="shared" si="142"/>
        <v>-217.48001801448481</v>
      </c>
      <c r="M939">
        <f t="shared" si="143"/>
        <v>4092.8301701263135</v>
      </c>
      <c r="N939">
        <f t="shared" si="147"/>
        <v>1</v>
      </c>
      <c r="O939">
        <f t="shared" si="148"/>
        <v>0.68841230015996735</v>
      </c>
      <c r="P939">
        <f t="shared" si="149"/>
        <v>3395.8463749281841</v>
      </c>
    </row>
    <row r="940" spans="3:16" x14ac:dyDescent="0.25">
      <c r="C940">
        <v>0.91200000000000003</v>
      </c>
      <c r="D940">
        <f t="shared" si="140"/>
        <v>-937.62818260608219</v>
      </c>
      <c r="E940">
        <f t="shared" si="141"/>
        <v>3242.8259358918344</v>
      </c>
      <c r="F940">
        <f t="shared" si="144"/>
        <v>1</v>
      </c>
      <c r="G940">
        <f t="shared" si="145"/>
        <v>0.7653914665991699</v>
      </c>
      <c r="H940">
        <f t="shared" si="146"/>
        <v>2837.0399133756059</v>
      </c>
      <c r="K940">
        <v>0.91200000000000003</v>
      </c>
      <c r="L940">
        <f t="shared" si="142"/>
        <v>-201.62818260608219</v>
      </c>
      <c r="M940">
        <f t="shared" si="143"/>
        <v>4089.5284770751055</v>
      </c>
      <c r="N940">
        <f t="shared" si="147"/>
        <v>1</v>
      </c>
      <c r="O940">
        <f t="shared" si="148"/>
        <v>0.68284579976584037</v>
      </c>
      <c r="P940">
        <f t="shared" si="149"/>
        <v>3379.3607678600792</v>
      </c>
    </row>
    <row r="941" spans="3:16" x14ac:dyDescent="0.25">
      <c r="C941">
        <v>0.91300000000000003</v>
      </c>
      <c r="D941">
        <f t="shared" si="140"/>
        <v>-924.77634719767957</v>
      </c>
      <c r="E941">
        <f t="shared" si="141"/>
        <v>3240.1490966129772</v>
      </c>
      <c r="F941">
        <f t="shared" si="144"/>
        <v>1</v>
      </c>
      <c r="G941">
        <f t="shared" si="145"/>
        <v>0.7596808711137627</v>
      </c>
      <c r="H941">
        <f t="shared" si="146"/>
        <v>2824.1033784487895</v>
      </c>
      <c r="K941">
        <v>0.91300000000000003</v>
      </c>
      <c r="L941">
        <f t="shared" si="142"/>
        <v>-185.77634719767957</v>
      </c>
      <c r="M941">
        <f t="shared" si="143"/>
        <v>4086.2267840238974</v>
      </c>
      <c r="N941">
        <f t="shared" si="147"/>
        <v>1</v>
      </c>
      <c r="O941">
        <f t="shared" si="148"/>
        <v>0.67723001597919996</v>
      </c>
      <c r="P941">
        <f t="shared" si="149"/>
        <v>3362.718904530348</v>
      </c>
    </row>
    <row r="942" spans="3:16" x14ac:dyDescent="0.25">
      <c r="C942">
        <v>0.91400000000000003</v>
      </c>
      <c r="D942">
        <f t="shared" si="140"/>
        <v>-911.92451178927695</v>
      </c>
      <c r="E942">
        <f t="shared" si="141"/>
        <v>3237.4722573341196</v>
      </c>
      <c r="F942">
        <f t="shared" si="144"/>
        <v>1</v>
      </c>
      <c r="G942">
        <f t="shared" si="145"/>
        <v>0.75390160816130147</v>
      </c>
      <c r="H942">
        <f t="shared" si="146"/>
        <v>2811.016471325885</v>
      </c>
      <c r="K942">
        <v>0.91400000000000003</v>
      </c>
      <c r="L942">
        <f t="shared" si="142"/>
        <v>-169.92451178927695</v>
      </c>
      <c r="M942">
        <f t="shared" si="143"/>
        <v>4082.9250909726893</v>
      </c>
      <c r="N942">
        <f t="shared" si="147"/>
        <v>1</v>
      </c>
      <c r="O942">
        <f t="shared" si="148"/>
        <v>0.67156494880004614</v>
      </c>
      <c r="P942">
        <f t="shared" si="149"/>
        <v>3345.9189949019874</v>
      </c>
    </row>
    <row r="943" spans="3:16" x14ac:dyDescent="0.25">
      <c r="C943">
        <v>0.91500000000000004</v>
      </c>
      <c r="D943">
        <f t="shared" si="140"/>
        <v>-899.07267638087615</v>
      </c>
      <c r="E943">
        <f t="shared" si="141"/>
        <v>3234.7954180552629</v>
      </c>
      <c r="F943">
        <f t="shared" si="144"/>
        <v>1</v>
      </c>
      <c r="G943">
        <f t="shared" si="145"/>
        <v>0.74805367774178677</v>
      </c>
      <c r="H943">
        <f t="shared" si="146"/>
        <v>2797.7776758183272</v>
      </c>
      <c r="K943">
        <v>0.91500000000000004</v>
      </c>
      <c r="L943">
        <f t="shared" si="142"/>
        <v>-154.07267638087433</v>
      </c>
      <c r="M943">
        <f t="shared" si="143"/>
        <v>4079.6233979214812</v>
      </c>
      <c r="N943">
        <f t="shared" si="147"/>
        <v>1</v>
      </c>
      <c r="O943">
        <f t="shared" si="148"/>
        <v>0.66585059822837867</v>
      </c>
      <c r="P943">
        <f t="shared" si="149"/>
        <v>3328.9591894940077</v>
      </c>
    </row>
    <row r="944" spans="3:16" x14ac:dyDescent="0.25">
      <c r="C944">
        <v>0.91600000000000004</v>
      </c>
      <c r="D944">
        <f t="shared" si="140"/>
        <v>-886.22084097247352</v>
      </c>
      <c r="E944">
        <f t="shared" si="141"/>
        <v>3232.1185787764057</v>
      </c>
      <c r="F944">
        <f t="shared" si="144"/>
        <v>1</v>
      </c>
      <c r="G944">
        <f t="shared" si="145"/>
        <v>0.74213707985521715</v>
      </c>
      <c r="H944">
        <f t="shared" si="146"/>
        <v>2784.3854211494836</v>
      </c>
      <c r="K944">
        <v>0.91600000000000004</v>
      </c>
      <c r="L944">
        <f t="shared" si="142"/>
        <v>-138.22084097247352</v>
      </c>
      <c r="M944">
        <f t="shared" si="143"/>
        <v>4076.3217048702736</v>
      </c>
      <c r="N944">
        <f t="shared" si="147"/>
        <v>1</v>
      </c>
      <c r="O944">
        <f t="shared" si="148"/>
        <v>0.66008696426419866</v>
      </c>
      <c r="P944">
        <f t="shared" si="149"/>
        <v>3311.8375769858017</v>
      </c>
    </row>
    <row r="945" spans="3:16" x14ac:dyDescent="0.25">
      <c r="C945">
        <v>0.91700000000000004</v>
      </c>
      <c r="D945">
        <f t="shared" si="140"/>
        <v>-873.3690055640709</v>
      </c>
      <c r="E945">
        <f t="shared" si="141"/>
        <v>3229.441739497548</v>
      </c>
      <c r="F945">
        <f t="shared" si="144"/>
        <v>1</v>
      </c>
      <c r="G945">
        <f t="shared" si="145"/>
        <v>0.73615181450159339</v>
      </c>
      <c r="H945">
        <f t="shared" si="146"/>
        <v>2770.8380797849222</v>
      </c>
      <c r="K945">
        <v>0.91700000000000004</v>
      </c>
      <c r="L945">
        <f t="shared" si="142"/>
        <v>-122.3690055640709</v>
      </c>
      <c r="M945">
        <f t="shared" si="143"/>
        <v>4073.0200118190651</v>
      </c>
      <c r="N945">
        <f t="shared" si="147"/>
        <v>1</v>
      </c>
      <c r="O945">
        <f t="shared" si="148"/>
        <v>0.65427404690750446</v>
      </c>
      <c r="P945">
        <f t="shared" si="149"/>
        <v>3294.5521816920777</v>
      </c>
    </row>
    <row r="946" spans="3:16" x14ac:dyDescent="0.25">
      <c r="C946">
        <v>0.91800000000000004</v>
      </c>
      <c r="D946">
        <f t="shared" si="140"/>
        <v>-860.51717015566828</v>
      </c>
      <c r="E946">
        <f t="shared" si="141"/>
        <v>3226.7649002186909</v>
      </c>
      <c r="F946">
        <f t="shared" si="144"/>
        <v>1</v>
      </c>
      <c r="G946">
        <f t="shared" si="145"/>
        <v>0.73009788168091538</v>
      </c>
      <c r="H946">
        <f t="shared" si="146"/>
        <v>2757.1339651431203</v>
      </c>
      <c r="K946">
        <v>0.91800000000000004</v>
      </c>
      <c r="L946">
        <f t="shared" si="142"/>
        <v>-106.51717015566828</v>
      </c>
      <c r="M946">
        <f t="shared" si="143"/>
        <v>4069.718318767857</v>
      </c>
      <c r="N946">
        <f t="shared" si="147"/>
        <v>1</v>
      </c>
      <c r="O946">
        <f t="shared" si="148"/>
        <v>0.64841184615829683</v>
      </c>
      <c r="P946">
        <f t="shared" si="149"/>
        <v>3277.1009608998293</v>
      </c>
    </row>
    <row r="947" spans="3:16" x14ac:dyDescent="0.25">
      <c r="C947">
        <v>0.91900000000000004</v>
      </c>
      <c r="D947">
        <f t="shared" si="140"/>
        <v>-847.66533474726566</v>
      </c>
      <c r="E947">
        <f t="shared" si="141"/>
        <v>3224.0880609398337</v>
      </c>
      <c r="F947">
        <f t="shared" si="144"/>
        <v>1</v>
      </c>
      <c r="G947">
        <f t="shared" si="145"/>
        <v>0.72397528139318323</v>
      </c>
      <c r="H947">
        <f t="shared" si="146"/>
        <v>2743.271329178624</v>
      </c>
      <c r="K947">
        <v>0.91900000000000004</v>
      </c>
      <c r="L947">
        <f t="shared" si="142"/>
        <v>-90.665334747265661</v>
      </c>
      <c r="M947">
        <f t="shared" si="143"/>
        <v>4066.4166257166489</v>
      </c>
      <c r="N947">
        <f t="shared" si="147"/>
        <v>1</v>
      </c>
      <c r="O947">
        <f t="shared" si="148"/>
        <v>0.64250036201657568</v>
      </c>
      <c r="P947">
        <f t="shared" si="149"/>
        <v>3259.4818020580051</v>
      </c>
    </row>
    <row r="948" spans="3:16" x14ac:dyDescent="0.25">
      <c r="C948">
        <v>0.92</v>
      </c>
      <c r="D948">
        <f t="shared" si="140"/>
        <v>-834.81349933886304</v>
      </c>
      <c r="E948">
        <f t="shared" si="141"/>
        <v>3221.4112216609765</v>
      </c>
      <c r="F948">
        <f t="shared" si="144"/>
        <v>1</v>
      </c>
      <c r="G948">
        <f t="shared" si="145"/>
        <v>0.71778401363839706</v>
      </c>
      <c r="H948">
        <f t="shared" si="146"/>
        <v>2729.2483598290287</v>
      </c>
      <c r="K948">
        <v>0.92</v>
      </c>
      <c r="L948">
        <f t="shared" si="142"/>
        <v>-74.813499338863039</v>
      </c>
      <c r="M948">
        <f t="shared" si="143"/>
        <v>4063.1149326654408</v>
      </c>
      <c r="N948">
        <f t="shared" si="147"/>
        <v>1</v>
      </c>
      <c r="O948">
        <f t="shared" si="148"/>
        <v>0.6365395944823411</v>
      </c>
      <c r="P948">
        <f t="shared" si="149"/>
        <v>3241.6925198099343</v>
      </c>
    </row>
    <row r="949" spans="3:16" x14ac:dyDescent="0.25">
      <c r="C949">
        <v>0.92100000000000004</v>
      </c>
      <c r="D949">
        <f t="shared" si="140"/>
        <v>-821.96166393046042</v>
      </c>
      <c r="E949">
        <f t="shared" si="141"/>
        <v>3218.7343823821188</v>
      </c>
      <c r="F949">
        <f t="shared" si="144"/>
        <v>1</v>
      </c>
      <c r="G949">
        <f t="shared" si="145"/>
        <v>0.71152407841655652</v>
      </c>
      <c r="H949">
        <f t="shared" si="146"/>
        <v>2715.0631783164336</v>
      </c>
      <c r="K949">
        <v>0.92100000000000004</v>
      </c>
      <c r="L949">
        <f t="shared" si="142"/>
        <v>-58.961663930460418</v>
      </c>
      <c r="M949">
        <f t="shared" si="143"/>
        <v>4059.8132396142328</v>
      </c>
      <c r="N949">
        <f t="shared" si="147"/>
        <v>1</v>
      </c>
      <c r="O949">
        <f t="shared" si="148"/>
        <v>0.6305295435555931</v>
      </c>
      <c r="P949">
        <f t="shared" si="149"/>
        <v>3223.7308528576423</v>
      </c>
    </row>
    <row r="950" spans="3:16" x14ac:dyDescent="0.25">
      <c r="C950">
        <v>0.92200000000000004</v>
      </c>
      <c r="D950">
        <f t="shared" si="140"/>
        <v>-809.1098285220578</v>
      </c>
      <c r="E950">
        <f t="shared" si="141"/>
        <v>3216.0575431032617</v>
      </c>
      <c r="F950">
        <f t="shared" si="144"/>
        <v>1</v>
      </c>
      <c r="G950">
        <f t="shared" si="145"/>
        <v>0.70519547572766184</v>
      </c>
      <c r="H950">
        <f t="shared" si="146"/>
        <v>2700.7138362932619</v>
      </c>
      <c r="K950">
        <v>0.92200000000000004</v>
      </c>
      <c r="L950">
        <f t="shared" si="142"/>
        <v>-43.109828522057796</v>
      </c>
      <c r="M950">
        <f t="shared" si="143"/>
        <v>4056.5115465630247</v>
      </c>
      <c r="N950">
        <f t="shared" si="147"/>
        <v>1</v>
      </c>
      <c r="O950">
        <f t="shared" si="148"/>
        <v>0.62447020923633167</v>
      </c>
      <c r="P950">
        <f t="shared" si="149"/>
        <v>3205.5944606463568</v>
      </c>
    </row>
    <row r="951" spans="3:16" x14ac:dyDescent="0.25">
      <c r="C951">
        <v>0.92300000000000004</v>
      </c>
      <c r="D951">
        <f t="shared" si="140"/>
        <v>-796.25799311365517</v>
      </c>
      <c r="E951">
        <f t="shared" si="141"/>
        <v>3213.3807038244045</v>
      </c>
      <c r="F951">
        <f t="shared" si="144"/>
        <v>1</v>
      </c>
      <c r="G951">
        <f t="shared" si="145"/>
        <v>0.69879820557171302</v>
      </c>
      <c r="H951">
        <f t="shared" si="146"/>
        <v>2686.1983128214788</v>
      </c>
      <c r="K951">
        <v>0.92300000000000004</v>
      </c>
      <c r="L951">
        <f t="shared" si="142"/>
        <v>-27.257993113655175</v>
      </c>
      <c r="M951">
        <f t="shared" si="143"/>
        <v>4053.2098535118166</v>
      </c>
      <c r="N951">
        <f t="shared" si="147"/>
        <v>1</v>
      </c>
      <c r="O951">
        <f t="shared" si="148"/>
        <v>0.61836159152455661</v>
      </c>
      <c r="P951">
        <f t="shared" si="149"/>
        <v>3187.2809198565037</v>
      </c>
    </row>
    <row r="952" spans="3:16" x14ac:dyDescent="0.25">
      <c r="C952">
        <v>0.92400000000000004</v>
      </c>
      <c r="D952">
        <f t="shared" si="140"/>
        <v>-783.40615770525255</v>
      </c>
      <c r="E952">
        <f t="shared" si="141"/>
        <v>3210.7038645455473</v>
      </c>
      <c r="F952">
        <f t="shared" si="144"/>
        <v>1</v>
      </c>
      <c r="G952">
        <f t="shared" si="145"/>
        <v>0.69233226794871006</v>
      </c>
      <c r="H952">
        <f t="shared" si="146"/>
        <v>2671.5145111733364</v>
      </c>
      <c r="K952">
        <v>0.92400000000000004</v>
      </c>
      <c r="L952">
        <f t="shared" si="142"/>
        <v>-11.406157705252554</v>
      </c>
      <c r="M952">
        <f t="shared" si="143"/>
        <v>4049.9081604606085</v>
      </c>
      <c r="N952">
        <f t="shared" si="147"/>
        <v>1</v>
      </c>
      <c r="O952">
        <f t="shared" si="148"/>
        <v>0.61220369042026834</v>
      </c>
      <c r="P952">
        <f t="shared" si="149"/>
        <v>3168.7877206894204</v>
      </c>
    </row>
    <row r="953" spans="3:16" x14ac:dyDescent="0.25">
      <c r="C953">
        <v>0.92500000000000004</v>
      </c>
      <c r="D953">
        <f t="shared" si="140"/>
        <v>-770.55432229684993</v>
      </c>
      <c r="E953">
        <f t="shared" si="141"/>
        <v>3208.0270252666896</v>
      </c>
      <c r="F953">
        <f t="shared" si="144"/>
        <v>1</v>
      </c>
      <c r="G953">
        <f t="shared" si="145"/>
        <v>0.68579766285865296</v>
      </c>
      <c r="H953">
        <f t="shared" si="146"/>
        <v>2656.6602554407305</v>
      </c>
      <c r="K953">
        <v>0.92500000000000004</v>
      </c>
      <c r="L953">
        <f t="shared" si="142"/>
        <v>4.4456777031500678</v>
      </c>
      <c r="M953">
        <f t="shared" si="143"/>
        <v>4046.6064674094005</v>
      </c>
      <c r="N953">
        <f t="shared" si="147"/>
        <v>1</v>
      </c>
      <c r="O953">
        <f t="shared" si="148"/>
        <v>0.60599650592346643</v>
      </c>
      <c r="P953">
        <f t="shared" si="149"/>
        <v>3150.112262931827</v>
      </c>
    </row>
    <row r="954" spans="3:16" x14ac:dyDescent="0.25">
      <c r="C954">
        <v>0.92600000000000005</v>
      </c>
      <c r="D954">
        <f t="shared" si="140"/>
        <v>-757.70248688844731</v>
      </c>
      <c r="E954">
        <f t="shared" si="141"/>
        <v>3205.3501859878324</v>
      </c>
      <c r="F954">
        <f t="shared" si="144"/>
        <v>1</v>
      </c>
      <c r="G954">
        <f t="shared" si="145"/>
        <v>0.67919439030154161</v>
      </c>
      <c r="H954">
        <f t="shared" si="146"/>
        <v>2641.6332869391481</v>
      </c>
      <c r="K954">
        <v>0.92600000000000005</v>
      </c>
      <c r="L954">
        <f t="shared" si="142"/>
        <v>20.297513111552689</v>
      </c>
      <c r="M954">
        <f t="shared" si="143"/>
        <v>4043.3047743581924</v>
      </c>
      <c r="N954">
        <f t="shared" si="147"/>
        <v>1</v>
      </c>
      <c r="O954">
        <f t="shared" si="148"/>
        <v>0.59974003803415121</v>
      </c>
      <c r="P954">
        <f t="shared" si="149"/>
        <v>3131.2518517828153</v>
      </c>
    </row>
    <row r="955" spans="3:16" x14ac:dyDescent="0.25">
      <c r="C955">
        <v>0.92700000000000005</v>
      </c>
      <c r="D955">
        <f t="shared" si="140"/>
        <v>-744.85065148004469</v>
      </c>
      <c r="E955">
        <f t="shared" si="141"/>
        <v>3202.6733467089753</v>
      </c>
      <c r="F955">
        <f t="shared" si="144"/>
        <v>1</v>
      </c>
      <c r="G955">
        <f t="shared" si="145"/>
        <v>0.67252245027737612</v>
      </c>
      <c r="H955">
        <f t="shared" si="146"/>
        <v>2626.431260390937</v>
      </c>
      <c r="K955">
        <v>0.92700000000000005</v>
      </c>
      <c r="L955">
        <f t="shared" si="142"/>
        <v>36.149348519955311</v>
      </c>
      <c r="M955">
        <f t="shared" si="143"/>
        <v>4040.0030813069843</v>
      </c>
      <c r="N955">
        <f t="shared" si="147"/>
        <v>1</v>
      </c>
      <c r="O955">
        <f t="shared" si="148"/>
        <v>0.59343428675232246</v>
      </c>
      <c r="P955">
        <f t="shared" si="149"/>
        <v>3112.2036934256566</v>
      </c>
    </row>
    <row r="956" spans="3:16" x14ac:dyDescent="0.25">
      <c r="C956">
        <v>0.92800000000000005</v>
      </c>
      <c r="D956">
        <f t="shared" si="140"/>
        <v>-731.99881607164389</v>
      </c>
      <c r="E956">
        <f t="shared" si="141"/>
        <v>3199.9965074301181</v>
      </c>
      <c r="F956">
        <f t="shared" si="144"/>
        <v>1</v>
      </c>
      <c r="G956">
        <f t="shared" si="145"/>
        <v>0.66578184278615749</v>
      </c>
      <c r="H956">
        <f t="shared" si="146"/>
        <v>2611.0517398712832</v>
      </c>
      <c r="K956">
        <v>0.92800000000000005</v>
      </c>
      <c r="L956">
        <f t="shared" si="142"/>
        <v>52.001183928357932</v>
      </c>
      <c r="M956">
        <f t="shared" si="143"/>
        <v>4036.7013882557762</v>
      </c>
      <c r="N956">
        <f t="shared" si="147"/>
        <v>1</v>
      </c>
      <c r="O956">
        <f t="shared" si="148"/>
        <v>0.58707925207798028</v>
      </c>
      <c r="P956">
        <f t="shared" si="149"/>
        <v>3092.9648903251764</v>
      </c>
    </row>
    <row r="957" spans="3:16" x14ac:dyDescent="0.25">
      <c r="C957">
        <v>0.92900000000000005</v>
      </c>
      <c r="D957">
        <f t="shared" si="140"/>
        <v>-719.14698066324127</v>
      </c>
      <c r="E957">
        <f t="shared" si="141"/>
        <v>3197.3196681512609</v>
      </c>
      <c r="F957">
        <f t="shared" si="144"/>
        <v>1</v>
      </c>
      <c r="G957">
        <f t="shared" si="145"/>
        <v>0.65897256782788372</v>
      </c>
      <c r="H957">
        <f t="shared" si="146"/>
        <v>2595.4921944987482</v>
      </c>
      <c r="K957">
        <v>0.92900000000000005</v>
      </c>
      <c r="L957">
        <f t="shared" si="142"/>
        <v>67.853019336758734</v>
      </c>
      <c r="M957">
        <f t="shared" si="143"/>
        <v>4033.3996952045682</v>
      </c>
      <c r="N957">
        <f t="shared" si="147"/>
        <v>1</v>
      </c>
      <c r="O957">
        <f t="shared" si="148"/>
        <v>0.58067493401112535</v>
      </c>
      <c r="P957">
        <f t="shared" si="149"/>
        <v>3073.5324362296788</v>
      </c>
    </row>
    <row r="958" spans="3:16" x14ac:dyDescent="0.25">
      <c r="C958">
        <v>0.93</v>
      </c>
      <c r="D958">
        <f t="shared" si="140"/>
        <v>-706.29514525483864</v>
      </c>
      <c r="E958">
        <f t="shared" si="141"/>
        <v>3194.6428288724037</v>
      </c>
      <c r="F958">
        <f t="shared" si="144"/>
        <v>1</v>
      </c>
      <c r="G958">
        <f t="shared" si="145"/>
        <v>0.65209462540255569</v>
      </c>
      <c r="H958">
        <f t="shared" si="146"/>
        <v>2579.7499938505989</v>
      </c>
      <c r="K958">
        <v>0.93</v>
      </c>
      <c r="L958">
        <f t="shared" si="142"/>
        <v>83.704854745161356</v>
      </c>
      <c r="M958">
        <f t="shared" si="143"/>
        <v>4030.0980021533601</v>
      </c>
      <c r="N958">
        <f t="shared" si="147"/>
        <v>1</v>
      </c>
      <c r="O958">
        <f t="shared" si="148"/>
        <v>0.57422133255175634</v>
      </c>
      <c r="P958">
        <f t="shared" si="149"/>
        <v>3053.9032108544748</v>
      </c>
    </row>
    <row r="959" spans="3:16" x14ac:dyDescent="0.25">
      <c r="C959">
        <v>0.93100000000000005</v>
      </c>
      <c r="D959">
        <f t="shared" si="140"/>
        <v>-693.44330984643602</v>
      </c>
      <c r="E959">
        <f t="shared" si="141"/>
        <v>3191.9659895935465</v>
      </c>
      <c r="F959">
        <f t="shared" si="144"/>
        <v>1</v>
      </c>
      <c r="G959">
        <f t="shared" si="145"/>
        <v>0.64514801551017353</v>
      </c>
      <c r="H959">
        <f t="shared" si="146"/>
        <v>2563.8224030812594</v>
      </c>
      <c r="K959">
        <v>0.93100000000000005</v>
      </c>
      <c r="L959">
        <f t="shared" si="142"/>
        <v>99.556690153563977</v>
      </c>
      <c r="M959">
        <f t="shared" si="143"/>
        <v>4026.796309102152</v>
      </c>
      <c r="N959">
        <f t="shared" si="147"/>
        <v>1</v>
      </c>
      <c r="O959">
        <f t="shared" si="148"/>
        <v>0.56771844769987378</v>
      </c>
      <c r="P959">
        <f t="shared" si="149"/>
        <v>3034.0739742219735</v>
      </c>
    </row>
    <row r="960" spans="3:16" x14ac:dyDescent="0.25">
      <c r="C960">
        <v>0.93200000000000005</v>
      </c>
      <c r="D960">
        <f t="shared" si="140"/>
        <v>-680.5914744380334</v>
      </c>
      <c r="E960">
        <f t="shared" si="141"/>
        <v>3189.2891503146889</v>
      </c>
      <c r="F960">
        <f t="shared" si="144"/>
        <v>1</v>
      </c>
      <c r="G960">
        <f t="shared" si="145"/>
        <v>0.63813273815073723</v>
      </c>
      <c r="H960">
        <f t="shared" si="146"/>
        <v>2547.7065777202261</v>
      </c>
      <c r="K960">
        <v>0.93200000000000005</v>
      </c>
      <c r="L960">
        <f t="shared" si="142"/>
        <v>115.4085255619666</v>
      </c>
      <c r="M960">
        <f t="shared" si="143"/>
        <v>4023.4946160509439</v>
      </c>
      <c r="N960">
        <f t="shared" si="147"/>
        <v>1</v>
      </c>
      <c r="O960">
        <f t="shared" si="148"/>
        <v>0.5611662794554777</v>
      </c>
      <c r="P960">
        <f t="shared" si="149"/>
        <v>3014.041360630843</v>
      </c>
    </row>
    <row r="961" spans="3:16" x14ac:dyDescent="0.25">
      <c r="C961">
        <v>0.93300000000000005</v>
      </c>
      <c r="D961">
        <f t="shared" si="140"/>
        <v>-667.73963902963078</v>
      </c>
      <c r="E961">
        <f t="shared" si="141"/>
        <v>3186.6123110358317</v>
      </c>
      <c r="F961">
        <f t="shared" si="144"/>
        <v>1</v>
      </c>
      <c r="G961">
        <f t="shared" si="145"/>
        <v>0.63104879332424679</v>
      </c>
      <c r="H961">
        <f t="shared" si="146"/>
        <v>2531.3995581234835</v>
      </c>
      <c r="K961">
        <v>0.93300000000000005</v>
      </c>
      <c r="L961">
        <f t="shared" si="142"/>
        <v>131.26036097036922</v>
      </c>
      <c r="M961">
        <f t="shared" si="143"/>
        <v>4020.1929229997359</v>
      </c>
      <c r="N961">
        <f t="shared" si="147"/>
        <v>1</v>
      </c>
      <c r="O961">
        <f t="shared" si="148"/>
        <v>0.55456482781856842</v>
      </c>
      <c r="P961">
        <f t="shared" si="149"/>
        <v>2993.8018722242041</v>
      </c>
    </row>
    <row r="962" spans="3:16" x14ac:dyDescent="0.25">
      <c r="C962">
        <v>0.93400000000000005</v>
      </c>
      <c r="D962">
        <f t="shared" si="140"/>
        <v>-654.88780362122816</v>
      </c>
      <c r="E962">
        <f t="shared" si="141"/>
        <v>3183.9354717569745</v>
      </c>
      <c r="F962">
        <f t="shared" si="144"/>
        <v>1</v>
      </c>
      <c r="G962">
        <f t="shared" si="145"/>
        <v>0.6238961810307021</v>
      </c>
      <c r="H962">
        <f t="shared" si="146"/>
        <v>2514.8982635499387</v>
      </c>
      <c r="K962">
        <v>0.93400000000000005</v>
      </c>
      <c r="L962">
        <f t="shared" si="142"/>
        <v>147.11219637877184</v>
      </c>
      <c r="M962">
        <f t="shared" si="143"/>
        <v>4016.8912299485278</v>
      </c>
      <c r="N962">
        <f t="shared" si="147"/>
        <v>1</v>
      </c>
      <c r="O962">
        <f t="shared" si="148"/>
        <v>0.54791409278914549</v>
      </c>
      <c r="P962">
        <f t="shared" si="149"/>
        <v>2973.3518721238324</v>
      </c>
    </row>
    <row r="963" spans="3:16" x14ac:dyDescent="0.25">
      <c r="C963">
        <v>0.93500000000000005</v>
      </c>
      <c r="D963">
        <f t="shared" si="140"/>
        <v>-642.03596821282554</v>
      </c>
      <c r="E963">
        <f t="shared" si="141"/>
        <v>3181.2586324781169</v>
      </c>
      <c r="F963">
        <f t="shared" si="144"/>
        <v>1</v>
      </c>
      <c r="G963">
        <f t="shared" si="145"/>
        <v>0.61667490127010327</v>
      </c>
      <c r="H963">
        <f t="shared" si="146"/>
        <v>2498.1994858315925</v>
      </c>
      <c r="K963">
        <v>0.93500000000000005</v>
      </c>
      <c r="L963">
        <f t="shared" si="142"/>
        <v>162.96403178717446</v>
      </c>
      <c r="M963">
        <f t="shared" si="143"/>
        <v>4013.5895368973197</v>
      </c>
      <c r="N963">
        <f t="shared" si="147"/>
        <v>1</v>
      </c>
      <c r="O963">
        <f t="shared" si="148"/>
        <v>0.54121407436720914</v>
      </c>
      <c r="P963">
        <f t="shared" si="149"/>
        <v>2952.6875770941147</v>
      </c>
    </row>
    <row r="964" spans="3:16" x14ac:dyDescent="0.25">
      <c r="C964">
        <v>0.93600000000000005</v>
      </c>
      <c r="D964">
        <f t="shared" si="140"/>
        <v>-629.18413280442292</v>
      </c>
      <c r="E964">
        <f t="shared" si="141"/>
        <v>3178.5817931992597</v>
      </c>
      <c r="F964">
        <f t="shared" si="144"/>
        <v>1</v>
      </c>
      <c r="G964">
        <f t="shared" si="145"/>
        <v>0.6093849540424503</v>
      </c>
      <c r="H964">
        <f t="shared" si="146"/>
        <v>2481.2998826030084</v>
      </c>
      <c r="K964">
        <v>0.93600000000000005</v>
      </c>
      <c r="L964">
        <f t="shared" si="142"/>
        <v>178.81586719557708</v>
      </c>
      <c r="M964">
        <f t="shared" si="143"/>
        <v>4010.2878438461116</v>
      </c>
      <c r="N964">
        <f t="shared" si="147"/>
        <v>1</v>
      </c>
      <c r="O964">
        <f t="shared" si="148"/>
        <v>0.53446477255275937</v>
      </c>
      <c r="P964">
        <f t="shared" si="149"/>
        <v>2931.8050496958472</v>
      </c>
    </row>
    <row r="965" spans="3:16" x14ac:dyDescent="0.25">
      <c r="C965">
        <v>0.93700000000000006</v>
      </c>
      <c r="D965">
        <f t="shared" si="140"/>
        <v>-616.33229739602029</v>
      </c>
      <c r="E965">
        <f t="shared" si="141"/>
        <v>3175.9049539204025</v>
      </c>
      <c r="F965">
        <f t="shared" si="144"/>
        <v>1</v>
      </c>
      <c r="G965">
        <f t="shared" si="145"/>
        <v>0.60202633934774319</v>
      </c>
      <c r="H965">
        <f t="shared" si="146"/>
        <v>2464.1959700521425</v>
      </c>
      <c r="K965">
        <v>0.93700000000000006</v>
      </c>
      <c r="L965">
        <f t="shared" si="142"/>
        <v>194.66770260397971</v>
      </c>
      <c r="M965">
        <f t="shared" si="143"/>
        <v>4006.9861507949036</v>
      </c>
      <c r="N965">
        <f t="shared" si="147"/>
        <v>1</v>
      </c>
      <c r="O965">
        <f t="shared" si="148"/>
        <v>0.52766618734579618</v>
      </c>
      <c r="P965">
        <f t="shared" si="149"/>
        <v>2910.7001898859112</v>
      </c>
    </row>
    <row r="966" spans="3:16" x14ac:dyDescent="0.25">
      <c r="C966">
        <v>0.93799999999999994</v>
      </c>
      <c r="D966">
        <f t="shared" si="140"/>
        <v>-603.48046198761949</v>
      </c>
      <c r="E966">
        <f t="shared" si="141"/>
        <v>3173.2281146415453</v>
      </c>
      <c r="F966">
        <f t="shared" si="144"/>
        <v>1</v>
      </c>
      <c r="G966">
        <f t="shared" si="145"/>
        <v>0.59459905718598294</v>
      </c>
      <c r="H966">
        <f t="shared" si="146"/>
        <v>2446.8841151506704</v>
      </c>
      <c r="K966">
        <v>0.93799999999999994</v>
      </c>
      <c r="L966">
        <f t="shared" si="142"/>
        <v>210.51953801238051</v>
      </c>
      <c r="M966">
        <f t="shared" si="143"/>
        <v>4003.6844577436959</v>
      </c>
      <c r="N966">
        <f t="shared" si="147"/>
        <v>1</v>
      </c>
      <c r="O966">
        <f t="shared" si="148"/>
        <v>0.52081831874632023</v>
      </c>
      <c r="P966">
        <f t="shared" si="149"/>
        <v>2889.368726014301</v>
      </c>
    </row>
    <row r="967" spans="3:16" x14ac:dyDescent="0.25">
      <c r="C967">
        <v>0.93899999999999995</v>
      </c>
      <c r="D967">
        <f t="shared" si="140"/>
        <v>-590.62862657921687</v>
      </c>
      <c r="E967">
        <f t="shared" si="141"/>
        <v>3170.5512753626881</v>
      </c>
      <c r="F967">
        <f t="shared" si="144"/>
        <v>1</v>
      </c>
      <c r="G967">
        <f t="shared" si="145"/>
        <v>0.58710310755716733</v>
      </c>
      <c r="H967">
        <f t="shared" si="146"/>
        <v>2429.3605273175372</v>
      </c>
      <c r="K967">
        <v>0.93899999999999995</v>
      </c>
      <c r="L967">
        <f t="shared" si="142"/>
        <v>226.37137342078313</v>
      </c>
      <c r="M967">
        <f t="shared" si="143"/>
        <v>4000.3827646924879</v>
      </c>
      <c r="N967">
        <f t="shared" si="147"/>
        <v>1</v>
      </c>
      <c r="O967">
        <f t="shared" si="148"/>
        <v>0.51392116675432997</v>
      </c>
      <c r="P967">
        <f t="shared" si="149"/>
        <v>2867.8062051648649</v>
      </c>
    </row>
    <row r="968" spans="3:16" x14ac:dyDescent="0.25">
      <c r="C968">
        <v>0.94</v>
      </c>
      <c r="D968">
        <f t="shared" si="140"/>
        <v>-577.77679117081425</v>
      </c>
      <c r="E968">
        <f t="shared" si="141"/>
        <v>3167.8744360838309</v>
      </c>
      <c r="F968">
        <f t="shared" si="144"/>
        <v>1</v>
      </c>
      <c r="G968">
        <f t="shared" si="145"/>
        <v>0.57953849046129768</v>
      </c>
      <c r="H968">
        <f t="shared" si="146"/>
        <v>2411.6212494645351</v>
      </c>
      <c r="K968">
        <v>0.94</v>
      </c>
      <c r="L968">
        <f t="shared" si="142"/>
        <v>242.22320882918575</v>
      </c>
      <c r="M968">
        <f t="shared" si="143"/>
        <v>3997.0810716412798</v>
      </c>
      <c r="N968">
        <f t="shared" si="147"/>
        <v>1</v>
      </c>
      <c r="O968">
        <f t="shared" si="148"/>
        <v>0.50697473136982651</v>
      </c>
      <c r="P968">
        <f t="shared" si="149"/>
        <v>2846.0079827804266</v>
      </c>
    </row>
    <row r="969" spans="3:16" x14ac:dyDescent="0.25">
      <c r="C969">
        <v>0.94099999999999995</v>
      </c>
      <c r="D969">
        <f t="shared" si="140"/>
        <v>-564.92495576241163</v>
      </c>
      <c r="E969">
        <f t="shared" si="141"/>
        <v>3165.1975968049737</v>
      </c>
      <c r="F969">
        <f t="shared" si="144"/>
        <v>1</v>
      </c>
      <c r="G969">
        <f t="shared" si="145"/>
        <v>0.5719052058983739</v>
      </c>
      <c r="H969">
        <f t="shared" si="146"/>
        <v>2393.662148367092</v>
      </c>
      <c r="K969">
        <v>0.94099999999999995</v>
      </c>
      <c r="L969">
        <f t="shared" si="142"/>
        <v>258.07504423758837</v>
      </c>
      <c r="M969">
        <f t="shared" si="143"/>
        <v>3993.7793785900712</v>
      </c>
      <c r="N969">
        <f t="shared" si="147"/>
        <v>1</v>
      </c>
      <c r="O969">
        <f t="shared" si="148"/>
        <v>0.49997901259280941</v>
      </c>
      <c r="P969">
        <f t="shared" si="149"/>
        <v>2823.9692115064186</v>
      </c>
    </row>
    <row r="970" spans="3:16" x14ac:dyDescent="0.25">
      <c r="C970">
        <v>0.94199999999999995</v>
      </c>
      <c r="D970">
        <f t="shared" si="140"/>
        <v>-552.07312035400901</v>
      </c>
      <c r="E970">
        <f t="shared" si="141"/>
        <v>3162.5207575261161</v>
      </c>
      <c r="F970">
        <f t="shared" si="144"/>
        <v>1</v>
      </c>
      <c r="G970">
        <f t="shared" si="145"/>
        <v>0.56420325386839598</v>
      </c>
      <c r="H970">
        <f t="shared" si="146"/>
        <v>2375.478904297237</v>
      </c>
      <c r="K970">
        <v>0.94199999999999995</v>
      </c>
      <c r="L970">
        <f t="shared" si="142"/>
        <v>273.92687964598917</v>
      </c>
      <c r="M970">
        <f t="shared" si="143"/>
        <v>3990.4776855388636</v>
      </c>
      <c r="N970">
        <f t="shared" si="147"/>
        <v>1</v>
      </c>
      <c r="O970">
        <f t="shared" si="148"/>
        <v>0.49293401042327978</v>
      </c>
      <c r="P970">
        <f t="shared" si="149"/>
        <v>2801.6848291799756</v>
      </c>
    </row>
    <row r="971" spans="3:16" x14ac:dyDescent="0.25">
      <c r="C971">
        <v>0.94299999999999995</v>
      </c>
      <c r="D971">
        <f t="shared" si="140"/>
        <v>-539.2212849456082</v>
      </c>
      <c r="E971">
        <f t="shared" si="141"/>
        <v>3159.8439182472594</v>
      </c>
      <c r="F971">
        <f t="shared" si="144"/>
        <v>1</v>
      </c>
      <c r="G971">
        <f t="shared" si="145"/>
        <v>0.55643263437136492</v>
      </c>
      <c r="H971">
        <f t="shared" si="146"/>
        <v>2357.0669998485914</v>
      </c>
      <c r="K971">
        <v>0.94299999999999995</v>
      </c>
      <c r="L971">
        <f t="shared" si="142"/>
        <v>289.7787150543918</v>
      </c>
      <c r="M971">
        <f t="shared" si="143"/>
        <v>3987.1759924876555</v>
      </c>
      <c r="N971">
        <f t="shared" si="147"/>
        <v>1</v>
      </c>
      <c r="O971">
        <f t="shared" si="148"/>
        <v>0.48583972486123583</v>
      </c>
      <c r="P971">
        <f t="shared" si="149"/>
        <v>2779.1495458831196</v>
      </c>
    </row>
    <row r="972" spans="3:16" x14ac:dyDescent="0.25">
      <c r="C972">
        <v>0.94399999999999995</v>
      </c>
      <c r="D972">
        <f t="shared" si="140"/>
        <v>-526.36944953720558</v>
      </c>
      <c r="E972">
        <f t="shared" si="141"/>
        <v>3157.1670789684022</v>
      </c>
      <c r="F972">
        <f t="shared" si="144"/>
        <v>1</v>
      </c>
      <c r="G972">
        <f t="shared" si="145"/>
        <v>0.54859334740727861</v>
      </c>
      <c r="H972">
        <f t="shared" si="146"/>
        <v>2338.4217078751763</v>
      </c>
      <c r="K972">
        <v>0.94399999999999995</v>
      </c>
      <c r="L972">
        <f t="shared" si="142"/>
        <v>305.63055046279442</v>
      </c>
      <c r="M972">
        <f t="shared" si="143"/>
        <v>3983.8742994364475</v>
      </c>
      <c r="N972">
        <f t="shared" si="147"/>
        <v>1</v>
      </c>
      <c r="O972">
        <f t="shared" si="148"/>
        <v>0.47869615590667836</v>
      </c>
      <c r="P972">
        <f t="shared" si="149"/>
        <v>2756.3578299694545</v>
      </c>
    </row>
    <row r="973" spans="3:16" x14ac:dyDescent="0.25">
      <c r="C973">
        <v>0.94499999999999995</v>
      </c>
      <c r="D973">
        <f t="shared" si="140"/>
        <v>-513.51761412880296</v>
      </c>
      <c r="E973">
        <f t="shared" si="141"/>
        <v>3154.4902396895445</v>
      </c>
      <c r="F973">
        <f t="shared" si="144"/>
        <v>1</v>
      </c>
      <c r="G973">
        <f t="shared" si="145"/>
        <v>0.54068539297613816</v>
      </c>
      <c r="H973">
        <f t="shared" si="146"/>
        <v>2319.5380784567974</v>
      </c>
      <c r="K973">
        <v>0.94499999999999995</v>
      </c>
      <c r="L973">
        <f t="shared" si="142"/>
        <v>321.48238587119704</v>
      </c>
      <c r="M973">
        <f t="shared" si="143"/>
        <v>3980.5726063852394</v>
      </c>
      <c r="N973">
        <f t="shared" si="147"/>
        <v>1</v>
      </c>
      <c r="O973">
        <f t="shared" si="148"/>
        <v>0.47150330355960746</v>
      </c>
      <c r="P973">
        <f t="shared" si="149"/>
        <v>2733.3038929631198</v>
      </c>
    </row>
    <row r="974" spans="3:16" x14ac:dyDescent="0.25">
      <c r="C974">
        <v>0.94599999999999995</v>
      </c>
      <c r="D974">
        <f t="shared" si="140"/>
        <v>-500.66577872040034</v>
      </c>
      <c r="E974">
        <f t="shared" si="141"/>
        <v>3151.8134004106873</v>
      </c>
      <c r="F974">
        <f t="shared" si="144"/>
        <v>1</v>
      </c>
      <c r="G974">
        <f t="shared" si="145"/>
        <v>0.53270877107794345</v>
      </c>
      <c r="H974">
        <f t="shared" si="146"/>
        <v>2300.4109247933079</v>
      </c>
      <c r="K974">
        <v>0.94599999999999995</v>
      </c>
      <c r="L974">
        <f t="shared" si="142"/>
        <v>337.33422127959966</v>
      </c>
      <c r="M974">
        <f t="shared" si="143"/>
        <v>3977.2709133340313</v>
      </c>
      <c r="N974">
        <f t="shared" si="147"/>
        <v>1</v>
      </c>
      <c r="O974">
        <f t="shared" si="148"/>
        <v>0.46426116782002325</v>
      </c>
      <c r="P974">
        <f t="shared" si="149"/>
        <v>2709.981673216826</v>
      </c>
    </row>
    <row r="975" spans="3:16" x14ac:dyDescent="0.25">
      <c r="C975">
        <v>0.94699999999999995</v>
      </c>
      <c r="D975">
        <f t="shared" si="140"/>
        <v>-487.81394331199772</v>
      </c>
      <c r="E975">
        <f t="shared" si="141"/>
        <v>3149.1365611318301</v>
      </c>
      <c r="F975">
        <f t="shared" si="144"/>
        <v>1</v>
      </c>
      <c r="G975">
        <f t="shared" si="145"/>
        <v>0.52466348171269472</v>
      </c>
      <c r="H975">
        <f t="shared" si="146"/>
        <v>2281.0348079183427</v>
      </c>
      <c r="K975">
        <v>0.94699999999999995</v>
      </c>
      <c r="L975">
        <f t="shared" si="142"/>
        <v>353.18605668800228</v>
      </c>
      <c r="M975">
        <f t="shared" si="143"/>
        <v>3973.9692202828232</v>
      </c>
      <c r="N975">
        <f t="shared" si="147"/>
        <v>1</v>
      </c>
      <c r="O975">
        <f t="shared" si="148"/>
        <v>0.4569697486879255</v>
      </c>
      <c r="P975">
        <f t="shared" si="149"/>
        <v>2686.3848182020683</v>
      </c>
    </row>
    <row r="976" spans="3:16" x14ac:dyDescent="0.25">
      <c r="C976">
        <v>0.94799999999999995</v>
      </c>
      <c r="D976">
        <f t="shared" si="140"/>
        <v>-474.9621079035951</v>
      </c>
      <c r="E976">
        <f t="shared" si="141"/>
        <v>3146.459721852973</v>
      </c>
      <c r="F976">
        <f t="shared" si="144"/>
        <v>1</v>
      </c>
      <c r="G976">
        <f t="shared" si="145"/>
        <v>0.51654952488039174</v>
      </c>
      <c r="H976">
        <f t="shared" si="146"/>
        <v>2261.4040201095863</v>
      </c>
      <c r="K976">
        <v>0.94799999999999995</v>
      </c>
      <c r="L976">
        <f t="shared" si="142"/>
        <v>369.0378920964049</v>
      </c>
      <c r="M976">
        <f t="shared" si="143"/>
        <v>3970.6675272316152</v>
      </c>
      <c r="N976">
        <f t="shared" si="147"/>
        <v>1</v>
      </c>
      <c r="O976">
        <f t="shared" si="148"/>
        <v>0.44962904616331434</v>
      </c>
      <c r="P976">
        <f t="shared" si="149"/>
        <v>2662.506665288995</v>
      </c>
    </row>
    <row r="977" spans="3:16" x14ac:dyDescent="0.25">
      <c r="C977">
        <v>0.94899999999999995</v>
      </c>
      <c r="D977">
        <f t="shared" si="140"/>
        <v>-462.11027249519248</v>
      </c>
      <c r="E977">
        <f t="shared" si="141"/>
        <v>3143.7828825741153</v>
      </c>
      <c r="F977">
        <f t="shared" si="144"/>
        <v>1</v>
      </c>
      <c r="G977">
        <f t="shared" si="145"/>
        <v>0.50836690058103451</v>
      </c>
      <c r="H977">
        <f t="shared" si="146"/>
        <v>2241.5125668572368</v>
      </c>
      <c r="K977">
        <v>0.94899999999999995</v>
      </c>
      <c r="L977">
        <f t="shared" si="142"/>
        <v>384.88972750480752</v>
      </c>
      <c r="M977">
        <f t="shared" si="143"/>
        <v>3967.3658341804071</v>
      </c>
      <c r="N977">
        <f t="shared" si="147"/>
        <v>1</v>
      </c>
      <c r="O977">
        <f t="shared" si="148"/>
        <v>0.44223906024618964</v>
      </c>
      <c r="P977">
        <f t="shared" si="149"/>
        <v>2638.3402208555131</v>
      </c>
    </row>
    <row r="978" spans="3:16" x14ac:dyDescent="0.25">
      <c r="C978">
        <v>0.95</v>
      </c>
      <c r="D978">
        <f t="shared" si="140"/>
        <v>-449.25843708678985</v>
      </c>
      <c r="E978">
        <f t="shared" si="141"/>
        <v>3141.1060432952581</v>
      </c>
      <c r="F978">
        <f t="shared" si="144"/>
        <v>1</v>
      </c>
      <c r="G978">
        <f t="shared" si="145"/>
        <v>0.50011560881462325</v>
      </c>
      <c r="H978">
        <f t="shared" si="146"/>
        <v>2221.3541472345983</v>
      </c>
      <c r="K978">
        <v>0.95</v>
      </c>
      <c r="L978">
        <f t="shared" si="142"/>
        <v>400.74156291321015</v>
      </c>
      <c r="M978">
        <f t="shared" si="143"/>
        <v>3964.064141129199</v>
      </c>
      <c r="N978">
        <f t="shared" si="147"/>
        <v>1</v>
      </c>
      <c r="O978">
        <f t="shared" si="148"/>
        <v>0.43479979093655152</v>
      </c>
      <c r="P978">
        <f t="shared" si="149"/>
        <v>2613.8781375446551</v>
      </c>
    </row>
    <row r="979" spans="3:16" x14ac:dyDescent="0.25">
      <c r="C979">
        <v>0.95099999999999996</v>
      </c>
      <c r="D979">
        <f t="shared" si="140"/>
        <v>-436.40660167838723</v>
      </c>
      <c r="E979">
        <f t="shared" si="141"/>
        <v>3138.4292040164009</v>
      </c>
      <c r="F979">
        <f t="shared" si="144"/>
        <v>1</v>
      </c>
      <c r="G979">
        <f t="shared" si="145"/>
        <v>0.49179564958115773</v>
      </c>
      <c r="H979">
        <f t="shared" si="146"/>
        <v>2200.9221324943746</v>
      </c>
      <c r="K979">
        <v>0.95099999999999996</v>
      </c>
      <c r="L979">
        <f t="shared" si="142"/>
        <v>416.59339832161277</v>
      </c>
      <c r="M979">
        <f t="shared" si="143"/>
        <v>3960.7624480779909</v>
      </c>
      <c r="N979">
        <f t="shared" si="147"/>
        <v>1</v>
      </c>
      <c r="O979">
        <f t="shared" si="148"/>
        <v>0.42731123823439998</v>
      </c>
      <c r="P979">
        <f t="shared" si="149"/>
        <v>2589.1126894656286</v>
      </c>
    </row>
    <row r="980" spans="3:16" x14ac:dyDescent="0.25">
      <c r="C980">
        <v>0.95199999999999996</v>
      </c>
      <c r="D980">
        <f t="shared" si="140"/>
        <v>-423.55476626998461</v>
      </c>
      <c r="E980">
        <f t="shared" si="141"/>
        <v>3135.7523647375438</v>
      </c>
      <c r="F980">
        <f t="shared" si="144"/>
        <v>1</v>
      </c>
      <c r="G980">
        <f t="shared" si="145"/>
        <v>0.48340702288063808</v>
      </c>
      <c r="H980">
        <f t="shared" si="146"/>
        <v>2180.2095426907294</v>
      </c>
      <c r="K980">
        <v>0.95199999999999996</v>
      </c>
      <c r="L980">
        <f t="shared" si="142"/>
        <v>432.44523373001539</v>
      </c>
      <c r="M980">
        <f t="shared" si="143"/>
        <v>3957.4607550267829</v>
      </c>
      <c r="N980">
        <f t="shared" si="147"/>
        <v>1</v>
      </c>
      <c r="O980">
        <f t="shared" si="148"/>
        <v>0.41977340213973491</v>
      </c>
      <c r="P980">
        <f t="shared" si="149"/>
        <v>2564.0357451066561</v>
      </c>
    </row>
    <row r="981" spans="3:16" x14ac:dyDescent="0.25">
      <c r="C981">
        <v>0.95299999999999996</v>
      </c>
      <c r="D981">
        <f t="shared" si="140"/>
        <v>-410.70293086158199</v>
      </c>
      <c r="E981">
        <f t="shared" si="141"/>
        <v>3133.0755254586861</v>
      </c>
      <c r="F981">
        <f t="shared" si="144"/>
        <v>1</v>
      </c>
      <c r="G981">
        <f t="shared" si="145"/>
        <v>0.47494972871306429</v>
      </c>
      <c r="H981">
        <f t="shared" si="146"/>
        <v>2159.2090210999531</v>
      </c>
      <c r="K981">
        <v>0.95299999999999996</v>
      </c>
      <c r="L981">
        <f t="shared" si="142"/>
        <v>448.29706913841801</v>
      </c>
      <c r="M981">
        <f t="shared" si="143"/>
        <v>3954.1590619755743</v>
      </c>
      <c r="N981">
        <f t="shared" si="147"/>
        <v>1</v>
      </c>
      <c r="O981">
        <f t="shared" si="148"/>
        <v>0.41218628265255641</v>
      </c>
      <c r="P981">
        <f t="shared" si="149"/>
        <v>2538.6387376961929</v>
      </c>
    </row>
    <row r="982" spans="3:16" x14ac:dyDescent="0.25">
      <c r="C982">
        <v>0.95399999999999996</v>
      </c>
      <c r="D982">
        <f t="shared" si="140"/>
        <v>-397.85109545317937</v>
      </c>
      <c r="E982">
        <f t="shared" si="141"/>
        <v>3130.3986861798289</v>
      </c>
      <c r="F982">
        <f t="shared" si="144"/>
        <v>1</v>
      </c>
      <c r="G982">
        <f t="shared" si="145"/>
        <v>0.46642376707843625</v>
      </c>
      <c r="H982">
        <f t="shared" si="146"/>
        <v>2137.9128061810516</v>
      </c>
      <c r="K982">
        <v>0.95399999999999996</v>
      </c>
      <c r="L982">
        <f t="shared" si="142"/>
        <v>464.14890454682063</v>
      </c>
      <c r="M982">
        <f t="shared" si="143"/>
        <v>3950.8573689243663</v>
      </c>
      <c r="N982">
        <f t="shared" si="147"/>
        <v>1</v>
      </c>
      <c r="O982">
        <f t="shared" si="148"/>
        <v>0.4045498797728645</v>
      </c>
      <c r="P982">
        <f t="shared" si="149"/>
        <v>2512.9126327124663</v>
      </c>
    </row>
    <row r="983" spans="3:16" x14ac:dyDescent="0.25">
      <c r="C983">
        <v>0.95499999999999996</v>
      </c>
      <c r="D983">
        <f t="shared" si="140"/>
        <v>-384.99926004477675</v>
      </c>
      <c r="E983">
        <f t="shared" si="141"/>
        <v>3127.7218469009717</v>
      </c>
      <c r="F983">
        <f t="shared" si="144"/>
        <v>1</v>
      </c>
      <c r="G983">
        <f t="shared" si="145"/>
        <v>0.45782913797675406</v>
      </c>
      <c r="H983">
        <f t="shared" si="146"/>
        <v>2116.3127007807998</v>
      </c>
      <c r="K983">
        <v>0.95499999999999996</v>
      </c>
      <c r="L983">
        <f t="shared" si="142"/>
        <v>480.00073995522143</v>
      </c>
      <c r="M983">
        <f t="shared" si="143"/>
        <v>3947.5556758731586</v>
      </c>
      <c r="N983">
        <f t="shared" si="147"/>
        <v>1</v>
      </c>
      <c r="O983">
        <f t="shared" si="148"/>
        <v>0.39686419350066005</v>
      </c>
      <c r="P983">
        <f t="shared" si="149"/>
        <v>2486.847892198668</v>
      </c>
    </row>
    <row r="984" spans="3:16" x14ac:dyDescent="0.25">
      <c r="C984">
        <v>0.95599999999999996</v>
      </c>
      <c r="D984">
        <f t="shared" si="140"/>
        <v>-372.14742463637594</v>
      </c>
      <c r="E984">
        <f t="shared" si="141"/>
        <v>3125.0450076221146</v>
      </c>
      <c r="F984">
        <f t="shared" si="144"/>
        <v>1</v>
      </c>
      <c r="G984">
        <f t="shared" si="145"/>
        <v>0.44916584140801896</v>
      </c>
      <c r="H984">
        <f t="shared" si="146"/>
        <v>2094.4000382449408</v>
      </c>
      <c r="K984">
        <v>0.95599999999999996</v>
      </c>
      <c r="L984">
        <f t="shared" si="142"/>
        <v>495.85257536362406</v>
      </c>
      <c r="M984">
        <f t="shared" si="143"/>
        <v>3944.2539828219506</v>
      </c>
      <c r="N984">
        <f t="shared" si="147"/>
        <v>1</v>
      </c>
      <c r="O984">
        <f t="shared" si="148"/>
        <v>0.38912922383594128</v>
      </c>
      <c r="P984">
        <f t="shared" si="149"/>
        <v>2460.4344354913551</v>
      </c>
    </row>
    <row r="985" spans="3:16" x14ac:dyDescent="0.25">
      <c r="C985">
        <v>0.95699999999999996</v>
      </c>
      <c r="D985">
        <f t="shared" si="140"/>
        <v>-359.29558922797332</v>
      </c>
      <c r="E985">
        <f t="shared" si="141"/>
        <v>3122.3681683432574</v>
      </c>
      <c r="F985">
        <f t="shared" si="144"/>
        <v>1</v>
      </c>
      <c r="G985">
        <f t="shared" si="145"/>
        <v>0.44043387737222861</v>
      </c>
      <c r="H985">
        <f t="shared" si="146"/>
        <v>2072.1656450469368</v>
      </c>
      <c r="K985">
        <v>0.95699999999999996</v>
      </c>
      <c r="L985">
        <f t="shared" si="142"/>
        <v>511.70441077202668</v>
      </c>
      <c r="M985">
        <f t="shared" si="143"/>
        <v>3940.9522897707425</v>
      </c>
      <c r="N985">
        <f t="shared" si="147"/>
        <v>1</v>
      </c>
      <c r="O985">
        <f t="shared" si="148"/>
        <v>0.38134497077870899</v>
      </c>
      <c r="P985">
        <f t="shared" si="149"/>
        <v>2433.6615959113678</v>
      </c>
    </row>
    <row r="986" spans="3:16" x14ac:dyDescent="0.25">
      <c r="C986">
        <v>0.95799999999999996</v>
      </c>
      <c r="D986">
        <f t="shared" si="140"/>
        <v>-346.4437538195707</v>
      </c>
      <c r="E986">
        <f t="shared" si="141"/>
        <v>3119.6913290644002</v>
      </c>
      <c r="F986">
        <f t="shared" si="144"/>
        <v>1</v>
      </c>
      <c r="G986">
        <f t="shared" si="145"/>
        <v>0.4316332458693839</v>
      </c>
      <c r="H986">
        <f t="shared" si="146"/>
        <v>2049.5997994866857</v>
      </c>
      <c r="K986">
        <v>0.95799999999999996</v>
      </c>
      <c r="L986">
        <f t="shared" si="142"/>
        <v>527.5562461804293</v>
      </c>
      <c r="M986">
        <f t="shared" si="143"/>
        <v>3937.6505967195344</v>
      </c>
      <c r="N986">
        <f t="shared" si="147"/>
        <v>1</v>
      </c>
      <c r="O986">
        <f t="shared" si="148"/>
        <v>0.37351143432896328</v>
      </c>
      <c r="P986">
        <f t="shared" si="149"/>
        <v>2406.5180728979453</v>
      </c>
    </row>
    <row r="987" spans="3:16" x14ac:dyDescent="0.25">
      <c r="C987">
        <v>0.95899999999999996</v>
      </c>
      <c r="D987">
        <f t="shared" si="140"/>
        <v>-333.59191841116808</v>
      </c>
      <c r="E987">
        <f t="shared" si="141"/>
        <v>3117.0144897855425</v>
      </c>
      <c r="F987">
        <f t="shared" si="144"/>
        <v>1</v>
      </c>
      <c r="G987">
        <f t="shared" si="145"/>
        <v>0.42276394689948504</v>
      </c>
      <c r="H987">
        <f t="shared" si="146"/>
        <v>2026.6921859418649</v>
      </c>
      <c r="K987">
        <v>0.95899999999999996</v>
      </c>
      <c r="L987">
        <f t="shared" si="142"/>
        <v>543.40808158883192</v>
      </c>
      <c r="M987">
        <f t="shared" si="143"/>
        <v>3934.3489036683263</v>
      </c>
      <c r="N987">
        <f t="shared" si="147"/>
        <v>1</v>
      </c>
      <c r="O987">
        <f t="shared" si="148"/>
        <v>0.36562861448670414</v>
      </c>
      <c r="P987">
        <f t="shared" si="149"/>
        <v>2378.9918789859912</v>
      </c>
    </row>
    <row r="988" spans="3:16" x14ac:dyDescent="0.25">
      <c r="C988">
        <v>0.96</v>
      </c>
      <c r="D988">
        <f t="shared" ref="D988:D1028" si="150">-$J$23+($J$15+$J$23)*C988</f>
        <v>-320.74008300276546</v>
      </c>
      <c r="E988">
        <f t="shared" ref="E988:E1028" si="151">$J$12-$J$11*D988</f>
        <v>3114.3376505066853</v>
      </c>
      <c r="F988">
        <f t="shared" si="144"/>
        <v>1</v>
      </c>
      <c r="G988">
        <f t="shared" si="145"/>
        <v>0.41382598046253205</v>
      </c>
      <c r="H988">
        <f t="shared" si="146"/>
        <v>2003.4318440721702</v>
      </c>
      <c r="K988">
        <v>0.96</v>
      </c>
      <c r="L988">
        <f t="shared" ref="L988:L1028" si="152">-$M$23+($M$15+$M$23)*K988</f>
        <v>559.25991699723454</v>
      </c>
      <c r="M988">
        <f t="shared" ref="M988:M1028" si="153">$J$12-$J$11*L988+$E$18</f>
        <v>3931.0472106171183</v>
      </c>
      <c r="N988">
        <f t="shared" si="147"/>
        <v>1</v>
      </c>
      <c r="O988">
        <f t="shared" si="148"/>
        <v>0.35769651125193147</v>
      </c>
      <c r="P988">
        <f t="shared" si="149"/>
        <v>2351.0702809306608</v>
      </c>
    </row>
    <row r="989" spans="3:16" x14ac:dyDescent="0.25">
      <c r="C989">
        <v>0.96099999999999997</v>
      </c>
      <c r="D989">
        <f t="shared" si="150"/>
        <v>-307.88824759436284</v>
      </c>
      <c r="E989">
        <f t="shared" si="151"/>
        <v>3111.6608112278282</v>
      </c>
      <c r="F989">
        <f t="shared" ref="F989:F1028" si="154">IF(D989&lt;$J$20,MAX(1-(D989-$J$20)^2/$J$22^2,0),1)</f>
        <v>1</v>
      </c>
      <c r="G989">
        <f t="shared" ref="G989:G1028" si="155">IF(D989&gt;$J$17,MAX(1-(D989-$J$17)^2/($J$15-$J$17)^2,0),1)</f>
        <v>0.40481934655852481</v>
      </c>
      <c r="H989">
        <f t="shared" ref="H989:H1028" si="156">SQRT(E989^2*F989*G989)</f>
        <v>1979.8071122786221</v>
      </c>
      <c r="K989">
        <v>0.96099999999999997</v>
      </c>
      <c r="L989">
        <f t="shared" si="152"/>
        <v>575.11175240563716</v>
      </c>
      <c r="M989">
        <f t="shared" si="153"/>
        <v>3927.7455175659102</v>
      </c>
      <c r="N989">
        <f t="shared" ref="N989:N1028" si="157">IF(L989&lt;$J$20,MAX(1-(L989-$J$20)^2/$M$22^2,0),1)</f>
        <v>1</v>
      </c>
      <c r="O989">
        <f t="shared" ref="O989:O1028" si="158">IF(L989&gt;$J$17,MAX(1-(L989-$J$17)^2/($M$15-$J$17)^2,0),1)</f>
        <v>0.34971512462464538</v>
      </c>
      <c r="P989">
        <f t="shared" ref="P989:P1028" si="159">SQRT(M989^2*N989*O989)</f>
        <v>2322.7397341696851</v>
      </c>
    </row>
    <row r="990" spans="3:16" x14ac:dyDescent="0.25">
      <c r="C990">
        <v>0.96199999999999997</v>
      </c>
      <c r="D990">
        <f t="shared" si="150"/>
        <v>-295.03641218596022</v>
      </c>
      <c r="E990">
        <f t="shared" si="151"/>
        <v>3108.983971948971</v>
      </c>
      <c r="F990">
        <f t="shared" si="154"/>
        <v>1</v>
      </c>
      <c r="G990">
        <f t="shared" si="155"/>
        <v>0.39574404518746364</v>
      </c>
      <c r="H990">
        <f t="shared" si="156"/>
        <v>1955.8055646031266</v>
      </c>
      <c r="K990">
        <v>0.96199999999999997</v>
      </c>
      <c r="L990">
        <f t="shared" si="152"/>
        <v>590.96358781403978</v>
      </c>
      <c r="M990">
        <f t="shared" si="153"/>
        <v>3924.4438245147021</v>
      </c>
      <c r="N990">
        <f t="shared" si="157"/>
        <v>1</v>
      </c>
      <c r="O990">
        <f t="shared" si="158"/>
        <v>0.34168445460484587</v>
      </c>
      <c r="P990">
        <f t="shared" si="159"/>
        <v>2293.9858096780299</v>
      </c>
    </row>
    <row r="991" spans="3:16" x14ac:dyDescent="0.25">
      <c r="C991">
        <v>0.96299999999999997</v>
      </c>
      <c r="D991">
        <f t="shared" si="150"/>
        <v>-282.1845767775576</v>
      </c>
      <c r="E991">
        <f t="shared" si="151"/>
        <v>3106.3071326701133</v>
      </c>
      <c r="F991">
        <f t="shared" si="154"/>
        <v>1</v>
      </c>
      <c r="G991">
        <f t="shared" si="155"/>
        <v>0.38660007634934801</v>
      </c>
      <c r="H991">
        <f t="shared" si="156"/>
        <v>1931.4139401131874</v>
      </c>
      <c r="K991">
        <v>0.96299999999999997</v>
      </c>
      <c r="L991">
        <f t="shared" si="152"/>
        <v>606.8154232224424</v>
      </c>
      <c r="M991">
        <f t="shared" si="153"/>
        <v>3921.142131463494</v>
      </c>
      <c r="N991">
        <f t="shared" si="157"/>
        <v>1</v>
      </c>
      <c r="O991">
        <f t="shared" si="158"/>
        <v>0.33360450119253293</v>
      </c>
      <c r="P991">
        <f t="shared" si="159"/>
        <v>2264.793112106699</v>
      </c>
    </row>
    <row r="992" spans="3:16" x14ac:dyDescent="0.25">
      <c r="C992">
        <v>0.96399999999999997</v>
      </c>
      <c r="D992">
        <f t="shared" si="150"/>
        <v>-269.33274136915497</v>
      </c>
      <c r="E992">
        <f t="shared" si="151"/>
        <v>3103.6302933912561</v>
      </c>
      <c r="F992">
        <f t="shared" si="154"/>
        <v>1</v>
      </c>
      <c r="G992">
        <f t="shared" si="155"/>
        <v>0.37738744004417846</v>
      </c>
      <c r="H992">
        <f t="shared" si="156"/>
        <v>1906.6180636478059</v>
      </c>
      <c r="K992">
        <v>0.96399999999999997</v>
      </c>
      <c r="L992">
        <f t="shared" si="152"/>
        <v>622.66725863084503</v>
      </c>
      <c r="M992">
        <f t="shared" si="153"/>
        <v>3917.8404384122859</v>
      </c>
      <c r="N992">
        <f t="shared" si="157"/>
        <v>1</v>
      </c>
      <c r="O992">
        <f t="shared" si="158"/>
        <v>0.32547526438770646</v>
      </c>
      <c r="P992">
        <f t="shared" si="159"/>
        <v>2235.1451879014685</v>
      </c>
    </row>
    <row r="993" spans="3:16" x14ac:dyDescent="0.25">
      <c r="C993">
        <v>0.96499999999999997</v>
      </c>
      <c r="D993">
        <f t="shared" si="150"/>
        <v>-256.48090596075235</v>
      </c>
      <c r="E993">
        <f t="shared" si="151"/>
        <v>3100.953454112399</v>
      </c>
      <c r="F993">
        <f t="shared" si="154"/>
        <v>1</v>
      </c>
      <c r="G993">
        <f t="shared" si="155"/>
        <v>0.36810613627195454</v>
      </c>
      <c r="H993">
        <f t="shared" si="156"/>
        <v>1881.4027565962392</v>
      </c>
      <c r="K993">
        <v>0.96499999999999997</v>
      </c>
      <c r="L993">
        <f t="shared" si="152"/>
        <v>638.51909403924765</v>
      </c>
      <c r="M993">
        <f t="shared" si="153"/>
        <v>3914.5387453610774</v>
      </c>
      <c r="N993">
        <f t="shared" si="157"/>
        <v>1</v>
      </c>
      <c r="O993">
        <f t="shared" si="158"/>
        <v>0.31729674419036658</v>
      </c>
      <c r="P993">
        <f t="shared" si="159"/>
        <v>2205.0244218601579</v>
      </c>
    </row>
    <row r="994" spans="3:16" x14ac:dyDescent="0.25">
      <c r="C994">
        <v>0.96599999999999997</v>
      </c>
      <c r="D994">
        <f t="shared" si="150"/>
        <v>-243.62907055234973</v>
      </c>
      <c r="E994">
        <f t="shared" si="151"/>
        <v>3098.2766148335418</v>
      </c>
      <c r="F994">
        <f t="shared" si="154"/>
        <v>1</v>
      </c>
      <c r="G994">
        <f t="shared" si="155"/>
        <v>0.3587561650326766</v>
      </c>
      <c r="H994">
        <f t="shared" si="156"/>
        <v>1855.7517361329026</v>
      </c>
      <c r="K994">
        <v>0.96599999999999997</v>
      </c>
      <c r="L994">
        <f t="shared" si="152"/>
        <v>654.37092944765027</v>
      </c>
      <c r="M994">
        <f t="shared" si="153"/>
        <v>3911.2370523098693</v>
      </c>
      <c r="N994">
        <f t="shared" si="157"/>
        <v>1</v>
      </c>
      <c r="O994">
        <f t="shared" si="158"/>
        <v>0.30906894060051326</v>
      </c>
      <c r="P994">
        <f t="shared" si="159"/>
        <v>2174.411920298684</v>
      </c>
    </row>
    <row r="995" spans="3:16" x14ac:dyDescent="0.25">
      <c r="C995">
        <v>0.96699999999999997</v>
      </c>
      <c r="D995">
        <f t="shared" si="150"/>
        <v>-230.77723514394711</v>
      </c>
      <c r="E995">
        <f t="shared" si="151"/>
        <v>3095.5997755546841</v>
      </c>
      <c r="F995">
        <f t="shared" si="154"/>
        <v>1</v>
      </c>
      <c r="G995">
        <f t="shared" si="155"/>
        <v>0.34933752632634441</v>
      </c>
      <c r="H995">
        <f t="shared" si="156"/>
        <v>1829.6475010280078</v>
      </c>
      <c r="K995">
        <v>0.96699999999999997</v>
      </c>
      <c r="L995">
        <f t="shared" si="152"/>
        <v>670.22276485605289</v>
      </c>
      <c r="M995">
        <f t="shared" si="153"/>
        <v>3907.9353592586613</v>
      </c>
      <c r="N995">
        <f t="shared" si="157"/>
        <v>1</v>
      </c>
      <c r="O995">
        <f t="shared" si="158"/>
        <v>0.30079185361814653</v>
      </c>
      <c r="P995">
        <f t="shared" si="159"/>
        <v>2143.2873786436444</v>
      </c>
    </row>
    <row r="996" spans="3:16" x14ac:dyDescent="0.25">
      <c r="C996">
        <v>0.96799999999999997</v>
      </c>
      <c r="D996">
        <f t="shared" si="150"/>
        <v>-217.92539973554449</v>
      </c>
      <c r="E996">
        <f t="shared" si="151"/>
        <v>3092.9229362758269</v>
      </c>
      <c r="F996">
        <f t="shared" si="154"/>
        <v>1</v>
      </c>
      <c r="G996">
        <f t="shared" si="155"/>
        <v>0.33985022015295807</v>
      </c>
      <c r="H996">
        <f t="shared" si="156"/>
        <v>1803.0712017803494</v>
      </c>
      <c r="K996">
        <v>0.96799999999999997</v>
      </c>
      <c r="L996">
        <f t="shared" si="152"/>
        <v>686.07460026445369</v>
      </c>
      <c r="M996">
        <f t="shared" si="153"/>
        <v>3904.6336662074536</v>
      </c>
      <c r="N996">
        <f t="shared" si="157"/>
        <v>1</v>
      </c>
      <c r="O996">
        <f t="shared" si="158"/>
        <v>0.29246548324326715</v>
      </c>
      <c r="P996">
        <f t="shared" si="159"/>
        <v>2111.6289308359492</v>
      </c>
    </row>
    <row r="997" spans="3:16" x14ac:dyDescent="0.25">
      <c r="C997">
        <v>0.96899999999999997</v>
      </c>
      <c r="D997">
        <f t="shared" si="150"/>
        <v>-205.07356432714369</v>
      </c>
      <c r="E997">
        <f t="shared" si="151"/>
        <v>3090.2460969969702</v>
      </c>
      <c r="F997">
        <f t="shared" si="154"/>
        <v>1</v>
      </c>
      <c r="G997">
        <f t="shared" si="155"/>
        <v>0.33029424651251893</v>
      </c>
      <c r="H997">
        <f t="shared" si="156"/>
        <v>1776.0024923572396</v>
      </c>
      <c r="K997">
        <v>0.96899999999999997</v>
      </c>
      <c r="L997">
        <f t="shared" si="152"/>
        <v>701.92643567285631</v>
      </c>
      <c r="M997">
        <f t="shared" si="153"/>
        <v>3901.3319731562456</v>
      </c>
      <c r="N997">
        <f t="shared" si="157"/>
        <v>1</v>
      </c>
      <c r="O997">
        <f t="shared" si="158"/>
        <v>0.28408982947587347</v>
      </c>
      <c r="P997">
        <f t="shared" si="159"/>
        <v>2079.4129773943278</v>
      </c>
    </row>
    <row r="998" spans="3:16" x14ac:dyDescent="0.25">
      <c r="C998">
        <v>0.97</v>
      </c>
      <c r="D998">
        <f t="shared" si="150"/>
        <v>-192.22172891874106</v>
      </c>
      <c r="E998">
        <f t="shared" si="151"/>
        <v>3087.5692577181126</v>
      </c>
      <c r="F998">
        <f t="shared" si="154"/>
        <v>1</v>
      </c>
      <c r="G998">
        <f t="shared" si="155"/>
        <v>0.32066960540502432</v>
      </c>
      <c r="H998">
        <f t="shared" si="156"/>
        <v>1748.4193602525975</v>
      </c>
      <c r="K998">
        <v>0.97</v>
      </c>
      <c r="L998">
        <f t="shared" si="152"/>
        <v>717.77827108125894</v>
      </c>
      <c r="M998">
        <f t="shared" si="153"/>
        <v>3898.0302801050375</v>
      </c>
      <c r="N998">
        <f t="shared" si="157"/>
        <v>1</v>
      </c>
      <c r="O998">
        <f t="shared" si="158"/>
        <v>0.27566489231596636</v>
      </c>
      <c r="P998">
        <f t="shared" si="159"/>
        <v>2046.6139883212395</v>
      </c>
    </row>
    <row r="999" spans="3:16" x14ac:dyDescent="0.25">
      <c r="C999">
        <v>0.97099999999999997</v>
      </c>
      <c r="D999">
        <f t="shared" si="150"/>
        <v>-179.36989351033844</v>
      </c>
      <c r="E999">
        <f t="shared" si="151"/>
        <v>3084.8924184392554</v>
      </c>
      <c r="F999">
        <f t="shared" si="154"/>
        <v>1</v>
      </c>
      <c r="G999">
        <f t="shared" si="155"/>
        <v>0.31097629683047545</v>
      </c>
      <c r="H999">
        <f t="shared" si="156"/>
        <v>1720.2979308555186</v>
      </c>
      <c r="K999">
        <v>0.97099999999999997</v>
      </c>
      <c r="L999">
        <f t="shared" si="152"/>
        <v>733.63010648966156</v>
      </c>
      <c r="M999">
        <f t="shared" si="153"/>
        <v>3894.7285870538294</v>
      </c>
      <c r="N999">
        <f t="shared" si="157"/>
        <v>1</v>
      </c>
      <c r="O999">
        <f t="shared" si="158"/>
        <v>0.26719067176354572</v>
      </c>
      <c r="P999">
        <f t="shared" si="159"/>
        <v>2013.2042761991142</v>
      </c>
    </row>
    <row r="1000" spans="3:16" x14ac:dyDescent="0.25">
      <c r="C1000">
        <v>0.97199999999999998</v>
      </c>
      <c r="D1000">
        <f t="shared" si="150"/>
        <v>-166.51805810193582</v>
      </c>
      <c r="E1000">
        <f t="shared" si="151"/>
        <v>3082.2155791603982</v>
      </c>
      <c r="F1000">
        <f t="shared" si="154"/>
        <v>1</v>
      </c>
      <c r="G1000">
        <f t="shared" si="155"/>
        <v>0.30121432078887245</v>
      </c>
      <c r="H1000">
        <f t="shared" si="156"/>
        <v>1691.6122412151503</v>
      </c>
      <c r="K1000">
        <v>0.97199999999999998</v>
      </c>
      <c r="L1000">
        <f t="shared" si="152"/>
        <v>749.48194189806418</v>
      </c>
      <c r="M1000">
        <f t="shared" si="153"/>
        <v>3891.4268940026213</v>
      </c>
      <c r="N1000">
        <f t="shared" si="157"/>
        <v>1</v>
      </c>
      <c r="O1000">
        <f t="shared" si="158"/>
        <v>0.25866716781861177</v>
      </c>
      <c r="P1000">
        <f t="shared" si="159"/>
        <v>1979.1537337725965</v>
      </c>
    </row>
    <row r="1001" spans="3:16" x14ac:dyDescent="0.25">
      <c r="C1001">
        <v>0.97299999999999998</v>
      </c>
      <c r="D1001">
        <f t="shared" si="150"/>
        <v>-153.6662226935332</v>
      </c>
      <c r="E1001">
        <f t="shared" si="151"/>
        <v>3079.538739881541</v>
      </c>
      <c r="F1001">
        <f t="shared" si="154"/>
        <v>1</v>
      </c>
      <c r="G1001">
        <f t="shared" si="155"/>
        <v>0.2913836772802153</v>
      </c>
      <c r="H1001">
        <f t="shared" si="156"/>
        <v>1662.3339771363549</v>
      </c>
      <c r="K1001">
        <v>0.97299999999999998</v>
      </c>
      <c r="L1001">
        <f t="shared" si="152"/>
        <v>765.3337773064668</v>
      </c>
      <c r="M1001">
        <f t="shared" si="153"/>
        <v>3888.1252009514133</v>
      </c>
      <c r="N1001">
        <f t="shared" si="157"/>
        <v>1</v>
      </c>
      <c r="O1001">
        <f t="shared" si="158"/>
        <v>0.25009438048116428</v>
      </c>
      <c r="P1001">
        <f t="shared" si="159"/>
        <v>1944.4295289753788</v>
      </c>
    </row>
    <row r="1002" spans="3:16" x14ac:dyDescent="0.25">
      <c r="C1002">
        <v>0.97399999999999998</v>
      </c>
      <c r="D1002">
        <f t="shared" si="150"/>
        <v>-140.81438728513058</v>
      </c>
      <c r="E1002">
        <f t="shared" si="151"/>
        <v>3076.8619006026834</v>
      </c>
      <c r="F1002">
        <f t="shared" si="154"/>
        <v>1</v>
      </c>
      <c r="G1002">
        <f t="shared" si="155"/>
        <v>0.28148436630450402</v>
      </c>
      <c r="H1002">
        <f t="shared" si="156"/>
        <v>1632.4321660659652</v>
      </c>
      <c r="K1002">
        <v>0.97399999999999998</v>
      </c>
      <c r="L1002">
        <f t="shared" si="152"/>
        <v>781.18561271486942</v>
      </c>
      <c r="M1002">
        <f t="shared" si="153"/>
        <v>3884.8235079002052</v>
      </c>
      <c r="N1002">
        <f t="shared" si="157"/>
        <v>1</v>
      </c>
      <c r="O1002">
        <f t="shared" si="158"/>
        <v>0.24147230975120326</v>
      </c>
      <c r="P1002">
        <f t="shared" si="159"/>
        <v>1908.9957486479802</v>
      </c>
    </row>
    <row r="1003" spans="3:16" x14ac:dyDescent="0.25">
      <c r="C1003">
        <v>0.97499999999999998</v>
      </c>
      <c r="D1003">
        <f t="shared" si="150"/>
        <v>-127.96255187672796</v>
      </c>
      <c r="E1003">
        <f t="shared" si="151"/>
        <v>3074.1850613238262</v>
      </c>
      <c r="F1003">
        <f t="shared" si="154"/>
        <v>1</v>
      </c>
      <c r="G1003">
        <f t="shared" si="155"/>
        <v>0.27151638786173848</v>
      </c>
      <c r="H1003">
        <f t="shared" si="156"/>
        <v>1601.8728163250137</v>
      </c>
      <c r="K1003">
        <v>0.97499999999999998</v>
      </c>
      <c r="L1003">
        <f t="shared" si="152"/>
        <v>797.03744812327204</v>
      </c>
      <c r="M1003">
        <f t="shared" si="153"/>
        <v>3881.5218148489971</v>
      </c>
      <c r="N1003">
        <f t="shared" si="157"/>
        <v>1</v>
      </c>
      <c r="O1003">
        <f t="shared" si="158"/>
        <v>0.23280095562872882</v>
      </c>
      <c r="P1003">
        <f t="shared" si="159"/>
        <v>1872.8129799813021</v>
      </c>
    </row>
    <row r="1004" spans="3:16" x14ac:dyDescent="0.25">
      <c r="C1004">
        <v>0.97599999999999998</v>
      </c>
      <c r="D1004">
        <f t="shared" si="150"/>
        <v>-115.11071646832534</v>
      </c>
      <c r="E1004">
        <f t="shared" si="151"/>
        <v>3071.508222044969</v>
      </c>
      <c r="F1004">
        <f t="shared" si="154"/>
        <v>1</v>
      </c>
      <c r="G1004">
        <f t="shared" si="155"/>
        <v>0.26147974195191881</v>
      </c>
      <c r="H1004">
        <f t="shared" si="156"/>
        <v>1570.6184907601641</v>
      </c>
      <c r="K1004">
        <v>0.97599999999999998</v>
      </c>
      <c r="L1004">
        <f t="shared" si="152"/>
        <v>812.88928353167466</v>
      </c>
      <c r="M1004">
        <f t="shared" si="153"/>
        <v>3878.220121797789</v>
      </c>
      <c r="N1004">
        <f t="shared" si="157"/>
        <v>1</v>
      </c>
      <c r="O1004">
        <f t="shared" si="158"/>
        <v>0.22408031811374107</v>
      </c>
      <c r="P1004">
        <f t="shared" si="159"/>
        <v>1835.8378158383398</v>
      </c>
    </row>
    <row r="1005" spans="3:16" x14ac:dyDescent="0.25">
      <c r="C1005">
        <v>0.97699999999999998</v>
      </c>
      <c r="D1005">
        <f t="shared" si="150"/>
        <v>-102.25888105992271</v>
      </c>
      <c r="E1005">
        <f t="shared" si="151"/>
        <v>3068.8313827661113</v>
      </c>
      <c r="F1005">
        <f t="shared" si="154"/>
        <v>1</v>
      </c>
      <c r="G1005">
        <f t="shared" si="155"/>
        <v>0.25137442857504488</v>
      </c>
      <c r="H1005">
        <f t="shared" si="156"/>
        <v>1538.6277996207029</v>
      </c>
      <c r="K1005">
        <v>0.97699999999999998</v>
      </c>
      <c r="L1005">
        <f t="shared" si="152"/>
        <v>828.74111894007729</v>
      </c>
      <c r="M1005">
        <f t="shared" si="153"/>
        <v>3874.9184287465805</v>
      </c>
      <c r="N1005">
        <f t="shared" si="157"/>
        <v>1</v>
      </c>
      <c r="O1005">
        <f t="shared" si="158"/>
        <v>0.21531039720623979</v>
      </c>
      <c r="P1005">
        <f t="shared" si="159"/>
        <v>1798.0222663125005</v>
      </c>
    </row>
    <row r="1006" spans="3:16" x14ac:dyDescent="0.25">
      <c r="C1006">
        <v>0.97799999999999998</v>
      </c>
      <c r="D1006">
        <f t="shared" si="150"/>
        <v>-89.407045651520093</v>
      </c>
      <c r="E1006">
        <f t="shared" si="151"/>
        <v>3066.1545434872542</v>
      </c>
      <c r="F1006">
        <f t="shared" si="154"/>
        <v>1</v>
      </c>
      <c r="G1006">
        <f t="shared" si="155"/>
        <v>0.24120044773111693</v>
      </c>
      <c r="H1006">
        <f t="shared" si="156"/>
        <v>1505.8547931221867</v>
      </c>
      <c r="K1006">
        <v>0.97799999999999998</v>
      </c>
      <c r="L1006">
        <f t="shared" si="152"/>
        <v>844.59295434847991</v>
      </c>
      <c r="M1006">
        <f t="shared" si="153"/>
        <v>3871.6167356953724</v>
      </c>
      <c r="N1006">
        <f t="shared" si="157"/>
        <v>1</v>
      </c>
      <c r="O1006">
        <f t="shared" si="158"/>
        <v>0.20649119290622497</v>
      </c>
      <c r="P1006">
        <f t="shared" si="159"/>
        <v>1759.3130538344808</v>
      </c>
    </row>
    <row r="1007" spans="3:16" x14ac:dyDescent="0.25">
      <c r="C1007">
        <v>0.97899999999999998</v>
      </c>
      <c r="D1007">
        <f t="shared" si="150"/>
        <v>-76.555210243117472</v>
      </c>
      <c r="E1007">
        <f t="shared" si="151"/>
        <v>3063.477704208397</v>
      </c>
      <c r="F1007">
        <f t="shared" si="154"/>
        <v>1</v>
      </c>
      <c r="G1007">
        <f t="shared" si="155"/>
        <v>0.23095779942013483</v>
      </c>
      <c r="H1007">
        <f t="shared" si="156"/>
        <v>1472.2482283120166</v>
      </c>
      <c r="K1007">
        <v>0.97899999999999998</v>
      </c>
      <c r="L1007">
        <f t="shared" si="152"/>
        <v>860.44478975688253</v>
      </c>
      <c r="M1007">
        <f t="shared" si="153"/>
        <v>3868.3150426441644</v>
      </c>
      <c r="N1007">
        <f t="shared" si="157"/>
        <v>1</v>
      </c>
      <c r="O1007">
        <f t="shared" si="158"/>
        <v>0.19762270521369685</v>
      </c>
      <c r="P1007">
        <f t="shared" si="159"/>
        <v>1719.6507623501109</v>
      </c>
    </row>
    <row r="1008" spans="3:16" x14ac:dyDescent="0.25">
      <c r="C1008">
        <v>0.98</v>
      </c>
      <c r="D1008">
        <f t="shared" si="150"/>
        <v>-63.70337483471485</v>
      </c>
      <c r="E1008">
        <f t="shared" si="151"/>
        <v>3060.8008649295398</v>
      </c>
      <c r="F1008">
        <f t="shared" si="154"/>
        <v>1</v>
      </c>
      <c r="G1008">
        <f t="shared" si="155"/>
        <v>0.22064648364209838</v>
      </c>
      <c r="H1008">
        <f t="shared" si="156"/>
        <v>1437.7506768899595</v>
      </c>
      <c r="K1008">
        <v>0.98</v>
      </c>
      <c r="L1008">
        <f t="shared" si="152"/>
        <v>876.29662516528515</v>
      </c>
      <c r="M1008">
        <f t="shared" si="153"/>
        <v>3865.0133495929563</v>
      </c>
      <c r="N1008">
        <f t="shared" si="157"/>
        <v>1</v>
      </c>
      <c r="O1008">
        <f t="shared" si="158"/>
        <v>0.18870493412865519</v>
      </c>
      <c r="P1008">
        <f t="shared" si="159"/>
        <v>1678.968801843542</v>
      </c>
    </row>
    <row r="1009" spans="3:16" x14ac:dyDescent="0.25">
      <c r="C1009">
        <v>0.98099999999999998</v>
      </c>
      <c r="D1009">
        <f t="shared" si="150"/>
        <v>-50.851539426314048</v>
      </c>
      <c r="E1009">
        <f t="shared" si="151"/>
        <v>3058.1240256506826</v>
      </c>
      <c r="F1009">
        <f t="shared" si="154"/>
        <v>1</v>
      </c>
      <c r="G1009">
        <f t="shared" si="155"/>
        <v>0.21026650039700945</v>
      </c>
      <c r="H1009">
        <f t="shared" si="156"/>
        <v>1402.2974296450561</v>
      </c>
      <c r="K1009">
        <v>0.98099999999999998</v>
      </c>
      <c r="L1009">
        <f t="shared" si="152"/>
        <v>892.14846057368595</v>
      </c>
      <c r="M1009">
        <f t="shared" si="153"/>
        <v>3861.7116565417487</v>
      </c>
      <c r="N1009">
        <f t="shared" si="157"/>
        <v>1</v>
      </c>
      <c r="O1009">
        <f t="shared" si="158"/>
        <v>0.17973787965110111</v>
      </c>
      <c r="P1009">
        <f t="shared" si="159"/>
        <v>1637.1921367130349</v>
      </c>
    </row>
    <row r="1010" spans="3:16" x14ac:dyDescent="0.25">
      <c r="C1010">
        <v>0.98199999999999998</v>
      </c>
      <c r="D1010">
        <f t="shared" si="150"/>
        <v>-37.999704017911426</v>
      </c>
      <c r="E1010">
        <f t="shared" si="151"/>
        <v>3055.4471863718254</v>
      </c>
      <c r="F1010">
        <f t="shared" si="154"/>
        <v>1</v>
      </c>
      <c r="G1010">
        <f t="shared" si="155"/>
        <v>0.19981784968486471</v>
      </c>
      <c r="H1010">
        <f t="shared" si="156"/>
        <v>1365.8151377727745</v>
      </c>
      <c r="K1010">
        <v>0.98199999999999998</v>
      </c>
      <c r="L1010">
        <f t="shared" si="152"/>
        <v>908.00029598208857</v>
      </c>
      <c r="M1010">
        <f t="shared" si="153"/>
        <v>3858.4099634905406</v>
      </c>
      <c r="N1010">
        <f t="shared" si="157"/>
        <v>1</v>
      </c>
      <c r="O1010">
        <f t="shared" si="158"/>
        <v>0.17072154178103249</v>
      </c>
      <c r="P1010">
        <f t="shared" si="159"/>
        <v>1594.2357086209634</v>
      </c>
    </row>
    <row r="1011" spans="3:16" x14ac:dyDescent="0.25">
      <c r="C1011">
        <v>0.98299999999999998</v>
      </c>
      <c r="D1011">
        <f t="shared" si="150"/>
        <v>-25.147868609508805</v>
      </c>
      <c r="E1011">
        <f t="shared" si="151"/>
        <v>3052.7703470929682</v>
      </c>
      <c r="F1011">
        <f t="shared" si="154"/>
        <v>1</v>
      </c>
      <c r="G1011">
        <f t="shared" si="155"/>
        <v>0.18930053150566584</v>
      </c>
      <c r="H1011">
        <f t="shared" si="156"/>
        <v>1328.2201094171751</v>
      </c>
      <c r="K1011">
        <v>0.98299999999999998</v>
      </c>
      <c r="L1011">
        <f t="shared" si="152"/>
        <v>923.85213139049119</v>
      </c>
      <c r="M1011">
        <f t="shared" si="153"/>
        <v>3855.1082704393325</v>
      </c>
      <c r="N1011">
        <f t="shared" si="157"/>
        <v>1</v>
      </c>
      <c r="O1011">
        <f t="shared" si="158"/>
        <v>0.16165592051845057</v>
      </c>
      <c r="P1011">
        <f t="shared" si="159"/>
        <v>1550.0024589775053</v>
      </c>
    </row>
    <row r="1012" spans="3:16" x14ac:dyDescent="0.25">
      <c r="C1012">
        <v>0.98399999999999999</v>
      </c>
      <c r="D1012">
        <f t="shared" si="150"/>
        <v>-12.296033201106184</v>
      </c>
      <c r="E1012">
        <f t="shared" si="151"/>
        <v>3050.0935078141106</v>
      </c>
      <c r="F1012">
        <f t="shared" si="154"/>
        <v>1</v>
      </c>
      <c r="G1012">
        <f t="shared" si="155"/>
        <v>0.17871454585941293</v>
      </c>
      <c r="H1012">
        <f t="shared" si="156"/>
        <v>1289.4161480219134</v>
      </c>
      <c r="K1012">
        <v>0.98399999999999999</v>
      </c>
      <c r="L1012">
        <f t="shared" si="152"/>
        <v>939.70396679889382</v>
      </c>
      <c r="M1012">
        <f t="shared" si="153"/>
        <v>3851.8065773881244</v>
      </c>
      <c r="N1012">
        <f t="shared" si="157"/>
        <v>1</v>
      </c>
      <c r="O1012">
        <f t="shared" si="158"/>
        <v>0.15254101586335511</v>
      </c>
      <c r="P1012">
        <f t="shared" si="159"/>
        <v>1504.3808193210871</v>
      </c>
    </row>
    <row r="1013" spans="3:16" x14ac:dyDescent="0.25">
      <c r="C1013">
        <v>0.98499999999999999</v>
      </c>
      <c r="D1013">
        <f t="shared" si="150"/>
        <v>0.5558022072964377</v>
      </c>
      <c r="E1013">
        <f t="shared" si="151"/>
        <v>3047.4166685352534</v>
      </c>
      <c r="F1013">
        <f t="shared" si="154"/>
        <v>1</v>
      </c>
      <c r="G1013">
        <f t="shared" si="155"/>
        <v>0.16805989274610578</v>
      </c>
      <c r="H1013">
        <f t="shared" si="156"/>
        <v>1249.2917721417791</v>
      </c>
      <c r="K1013">
        <v>0.98499999999999999</v>
      </c>
      <c r="L1013">
        <f t="shared" si="152"/>
        <v>955.55580220729644</v>
      </c>
      <c r="M1013">
        <f t="shared" si="153"/>
        <v>3848.5048843369163</v>
      </c>
      <c r="N1013">
        <f t="shared" si="157"/>
        <v>1</v>
      </c>
      <c r="O1013">
        <f t="shared" si="158"/>
        <v>0.14337682781574612</v>
      </c>
      <c r="P1013">
        <f t="shared" si="159"/>
        <v>1457.2414833354321</v>
      </c>
    </row>
    <row r="1014" spans="3:16" x14ac:dyDescent="0.25">
      <c r="C1014">
        <v>0.98599999999999999</v>
      </c>
      <c r="D1014">
        <f t="shared" si="150"/>
        <v>13.407637615699059</v>
      </c>
      <c r="E1014">
        <f t="shared" si="151"/>
        <v>3044.7398292563962</v>
      </c>
      <c r="F1014">
        <f t="shared" si="154"/>
        <v>1</v>
      </c>
      <c r="G1014">
        <f t="shared" si="155"/>
        <v>0.15733657216574437</v>
      </c>
      <c r="H1014">
        <f t="shared" si="156"/>
        <v>1207.7165854841878</v>
      </c>
      <c r="K1014">
        <v>0.98599999999999999</v>
      </c>
      <c r="L1014">
        <f t="shared" si="152"/>
        <v>971.40763761569906</v>
      </c>
      <c r="M1014">
        <f t="shared" si="153"/>
        <v>3845.2031912857083</v>
      </c>
      <c r="N1014">
        <f t="shared" si="157"/>
        <v>1</v>
      </c>
      <c r="O1014">
        <f t="shared" si="158"/>
        <v>0.13416335637562382</v>
      </c>
      <c r="P1014">
        <f t="shared" si="159"/>
        <v>1408.433191892181</v>
      </c>
    </row>
    <row r="1015" spans="3:16" x14ac:dyDescent="0.25">
      <c r="C1015">
        <v>0.98699999999999999</v>
      </c>
      <c r="D1015">
        <f t="shared" si="150"/>
        <v>26.25947302410168</v>
      </c>
      <c r="E1015">
        <f t="shared" si="151"/>
        <v>3042.062989977539</v>
      </c>
      <c r="F1015">
        <f t="shared" si="154"/>
        <v>1</v>
      </c>
      <c r="G1015">
        <f t="shared" si="155"/>
        <v>0.14654458411832882</v>
      </c>
      <c r="H1015">
        <f t="shared" si="156"/>
        <v>1164.5364562440932</v>
      </c>
      <c r="K1015">
        <v>0.98699999999999999</v>
      </c>
      <c r="L1015">
        <f t="shared" si="152"/>
        <v>987.25947302410168</v>
      </c>
      <c r="M1015">
        <f t="shared" si="153"/>
        <v>3841.9014982345002</v>
      </c>
      <c r="N1015">
        <f t="shared" si="157"/>
        <v>1</v>
      </c>
      <c r="O1015">
        <f t="shared" si="158"/>
        <v>0.1249006015429881</v>
      </c>
      <c r="P1015">
        <f t="shared" si="159"/>
        <v>1357.7771350460819</v>
      </c>
    </row>
    <row r="1016" spans="3:16" x14ac:dyDescent="0.25">
      <c r="C1016">
        <v>0.98799999999999999</v>
      </c>
      <c r="D1016">
        <f t="shared" si="150"/>
        <v>39.111308432504302</v>
      </c>
      <c r="E1016">
        <f t="shared" si="151"/>
        <v>3039.3861506986814</v>
      </c>
      <c r="F1016">
        <f t="shared" si="154"/>
        <v>1</v>
      </c>
      <c r="G1016">
        <f t="shared" si="155"/>
        <v>0.13568392860385925</v>
      </c>
      <c r="H1016">
        <f t="shared" si="156"/>
        <v>1119.5669902445293</v>
      </c>
      <c r="K1016">
        <v>0.98799999999999999</v>
      </c>
      <c r="L1016">
        <f t="shared" si="152"/>
        <v>1003.1113084325043</v>
      </c>
      <c r="M1016">
        <f t="shared" si="153"/>
        <v>3838.5998051832921</v>
      </c>
      <c r="N1016">
        <f t="shared" si="157"/>
        <v>1</v>
      </c>
      <c r="O1016">
        <f t="shared" si="158"/>
        <v>0.11558856331783884</v>
      </c>
      <c r="P1016">
        <f t="shared" si="159"/>
        <v>1305.059372097933</v>
      </c>
    </row>
    <row r="1017" spans="3:16" x14ac:dyDescent="0.25">
      <c r="C1017">
        <v>0.98899999999999999</v>
      </c>
      <c r="D1017">
        <f t="shared" si="150"/>
        <v>51.963143840906923</v>
      </c>
      <c r="E1017">
        <f t="shared" si="151"/>
        <v>3036.7093114198242</v>
      </c>
      <c r="F1017">
        <f t="shared" si="154"/>
        <v>1</v>
      </c>
      <c r="G1017">
        <f t="shared" si="155"/>
        <v>0.12475460562233531</v>
      </c>
      <c r="H1017">
        <f t="shared" si="156"/>
        <v>1072.5844957952017</v>
      </c>
      <c r="K1017">
        <v>0.98899999999999999</v>
      </c>
      <c r="L1017">
        <f t="shared" si="152"/>
        <v>1018.9631438409069</v>
      </c>
      <c r="M1017">
        <f t="shared" si="153"/>
        <v>3835.2981121320836</v>
      </c>
      <c r="N1017">
        <f t="shared" si="157"/>
        <v>1</v>
      </c>
      <c r="O1017">
        <f t="shared" si="158"/>
        <v>0.10622724170017595</v>
      </c>
      <c r="P1017">
        <f t="shared" si="159"/>
        <v>1250.0203378236315</v>
      </c>
    </row>
    <row r="1018" spans="3:16" x14ac:dyDescent="0.25">
      <c r="C1018">
        <v>0.99</v>
      </c>
      <c r="D1018">
        <f t="shared" si="150"/>
        <v>64.814979249309545</v>
      </c>
      <c r="E1018">
        <f t="shared" si="151"/>
        <v>3034.032472140967</v>
      </c>
      <c r="F1018">
        <f t="shared" si="154"/>
        <v>1</v>
      </c>
      <c r="G1018">
        <f t="shared" si="155"/>
        <v>0.11375661517375735</v>
      </c>
      <c r="H1018">
        <f t="shared" si="156"/>
        <v>1023.3131502810044</v>
      </c>
      <c r="K1018">
        <v>0.99</v>
      </c>
      <c r="L1018">
        <f t="shared" si="152"/>
        <v>1034.8149792493095</v>
      </c>
      <c r="M1018">
        <f t="shared" si="153"/>
        <v>3831.9964190808755</v>
      </c>
      <c r="N1018">
        <f t="shared" si="157"/>
        <v>1</v>
      </c>
      <c r="O1018">
        <f t="shared" si="158"/>
        <v>9.6816636689999847E-2</v>
      </c>
      <c r="P1018">
        <f t="shared" si="159"/>
        <v>1192.339936021664</v>
      </c>
    </row>
    <row r="1019" spans="3:16" x14ac:dyDescent="0.25">
      <c r="C1019">
        <v>0.99099999999999999</v>
      </c>
      <c r="D1019">
        <f t="shared" si="150"/>
        <v>77.666814657712166</v>
      </c>
      <c r="E1019">
        <f t="shared" si="151"/>
        <v>3031.3556328621094</v>
      </c>
      <c r="F1019">
        <f t="shared" si="154"/>
        <v>1</v>
      </c>
      <c r="G1019">
        <f t="shared" si="155"/>
        <v>0.10268995725812513</v>
      </c>
      <c r="H1019">
        <f t="shared" si="156"/>
        <v>971.40621224359916</v>
      </c>
      <c r="K1019">
        <v>0.99099999999999999</v>
      </c>
      <c r="L1019">
        <f t="shared" si="152"/>
        <v>1050.6668146577122</v>
      </c>
      <c r="M1019">
        <f t="shared" si="153"/>
        <v>3828.6947260296674</v>
      </c>
      <c r="N1019">
        <f t="shared" si="157"/>
        <v>1</v>
      </c>
      <c r="O1019">
        <f t="shared" si="158"/>
        <v>8.7356748287310104E-2</v>
      </c>
      <c r="P1019">
        <f t="shared" si="159"/>
        <v>1131.6157148935461</v>
      </c>
    </row>
    <row r="1020" spans="3:16" x14ac:dyDescent="0.25">
      <c r="C1020">
        <v>0.99199999999999999</v>
      </c>
      <c r="D1020">
        <f t="shared" si="150"/>
        <v>90.518650066114787</v>
      </c>
      <c r="E1020">
        <f t="shared" si="151"/>
        <v>3028.6787935832522</v>
      </c>
      <c r="F1020">
        <f t="shared" si="154"/>
        <v>1</v>
      </c>
      <c r="G1020">
        <f t="shared" si="155"/>
        <v>9.1554631875438774E-2</v>
      </c>
      <c r="H1020">
        <f t="shared" si="156"/>
        <v>916.41750662294078</v>
      </c>
      <c r="K1020">
        <v>0.99199999999999999</v>
      </c>
      <c r="L1020">
        <f t="shared" si="152"/>
        <v>1066.5186500661148</v>
      </c>
      <c r="M1020">
        <f t="shared" si="153"/>
        <v>3825.3930329784594</v>
      </c>
      <c r="N1020">
        <f t="shared" si="157"/>
        <v>1</v>
      </c>
      <c r="O1020">
        <f t="shared" si="158"/>
        <v>7.7847576492107162E-2</v>
      </c>
      <c r="P1020">
        <f t="shared" si="159"/>
        <v>1067.3297406736453</v>
      </c>
    </row>
    <row r="1021" spans="3:16" x14ac:dyDescent="0.25">
      <c r="C1021">
        <v>0.99299999999999999</v>
      </c>
      <c r="D1021">
        <f t="shared" si="150"/>
        <v>103.37048547451741</v>
      </c>
      <c r="E1021">
        <f t="shared" si="151"/>
        <v>3026.001954304395</v>
      </c>
      <c r="F1021">
        <f t="shared" si="154"/>
        <v>1</v>
      </c>
      <c r="G1021">
        <f t="shared" si="155"/>
        <v>8.0350639025698278E-2</v>
      </c>
      <c r="H1021">
        <f t="shared" si="156"/>
        <v>857.75621145798948</v>
      </c>
      <c r="K1021">
        <v>0.99299999999999999</v>
      </c>
      <c r="L1021">
        <f t="shared" si="152"/>
        <v>1082.3704854745174</v>
      </c>
      <c r="M1021">
        <f t="shared" si="153"/>
        <v>3822.0913399272513</v>
      </c>
      <c r="N1021">
        <f t="shared" si="157"/>
        <v>1</v>
      </c>
      <c r="O1021">
        <f t="shared" si="158"/>
        <v>6.8289121304390576E-2</v>
      </c>
      <c r="P1021">
        <f t="shared" si="159"/>
        <v>998.79606769880502</v>
      </c>
    </row>
    <row r="1022" spans="3:16" x14ac:dyDescent="0.25">
      <c r="C1022">
        <v>0.99399999999999999</v>
      </c>
      <c r="D1022">
        <f t="shared" si="150"/>
        <v>116.22232088291821</v>
      </c>
      <c r="E1022">
        <f t="shared" si="151"/>
        <v>3023.3251150255383</v>
      </c>
      <c r="F1022">
        <f t="shared" si="154"/>
        <v>1</v>
      </c>
      <c r="G1022">
        <f t="shared" si="155"/>
        <v>6.9077978708905197E-2</v>
      </c>
      <c r="H1022">
        <f t="shared" si="156"/>
        <v>794.6111639087369</v>
      </c>
      <c r="K1022">
        <v>0.99399999999999999</v>
      </c>
      <c r="L1022">
        <f t="shared" si="152"/>
        <v>1098.2223208829182</v>
      </c>
      <c r="M1022">
        <f t="shared" si="153"/>
        <v>3818.7896468760437</v>
      </c>
      <c r="N1022">
        <f t="shared" si="157"/>
        <v>1</v>
      </c>
      <c r="O1022">
        <f t="shared" si="158"/>
        <v>5.868138272416179E-2</v>
      </c>
      <c r="P1022">
        <f t="shared" si="159"/>
        <v>925.072787806777</v>
      </c>
    </row>
    <row r="1023" spans="3:16" x14ac:dyDescent="0.25">
      <c r="C1023">
        <v>0.995</v>
      </c>
      <c r="D1023">
        <f t="shared" si="150"/>
        <v>129.07415629132083</v>
      </c>
      <c r="E1023">
        <f t="shared" si="151"/>
        <v>3020.6482757466806</v>
      </c>
      <c r="F1023">
        <f t="shared" si="154"/>
        <v>1</v>
      </c>
      <c r="G1023">
        <f t="shared" si="155"/>
        <v>5.773665092505631E-2</v>
      </c>
      <c r="H1023">
        <f t="shared" si="156"/>
        <v>725.81502337381187</v>
      </c>
      <c r="K1023">
        <v>0.995</v>
      </c>
      <c r="L1023">
        <f t="shared" si="152"/>
        <v>1114.0741562913208</v>
      </c>
      <c r="M1023">
        <f t="shared" si="153"/>
        <v>3815.4879538248356</v>
      </c>
      <c r="N1023">
        <f t="shared" si="157"/>
        <v>1</v>
      </c>
      <c r="O1023">
        <f t="shared" si="158"/>
        <v>4.9024360751418361E-2</v>
      </c>
      <c r="P1023">
        <f t="shared" si="159"/>
        <v>844.8041847219182</v>
      </c>
    </row>
    <row r="1024" spans="3:16" x14ac:dyDescent="0.25">
      <c r="C1024">
        <v>0.996</v>
      </c>
      <c r="D1024">
        <f t="shared" si="150"/>
        <v>141.92599169972345</v>
      </c>
      <c r="E1024">
        <f t="shared" si="151"/>
        <v>3017.9714364678234</v>
      </c>
      <c r="F1024">
        <f t="shared" si="154"/>
        <v>1</v>
      </c>
      <c r="G1024">
        <f t="shared" si="155"/>
        <v>4.6326655674153394E-2</v>
      </c>
      <c r="H1024">
        <f t="shared" si="156"/>
        <v>649.57694124699299</v>
      </c>
      <c r="K1024">
        <v>0.996</v>
      </c>
      <c r="L1024">
        <f t="shared" si="152"/>
        <v>1129.9259916997235</v>
      </c>
      <c r="M1024">
        <f t="shared" si="153"/>
        <v>3812.1862607736275</v>
      </c>
      <c r="N1024">
        <f t="shared" si="157"/>
        <v>1</v>
      </c>
      <c r="O1024">
        <f t="shared" si="158"/>
        <v>3.9318055386161399E-2</v>
      </c>
      <c r="P1024">
        <f t="shared" si="159"/>
        <v>755.91006295725879</v>
      </c>
    </row>
    <row r="1025" spans="3:16" x14ac:dyDescent="0.25">
      <c r="C1025">
        <v>0.997</v>
      </c>
      <c r="D1025">
        <f t="shared" si="150"/>
        <v>154.77782710812608</v>
      </c>
      <c r="E1025">
        <f t="shared" si="151"/>
        <v>3015.2945971889662</v>
      </c>
      <c r="F1025">
        <f t="shared" si="154"/>
        <v>1</v>
      </c>
      <c r="G1025">
        <f t="shared" si="155"/>
        <v>3.4847992956196117E-2</v>
      </c>
      <c r="H1025">
        <f t="shared" si="156"/>
        <v>562.88365094646974</v>
      </c>
      <c r="K1025">
        <v>0.997</v>
      </c>
      <c r="L1025">
        <f t="shared" si="152"/>
        <v>1145.7778271081261</v>
      </c>
      <c r="M1025">
        <f t="shared" si="153"/>
        <v>3808.8845677224194</v>
      </c>
      <c r="N1025">
        <f t="shared" si="157"/>
        <v>1</v>
      </c>
      <c r="O1025">
        <f t="shared" si="158"/>
        <v>2.9562466628391237E-2</v>
      </c>
      <c r="P1025">
        <f t="shared" si="159"/>
        <v>654.88967745952164</v>
      </c>
    </row>
    <row r="1026" spans="3:16" x14ac:dyDescent="0.25">
      <c r="C1026">
        <v>0.998</v>
      </c>
      <c r="D1026">
        <f t="shared" si="150"/>
        <v>167.6296625165287</v>
      </c>
      <c r="E1026">
        <f t="shared" si="151"/>
        <v>3012.6177579101086</v>
      </c>
      <c r="F1026">
        <f t="shared" si="154"/>
        <v>1</v>
      </c>
      <c r="G1026">
        <f t="shared" si="155"/>
        <v>2.3300662771184921E-2</v>
      </c>
      <c r="H1026">
        <f t="shared" si="156"/>
        <v>459.86268311335721</v>
      </c>
      <c r="K1026">
        <v>0.998</v>
      </c>
      <c r="L1026">
        <f t="shared" si="152"/>
        <v>1161.6296625165287</v>
      </c>
      <c r="M1026">
        <f t="shared" si="153"/>
        <v>3805.5828746712114</v>
      </c>
      <c r="N1026">
        <f t="shared" si="157"/>
        <v>1</v>
      </c>
      <c r="O1026">
        <f t="shared" si="158"/>
        <v>1.9757594478107432E-2</v>
      </c>
      <c r="P1026">
        <f t="shared" si="159"/>
        <v>534.91923857620418</v>
      </c>
    </row>
    <row r="1027" spans="3:16" x14ac:dyDescent="0.25">
      <c r="C1027">
        <v>0.999</v>
      </c>
      <c r="D1027">
        <f t="shared" si="150"/>
        <v>180.48149792493132</v>
      </c>
      <c r="E1027">
        <f t="shared" si="151"/>
        <v>3009.9409186312514</v>
      </c>
      <c r="F1027">
        <f t="shared" si="154"/>
        <v>1</v>
      </c>
      <c r="G1027">
        <f t="shared" si="155"/>
        <v>1.1684665119119364E-2</v>
      </c>
      <c r="H1027">
        <f t="shared" si="156"/>
        <v>325.36145838674275</v>
      </c>
      <c r="K1027">
        <v>0.999</v>
      </c>
      <c r="L1027">
        <f t="shared" si="152"/>
        <v>1177.4814979249313</v>
      </c>
      <c r="M1027">
        <f t="shared" si="153"/>
        <v>3802.2811816200033</v>
      </c>
      <c r="N1027">
        <f t="shared" si="157"/>
        <v>1</v>
      </c>
      <c r="O1027">
        <f t="shared" si="158"/>
        <v>9.9034389353100938E-3</v>
      </c>
      <c r="P1027">
        <f t="shared" si="159"/>
        <v>378.38790346301101</v>
      </c>
    </row>
    <row r="1028" spans="3:16" x14ac:dyDescent="0.25">
      <c r="C1028">
        <v>1</v>
      </c>
      <c r="D1028">
        <f t="shared" si="150"/>
        <v>193.33333333333394</v>
      </c>
      <c r="E1028">
        <f t="shared" si="151"/>
        <v>3007.2640793523942</v>
      </c>
      <c r="F1028">
        <f t="shared" si="154"/>
        <v>1</v>
      </c>
      <c r="G1028">
        <f t="shared" si="155"/>
        <v>0</v>
      </c>
      <c r="H1028">
        <f t="shared" si="156"/>
        <v>0</v>
      </c>
      <c r="K1028">
        <v>1</v>
      </c>
      <c r="L1028">
        <f t="shared" si="152"/>
        <v>1193.3333333333339</v>
      </c>
      <c r="M1028">
        <f t="shared" si="153"/>
        <v>3798.9794885687952</v>
      </c>
      <c r="N1028">
        <f t="shared" si="157"/>
        <v>1</v>
      </c>
      <c r="O1028">
        <f t="shared" si="158"/>
        <v>0</v>
      </c>
      <c r="P1028">
        <f t="shared" si="159"/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28"/>
  <sheetViews>
    <sheetView tabSelected="1" workbookViewId="0">
      <selection activeCell="A17" sqref="A17"/>
    </sheetView>
  </sheetViews>
  <sheetFormatPr defaultRowHeight="15" x14ac:dyDescent="0.25"/>
  <cols>
    <col min="4" max="4" width="10.85546875" customWidth="1"/>
    <col min="6" max="6" width="12.7109375" bestFit="1" customWidth="1"/>
    <col min="7" max="7" width="14.42578125" customWidth="1"/>
    <col min="8" max="8" width="12.7109375" bestFit="1" customWidth="1"/>
    <col min="9" max="9" width="12.28515625" customWidth="1"/>
    <col min="10" max="10" width="17" customWidth="1"/>
    <col min="11" max="12" width="13.42578125" customWidth="1"/>
    <col min="14" max="14" width="12.7109375" bestFit="1" customWidth="1"/>
  </cols>
  <sheetData>
    <row r="1" spans="1:13" s="8" customFormat="1" ht="26.25" x14ac:dyDescent="0.4">
      <c r="A1" s="7" t="s">
        <v>31</v>
      </c>
    </row>
    <row r="2" spans="1:13" x14ac:dyDescent="0.25">
      <c r="A2" t="s">
        <v>42</v>
      </c>
    </row>
    <row r="3" spans="1:13" x14ac:dyDescent="0.25">
      <c r="A3" t="s">
        <v>32</v>
      </c>
    </row>
    <row r="10" spans="1:13" x14ac:dyDescent="0.25">
      <c r="D10" s="1" t="s">
        <v>16</v>
      </c>
      <c r="I10" s="1" t="s">
        <v>33</v>
      </c>
    </row>
    <row r="11" spans="1:13" ht="18" x14ac:dyDescent="0.35">
      <c r="C11" s="5" t="s">
        <v>17</v>
      </c>
      <c r="D11" s="2" t="s">
        <v>22</v>
      </c>
      <c r="E11" s="4">
        <v>20</v>
      </c>
      <c r="F11" t="s">
        <v>2</v>
      </c>
      <c r="I11" t="s">
        <v>5</v>
      </c>
      <c r="J11">
        <f>SQRT(3)*(E12-E11)/(2*E12-E11)</f>
        <v>0.19985201625794738</v>
      </c>
    </row>
    <row r="12" spans="1:13" ht="18" x14ac:dyDescent="0.35">
      <c r="C12" s="5" t="s">
        <v>18</v>
      </c>
      <c r="D12" s="2" t="s">
        <v>23</v>
      </c>
      <c r="E12" s="4">
        <f>1.15*E11</f>
        <v>23</v>
      </c>
      <c r="F12" t="s">
        <v>2</v>
      </c>
      <c r="I12" t="s">
        <v>6</v>
      </c>
      <c r="J12">
        <f>(1/SQRT(3) - J11/3)*E11</f>
        <v>10.214658608739535</v>
      </c>
    </row>
    <row r="13" spans="1:13" ht="18" x14ac:dyDescent="0.35">
      <c r="C13" s="5" t="s">
        <v>20</v>
      </c>
      <c r="D13" s="2" t="s">
        <v>24</v>
      </c>
      <c r="E13" s="4">
        <v>2</v>
      </c>
      <c r="F13" t="s">
        <v>2</v>
      </c>
    </row>
    <row r="14" spans="1:13" x14ac:dyDescent="0.25">
      <c r="C14" s="3"/>
      <c r="D14" s="2"/>
      <c r="I14" s="1" t="s">
        <v>34</v>
      </c>
      <c r="M14" s="1" t="s">
        <v>41</v>
      </c>
    </row>
    <row r="15" spans="1:13" x14ac:dyDescent="0.25">
      <c r="C15" s="5" t="s">
        <v>21</v>
      </c>
      <c r="D15" s="2" t="s">
        <v>1</v>
      </c>
      <c r="E15" s="4">
        <v>2</v>
      </c>
      <c r="H15" s="11" t="s">
        <v>39</v>
      </c>
      <c r="I15" t="s">
        <v>8</v>
      </c>
      <c r="J15" s="10">
        <f>E13/3</f>
        <v>0.66666666666666663</v>
      </c>
      <c r="K15" t="s">
        <v>2</v>
      </c>
      <c r="L15" s="6" t="s">
        <v>15</v>
      </c>
      <c r="M15">
        <f>J15+J16*E18</f>
        <v>8.6666666666666661</v>
      </c>
    </row>
    <row r="16" spans="1:13" x14ac:dyDescent="0.25">
      <c r="H16" s="11" t="s">
        <v>40</v>
      </c>
      <c r="I16" t="s">
        <v>38</v>
      </c>
      <c r="J16" s="10">
        <v>1</v>
      </c>
    </row>
    <row r="17" spans="3:16" x14ac:dyDescent="0.25">
      <c r="D17" s="1" t="s">
        <v>28</v>
      </c>
      <c r="H17" s="11" t="s">
        <v>37</v>
      </c>
      <c r="I17" t="s">
        <v>7</v>
      </c>
      <c r="J17" s="10">
        <f>-E11/3</f>
        <v>-6.666666666666667</v>
      </c>
      <c r="K17" t="s">
        <v>2</v>
      </c>
    </row>
    <row r="18" spans="3:16" ht="18" x14ac:dyDescent="0.35">
      <c r="D18" t="s">
        <v>25</v>
      </c>
      <c r="E18" s="4">
        <v>8</v>
      </c>
      <c r="F18" t="s">
        <v>2</v>
      </c>
    </row>
    <row r="19" spans="3:16" x14ac:dyDescent="0.25">
      <c r="F19" s="11" t="s">
        <v>29</v>
      </c>
      <c r="I19" s="1" t="s">
        <v>35</v>
      </c>
      <c r="M19" s="1"/>
    </row>
    <row r="20" spans="3:16" x14ac:dyDescent="0.25">
      <c r="D20" s="9"/>
      <c r="H20" s="11" t="s">
        <v>36</v>
      </c>
      <c r="I20" t="s">
        <v>9</v>
      </c>
      <c r="J20" s="10">
        <f>-1/2*E12</f>
        <v>-11.5</v>
      </c>
      <c r="K20" t="s">
        <v>2</v>
      </c>
    </row>
    <row r="21" spans="3:16" x14ac:dyDescent="0.25">
      <c r="I21" t="s">
        <v>10</v>
      </c>
      <c r="J21">
        <f>J12-J11*J20</f>
        <v>12.51295679570593</v>
      </c>
      <c r="L21" s="6" t="s">
        <v>15</v>
      </c>
      <c r="M21">
        <f>J21+E18</f>
        <v>20.512956795705932</v>
      </c>
    </row>
    <row r="22" spans="3:16" x14ac:dyDescent="0.25">
      <c r="I22" t="s">
        <v>11</v>
      </c>
      <c r="J22">
        <f>E15*J21</f>
        <v>25.025913591411861</v>
      </c>
      <c r="L22" s="6" t="s">
        <v>15</v>
      </c>
      <c r="M22">
        <f>M21*E15</f>
        <v>41.025913591411864</v>
      </c>
    </row>
    <row r="23" spans="3:16" x14ac:dyDescent="0.25">
      <c r="I23" t="s">
        <v>12</v>
      </c>
      <c r="J23">
        <f>J22-J20</f>
        <v>36.525913591411864</v>
      </c>
      <c r="L23" s="6" t="s">
        <v>15</v>
      </c>
      <c r="M23">
        <f>M22-J20</f>
        <v>52.525913591411864</v>
      </c>
    </row>
    <row r="24" spans="3:16" x14ac:dyDescent="0.25">
      <c r="I24" s="6"/>
    </row>
    <row r="26" spans="3:16" x14ac:dyDescent="0.25">
      <c r="C26" s="1" t="s">
        <v>26</v>
      </c>
      <c r="K26" s="1" t="s">
        <v>27</v>
      </c>
    </row>
    <row r="27" spans="3:16" x14ac:dyDescent="0.25">
      <c r="C27" t="s">
        <v>30</v>
      </c>
      <c r="D27" t="s">
        <v>13</v>
      </c>
      <c r="E27" t="s">
        <v>14</v>
      </c>
      <c r="F27" t="s">
        <v>3</v>
      </c>
      <c r="G27" t="s">
        <v>4</v>
      </c>
      <c r="H27" t="s">
        <v>19</v>
      </c>
      <c r="K27" t="s">
        <v>30</v>
      </c>
      <c r="L27" t="s">
        <v>13</v>
      </c>
      <c r="M27" t="s">
        <v>14</v>
      </c>
      <c r="N27" t="s">
        <v>3</v>
      </c>
      <c r="O27" t="s">
        <v>4</v>
      </c>
      <c r="P27" t="s">
        <v>19</v>
      </c>
    </row>
    <row r="28" spans="3:16" x14ac:dyDescent="0.25">
      <c r="C28">
        <v>0</v>
      </c>
      <c r="D28">
        <f t="shared" ref="D28:D91" si="0">-$J$23+($J$15+$J$23)*C28</f>
        <v>-36.525913591411864</v>
      </c>
      <c r="E28">
        <f t="shared" ref="E28:E91" si="1">$J$12-$J$11*D28</f>
        <v>17.514436085646761</v>
      </c>
      <c r="F28">
        <f>IF(D28&lt;$J$20,MAX(1-(D28-$J$20)^2/$J$22^2,0),1)</f>
        <v>0</v>
      </c>
      <c r="G28">
        <f>IF(D28&gt;$J$17,MAX(1-(D28-$J$17)^2/($J$15-$J$17)^2,0),1)</f>
        <v>1</v>
      </c>
      <c r="H28">
        <f>SQRT(E28^2*F28*G28)</f>
        <v>0</v>
      </c>
      <c r="K28">
        <v>0</v>
      </c>
      <c r="L28">
        <f t="shared" ref="L28:L91" si="2">-$M$23+($M$15+$M$23)*K28</f>
        <v>-52.525913591411864</v>
      </c>
      <c r="M28">
        <f t="shared" ref="M28:M91" si="3">$J$12-$J$11*L28+$E$18</f>
        <v>28.712068345773918</v>
      </c>
      <c r="N28">
        <f>IF(L28&lt;$J$20,MAX(1-(L28-$J$20)^2/$M$22^2,0),1)</f>
        <v>0</v>
      </c>
      <c r="O28">
        <f>IF(L28&gt;$J$17,MAX(1-(L28-$J$17)^2/($M$15-$J$17)^2,0),1)</f>
        <v>1</v>
      </c>
      <c r="P28">
        <f>SQRT(M28^2*N28*O28)</f>
        <v>0</v>
      </c>
    </row>
    <row r="29" spans="3:16" x14ac:dyDescent="0.25">
      <c r="C29">
        <v>1E-3</v>
      </c>
      <c r="D29">
        <f>-$J$23+($J$15+$J$23)*C29</f>
        <v>-36.488721011153785</v>
      </c>
      <c r="E29">
        <f>$J$12-$J$11*D29</f>
        <v>17.507003073492349</v>
      </c>
      <c r="F29">
        <f t="shared" ref="F29:F92" si="4">IF(D29&lt;$J$20,MAX(1-(D29-$J$20)^2/$J$22^2,0),1)</f>
        <v>2.9701167958462449E-3</v>
      </c>
      <c r="G29">
        <f t="shared" ref="G29:G92" si="5">IF(D29&gt;$J$17,MAX(1-(D29-$J$17)^2/($J$15-$J$17)^2,0),1)</f>
        <v>1</v>
      </c>
      <c r="H29">
        <f>SQRT(E29^2*F29*G29)</f>
        <v>0.95411027271932269</v>
      </c>
      <c r="K29">
        <v>1E-3</v>
      </c>
      <c r="L29">
        <f t="shared" si="2"/>
        <v>-52.464721011153785</v>
      </c>
      <c r="M29">
        <f t="shared" si="3"/>
        <v>28.699838885229315</v>
      </c>
      <c r="N29">
        <f t="shared" ref="N29:N92" si="6">IF(L29&lt;$J$20,MAX(1-(L29-$J$20)^2/$M$22^2,0),1)</f>
        <v>2.9808937194176766E-3</v>
      </c>
      <c r="O29">
        <f t="shared" ref="O29:O92" si="7">IF(L29&gt;$J$17,MAX(1-(L29-$J$17)^2/($M$15-$J$17)^2,0),1)</f>
        <v>1</v>
      </c>
      <c r="P29">
        <f t="shared" ref="P29:P92" si="8">SQRT(M29^2*N29*O29)</f>
        <v>1.5669412179643696</v>
      </c>
    </row>
    <row r="30" spans="3:16" x14ac:dyDescent="0.25">
      <c r="C30">
        <v>2E-3</v>
      </c>
      <c r="D30">
        <f t="shared" si="0"/>
        <v>-36.451528430895706</v>
      </c>
      <c r="E30">
        <f t="shared" si="1"/>
        <v>17.499570061337934</v>
      </c>
      <c r="F30">
        <f t="shared" si="4"/>
        <v>5.9358162323267516E-3</v>
      </c>
      <c r="G30">
        <f t="shared" si="5"/>
        <v>1</v>
      </c>
      <c r="H30">
        <f t="shared" ref="H29:H92" si="9">SQRT(E30^2*F30*G30)</f>
        <v>1.3482412250618081</v>
      </c>
      <c r="K30">
        <v>2E-3</v>
      </c>
      <c r="L30">
        <f t="shared" si="2"/>
        <v>-52.403528430895705</v>
      </c>
      <c r="M30">
        <f t="shared" si="3"/>
        <v>28.687609424684709</v>
      </c>
      <c r="N30">
        <f t="shared" si="6"/>
        <v>5.957337940937224E-3</v>
      </c>
      <c r="O30">
        <f t="shared" si="7"/>
        <v>1</v>
      </c>
      <c r="P30">
        <f t="shared" si="8"/>
        <v>2.2142185147605362</v>
      </c>
    </row>
    <row r="31" spans="3:16" x14ac:dyDescent="0.25">
      <c r="C31">
        <v>3.0000000000000001E-3</v>
      </c>
      <c r="D31">
        <f t="shared" si="0"/>
        <v>-36.414335850637627</v>
      </c>
      <c r="E31">
        <f t="shared" si="1"/>
        <v>17.492137049183523</v>
      </c>
      <c r="F31">
        <f t="shared" si="4"/>
        <v>8.897098309440854E-3</v>
      </c>
      <c r="G31">
        <f t="shared" si="5"/>
        <v>1</v>
      </c>
      <c r="H31">
        <f t="shared" si="9"/>
        <v>1.6499358765460082</v>
      </c>
      <c r="K31">
        <v>3.0000000000000001E-3</v>
      </c>
      <c r="L31">
        <f t="shared" si="2"/>
        <v>-52.342335850637632</v>
      </c>
      <c r="M31">
        <f t="shared" si="3"/>
        <v>28.675379964140109</v>
      </c>
      <c r="N31">
        <f t="shared" si="6"/>
        <v>8.9293326645583093E-3</v>
      </c>
      <c r="O31">
        <f t="shared" si="7"/>
        <v>1</v>
      </c>
      <c r="P31">
        <f t="shared" si="8"/>
        <v>2.7096842234477192</v>
      </c>
    </row>
    <row r="32" spans="3:16" x14ac:dyDescent="0.25">
      <c r="C32">
        <v>4.0000000000000001E-3</v>
      </c>
      <c r="D32">
        <f t="shared" si="0"/>
        <v>-36.377143270379548</v>
      </c>
      <c r="E32">
        <f t="shared" si="1"/>
        <v>17.484704037029111</v>
      </c>
      <c r="F32">
        <f t="shared" si="4"/>
        <v>1.1853963027188552E-2</v>
      </c>
      <c r="G32">
        <f t="shared" si="5"/>
        <v>1</v>
      </c>
      <c r="H32">
        <f t="shared" si="9"/>
        <v>1.9036630027983577</v>
      </c>
      <c r="K32">
        <v>4.0000000000000001E-3</v>
      </c>
      <c r="L32">
        <f t="shared" si="2"/>
        <v>-52.281143270379552</v>
      </c>
      <c r="M32">
        <f t="shared" si="3"/>
        <v>28.663150503595503</v>
      </c>
      <c r="N32">
        <f t="shared" si="6"/>
        <v>1.1896877890281377E-2</v>
      </c>
      <c r="O32">
        <f t="shared" si="7"/>
        <v>1</v>
      </c>
      <c r="P32">
        <f t="shared" si="8"/>
        <v>3.1263703700606933</v>
      </c>
    </row>
    <row r="33" spans="3:16" x14ac:dyDescent="0.25">
      <c r="C33">
        <v>5.0000000000000001E-3</v>
      </c>
      <c r="D33">
        <f t="shared" si="0"/>
        <v>-36.339950690121469</v>
      </c>
      <c r="E33">
        <f t="shared" si="1"/>
        <v>17.477271024874696</v>
      </c>
      <c r="F33">
        <f t="shared" si="4"/>
        <v>1.4806410385570068E-2</v>
      </c>
      <c r="G33">
        <f t="shared" si="5"/>
        <v>1</v>
      </c>
      <c r="H33">
        <f t="shared" si="9"/>
        <v>2.1266622019020009</v>
      </c>
      <c r="K33">
        <v>5.0000000000000001E-3</v>
      </c>
      <c r="L33">
        <f t="shared" si="2"/>
        <v>-52.219950690121472</v>
      </c>
      <c r="M33">
        <f t="shared" si="3"/>
        <v>28.6509210430509</v>
      </c>
      <c r="N33">
        <f t="shared" si="6"/>
        <v>1.4859973618106537E-2</v>
      </c>
      <c r="O33">
        <f t="shared" si="7"/>
        <v>1</v>
      </c>
      <c r="P33">
        <f t="shared" si="8"/>
        <v>3.4925900066078239</v>
      </c>
    </row>
    <row r="34" spans="3:16" x14ac:dyDescent="0.25">
      <c r="C34">
        <v>6.0000000000000001E-3</v>
      </c>
      <c r="D34">
        <f t="shared" si="0"/>
        <v>-36.30275810986339</v>
      </c>
      <c r="E34">
        <f t="shared" si="1"/>
        <v>17.469838012720285</v>
      </c>
      <c r="F34">
        <f t="shared" si="4"/>
        <v>1.7754440384585624E-2</v>
      </c>
      <c r="G34">
        <f t="shared" si="5"/>
        <v>1</v>
      </c>
      <c r="H34">
        <f t="shared" si="9"/>
        <v>2.3277823561546378</v>
      </c>
      <c r="K34">
        <v>6.0000000000000001E-3</v>
      </c>
      <c r="L34">
        <f t="shared" si="2"/>
        <v>-52.158758109863392</v>
      </c>
      <c r="M34">
        <f t="shared" si="3"/>
        <v>28.638691582506297</v>
      </c>
      <c r="N34">
        <f t="shared" si="6"/>
        <v>1.7818619848033346E-2</v>
      </c>
      <c r="O34">
        <f t="shared" si="7"/>
        <v>1</v>
      </c>
      <c r="P34">
        <f t="shared" si="8"/>
        <v>3.8228759326426243</v>
      </c>
    </row>
    <row r="35" spans="3:16" x14ac:dyDescent="0.25">
      <c r="C35">
        <v>7.0000000000000001E-3</v>
      </c>
      <c r="D35">
        <f t="shared" si="0"/>
        <v>-36.265565529605311</v>
      </c>
      <c r="E35">
        <f t="shared" si="1"/>
        <v>17.462405000565873</v>
      </c>
      <c r="F35">
        <f t="shared" si="4"/>
        <v>2.0698053024234664E-2</v>
      </c>
      <c r="G35">
        <f t="shared" si="5"/>
        <v>1</v>
      </c>
      <c r="H35">
        <f t="shared" si="9"/>
        <v>2.5122844141851854</v>
      </c>
      <c r="K35">
        <v>7.0000000000000001E-3</v>
      </c>
      <c r="L35">
        <f t="shared" si="2"/>
        <v>-52.097565529605312</v>
      </c>
      <c r="M35">
        <f t="shared" si="3"/>
        <v>28.626462121961694</v>
      </c>
      <c r="N35">
        <f t="shared" si="6"/>
        <v>2.0772816580062248E-2</v>
      </c>
      <c r="O35">
        <f t="shared" si="7"/>
        <v>1</v>
      </c>
      <c r="P35">
        <f t="shared" si="8"/>
        <v>4.1258683963935683</v>
      </c>
    </row>
    <row r="36" spans="3:16" x14ac:dyDescent="0.25">
      <c r="C36">
        <v>8.0000000000000002E-3</v>
      </c>
      <c r="D36">
        <f t="shared" si="0"/>
        <v>-36.228372949347239</v>
      </c>
      <c r="E36">
        <f t="shared" si="1"/>
        <v>17.454971988411462</v>
      </c>
      <c r="F36">
        <f t="shared" si="4"/>
        <v>2.3637248304516967E-2</v>
      </c>
      <c r="G36">
        <f t="shared" si="5"/>
        <v>1</v>
      </c>
      <c r="H36">
        <f t="shared" si="9"/>
        <v>2.6835989600022225</v>
      </c>
      <c r="K36">
        <v>8.0000000000000002E-3</v>
      </c>
      <c r="L36">
        <f t="shared" si="2"/>
        <v>-52.036372949347239</v>
      </c>
      <c r="M36">
        <f t="shared" si="3"/>
        <v>28.614232661417091</v>
      </c>
      <c r="N36">
        <f t="shared" si="6"/>
        <v>2.3722563814192466E-2</v>
      </c>
      <c r="O36">
        <f t="shared" si="7"/>
        <v>1</v>
      </c>
      <c r="P36">
        <f t="shared" si="8"/>
        <v>4.4072015880164805</v>
      </c>
    </row>
    <row r="37" spans="3:16" x14ac:dyDescent="0.25">
      <c r="C37">
        <v>8.9999999999999993E-3</v>
      </c>
      <c r="D37">
        <f t="shared" si="0"/>
        <v>-36.19118036908916</v>
      </c>
      <c r="E37">
        <f t="shared" si="1"/>
        <v>17.44753897625705</v>
      </c>
      <c r="F37">
        <f t="shared" si="4"/>
        <v>2.6572026225433643E-2</v>
      </c>
      <c r="G37">
        <f t="shared" si="5"/>
        <v>1</v>
      </c>
      <c r="H37">
        <f t="shared" si="9"/>
        <v>2.844110812279582</v>
      </c>
      <c r="K37">
        <v>8.9999999999999993E-3</v>
      </c>
      <c r="L37">
        <f t="shared" si="2"/>
        <v>-51.975180369089159</v>
      </c>
      <c r="M37">
        <f t="shared" si="3"/>
        <v>28.602003200872488</v>
      </c>
      <c r="N37">
        <f t="shared" si="6"/>
        <v>2.6667861550424887E-2</v>
      </c>
      <c r="O37">
        <f t="shared" si="7"/>
        <v>1</v>
      </c>
      <c r="P37">
        <f t="shared" si="8"/>
        <v>4.6707922054803879</v>
      </c>
    </row>
    <row r="38" spans="3:16" x14ac:dyDescent="0.25">
      <c r="C38">
        <v>0.01</v>
      </c>
      <c r="D38">
        <f t="shared" si="0"/>
        <v>-36.153987788831081</v>
      </c>
      <c r="E38">
        <f t="shared" si="1"/>
        <v>17.440105964102635</v>
      </c>
      <c r="F38">
        <f t="shared" si="4"/>
        <v>2.9502386786983914E-2</v>
      </c>
      <c r="G38">
        <f t="shared" si="5"/>
        <v>1</v>
      </c>
      <c r="H38">
        <f t="shared" si="9"/>
        <v>2.995557743030425</v>
      </c>
      <c r="K38">
        <v>0.01</v>
      </c>
      <c r="L38">
        <f t="shared" si="2"/>
        <v>-51.913987788831079</v>
      </c>
      <c r="M38">
        <f t="shared" si="3"/>
        <v>28.589773740327885</v>
      </c>
      <c r="N38">
        <f t="shared" si="6"/>
        <v>2.960870978875918E-2</v>
      </c>
      <c r="O38">
        <f t="shared" si="7"/>
        <v>1</v>
      </c>
      <c r="P38">
        <f t="shared" si="8"/>
        <v>4.919494280481234</v>
      </c>
    </row>
    <row r="39" spans="3:16" x14ac:dyDescent="0.25">
      <c r="C39">
        <v>1.0999999999999999E-2</v>
      </c>
      <c r="D39">
        <f t="shared" si="0"/>
        <v>-36.116795208573002</v>
      </c>
      <c r="E39">
        <f t="shared" si="1"/>
        <v>17.432672951948224</v>
      </c>
      <c r="F39">
        <f t="shared" si="4"/>
        <v>3.2428329989168114E-2</v>
      </c>
      <c r="G39">
        <f t="shared" si="5"/>
        <v>1</v>
      </c>
      <c r="H39">
        <f t="shared" si="9"/>
        <v>3.1392526855890859</v>
      </c>
      <c r="K39">
        <v>1.0999999999999999E-2</v>
      </c>
      <c r="L39">
        <f t="shared" si="2"/>
        <v>-51.852795208572999</v>
      </c>
      <c r="M39">
        <f t="shared" si="3"/>
        <v>28.577544279783282</v>
      </c>
      <c r="N39">
        <f t="shared" si="6"/>
        <v>3.2545108529195343E-2</v>
      </c>
      <c r="O39">
        <f t="shared" si="7"/>
        <v>1</v>
      </c>
      <c r="P39">
        <f t="shared" si="8"/>
        <v>5.1554641167801423</v>
      </c>
    </row>
    <row r="40" spans="3:16" x14ac:dyDescent="0.25">
      <c r="C40">
        <v>1.2E-2</v>
      </c>
      <c r="D40">
        <f t="shared" si="0"/>
        <v>-36.079602628314923</v>
      </c>
      <c r="E40">
        <f t="shared" si="1"/>
        <v>17.425239939793812</v>
      </c>
      <c r="F40">
        <f t="shared" si="4"/>
        <v>3.5349855831986021E-2</v>
      </c>
      <c r="G40">
        <f t="shared" si="5"/>
        <v>1</v>
      </c>
      <c r="H40">
        <f t="shared" si="9"/>
        <v>3.2762164784984158</v>
      </c>
      <c r="K40">
        <v>1.2E-2</v>
      </c>
      <c r="L40">
        <f t="shared" si="2"/>
        <v>-51.791602628314919</v>
      </c>
      <c r="M40">
        <f t="shared" si="3"/>
        <v>28.565314819238679</v>
      </c>
      <c r="N40">
        <f t="shared" si="6"/>
        <v>3.5477057771733267E-2</v>
      </c>
      <c r="O40">
        <f t="shared" si="7"/>
        <v>1</v>
      </c>
      <c r="P40">
        <f t="shared" si="8"/>
        <v>5.3803782994516158</v>
      </c>
    </row>
    <row r="41" spans="3:16" x14ac:dyDescent="0.25">
      <c r="C41">
        <v>1.2999999999999999E-2</v>
      </c>
      <c r="D41">
        <f t="shared" si="0"/>
        <v>-36.042410048056844</v>
      </c>
      <c r="E41">
        <f t="shared" si="1"/>
        <v>17.417806927639397</v>
      </c>
      <c r="F41">
        <f t="shared" si="4"/>
        <v>3.8266964315437746E-2</v>
      </c>
      <c r="G41">
        <f t="shared" si="5"/>
        <v>1</v>
      </c>
      <c r="H41">
        <f t="shared" si="9"/>
        <v>3.4072615931173287</v>
      </c>
      <c r="K41">
        <v>1.2999999999999999E-2</v>
      </c>
      <c r="L41">
        <f t="shared" si="2"/>
        <v>-51.730410048056847</v>
      </c>
      <c r="M41">
        <f t="shared" si="3"/>
        <v>28.553085358694076</v>
      </c>
      <c r="N41">
        <f t="shared" si="6"/>
        <v>3.8404557516372728E-2</v>
      </c>
      <c r="O41">
        <f t="shared" si="7"/>
        <v>1</v>
      </c>
      <c r="P41">
        <f t="shared" si="8"/>
        <v>5.5955712034055827</v>
      </c>
    </row>
    <row r="42" spans="3:16" x14ac:dyDescent="0.25">
      <c r="C42">
        <v>1.4E-2</v>
      </c>
      <c r="D42">
        <f t="shared" si="0"/>
        <v>-36.005217467798765</v>
      </c>
      <c r="E42">
        <f t="shared" si="1"/>
        <v>17.410373915484985</v>
      </c>
      <c r="F42">
        <f t="shared" si="4"/>
        <v>4.1179655439523177E-2</v>
      </c>
      <c r="G42">
        <f t="shared" si="5"/>
        <v>1</v>
      </c>
      <c r="H42">
        <f t="shared" si="9"/>
        <v>3.5330473069260284</v>
      </c>
      <c r="K42">
        <v>1.4E-2</v>
      </c>
      <c r="L42">
        <f t="shared" si="2"/>
        <v>-51.669217467798767</v>
      </c>
      <c r="M42">
        <f t="shared" si="3"/>
        <v>28.540855898149474</v>
      </c>
      <c r="N42">
        <f t="shared" si="6"/>
        <v>4.1327607763114504E-2</v>
      </c>
      <c r="O42">
        <f t="shared" si="7"/>
        <v>1</v>
      </c>
      <c r="P42">
        <f t="shared" si="8"/>
        <v>5.8021256063813649</v>
      </c>
    </row>
    <row r="43" spans="3:16" x14ac:dyDescent="0.25">
      <c r="C43">
        <v>1.4999999999999999E-2</v>
      </c>
      <c r="D43">
        <f t="shared" si="0"/>
        <v>-35.968024887540686</v>
      </c>
      <c r="E43">
        <f t="shared" si="1"/>
        <v>17.402940903330574</v>
      </c>
      <c r="F43">
        <f t="shared" si="4"/>
        <v>4.4087929204242426E-2</v>
      </c>
      <c r="G43">
        <f t="shared" si="5"/>
        <v>1</v>
      </c>
      <c r="H43">
        <f t="shared" si="9"/>
        <v>3.6541173951237158</v>
      </c>
      <c r="K43">
        <v>1.4999999999999999E-2</v>
      </c>
      <c r="L43">
        <f t="shared" si="2"/>
        <v>-51.608024887540687</v>
      </c>
      <c r="M43">
        <f t="shared" si="3"/>
        <v>28.528626437604871</v>
      </c>
      <c r="N43">
        <f t="shared" si="6"/>
        <v>4.4246208511958041E-2</v>
      </c>
      <c r="O43">
        <f t="shared" si="7"/>
        <v>1</v>
      </c>
      <c r="P43">
        <f t="shared" si="8"/>
        <v>6.000934591216569</v>
      </c>
    </row>
    <row r="44" spans="3:16" x14ac:dyDescent="0.25">
      <c r="C44">
        <v>1.6E-2</v>
      </c>
      <c r="D44">
        <f t="shared" si="0"/>
        <v>-35.930832307282607</v>
      </c>
      <c r="E44">
        <f t="shared" si="1"/>
        <v>17.395507891176159</v>
      </c>
      <c r="F44">
        <f t="shared" si="4"/>
        <v>4.6991785609595271E-2</v>
      </c>
      <c r="G44">
        <f t="shared" si="5"/>
        <v>1</v>
      </c>
      <c r="H44">
        <f t="shared" si="9"/>
        <v>3.7709266699759292</v>
      </c>
      <c r="K44">
        <v>1.6E-2</v>
      </c>
      <c r="L44">
        <f t="shared" si="2"/>
        <v>-51.546832307282607</v>
      </c>
      <c r="M44">
        <f t="shared" si="3"/>
        <v>28.516396977060268</v>
      </c>
      <c r="N44">
        <f t="shared" si="6"/>
        <v>4.7160359762903448E-2</v>
      </c>
      <c r="O44">
        <f t="shared" si="7"/>
        <v>1</v>
      </c>
      <c r="P44">
        <f t="shared" si="8"/>
        <v>6.1927451324281604</v>
      </c>
    </row>
    <row r="45" spans="3:16" x14ac:dyDescent="0.25">
      <c r="C45">
        <v>1.7000000000000001E-2</v>
      </c>
      <c r="D45">
        <f t="shared" si="0"/>
        <v>-35.893639727024528</v>
      </c>
      <c r="E45">
        <f t="shared" si="1"/>
        <v>17.388074879021747</v>
      </c>
      <c r="F45">
        <f t="shared" si="4"/>
        <v>4.9891224655582045E-2</v>
      </c>
      <c r="G45">
        <f t="shared" si="5"/>
        <v>1</v>
      </c>
      <c r="H45">
        <f t="shared" si="9"/>
        <v>3.8838601548352285</v>
      </c>
      <c r="K45">
        <v>1.7000000000000001E-2</v>
      </c>
      <c r="L45">
        <f t="shared" si="2"/>
        <v>-51.485639727024527</v>
      </c>
      <c r="M45">
        <f t="shared" si="3"/>
        <v>28.504167516515665</v>
      </c>
      <c r="N45">
        <f t="shared" si="6"/>
        <v>5.0070061515950504E-2</v>
      </c>
      <c r="O45">
        <f t="shared" si="7"/>
        <v>1</v>
      </c>
      <c r="P45">
        <f t="shared" si="8"/>
        <v>6.378189586476001</v>
      </c>
    </row>
    <row r="46" spans="3:16" x14ac:dyDescent="0.25">
      <c r="C46">
        <v>1.7999999999999999E-2</v>
      </c>
      <c r="D46">
        <f t="shared" si="0"/>
        <v>-35.856447146766449</v>
      </c>
      <c r="E46">
        <f t="shared" si="1"/>
        <v>17.380641866867336</v>
      </c>
      <c r="F46">
        <f t="shared" si="4"/>
        <v>5.2786246342202414E-2</v>
      </c>
      <c r="G46">
        <f t="shared" si="5"/>
        <v>1</v>
      </c>
      <c r="H46">
        <f t="shared" si="9"/>
        <v>3.9932472476330774</v>
      </c>
      <c r="K46">
        <v>1.7999999999999999E-2</v>
      </c>
      <c r="L46">
        <f t="shared" si="2"/>
        <v>-51.424447146766454</v>
      </c>
      <c r="M46">
        <f t="shared" si="3"/>
        <v>28.491938055971062</v>
      </c>
      <c r="N46">
        <f t="shared" si="6"/>
        <v>5.2975313771099208E-2</v>
      </c>
      <c r="O46">
        <f t="shared" si="7"/>
        <v>1</v>
      </c>
      <c r="P46">
        <f t="shared" si="8"/>
        <v>6.5578089530630637</v>
      </c>
    </row>
    <row r="47" spans="3:16" x14ac:dyDescent="0.25">
      <c r="C47">
        <v>1.9E-2</v>
      </c>
      <c r="D47">
        <f t="shared" si="0"/>
        <v>-35.81925456650837</v>
      </c>
      <c r="E47">
        <f t="shared" si="1"/>
        <v>17.373208854712921</v>
      </c>
      <c r="F47">
        <f t="shared" si="4"/>
        <v>5.5676850669456601E-2</v>
      </c>
      <c r="G47">
        <f t="shared" si="5"/>
        <v>1</v>
      </c>
      <c r="H47">
        <f t="shared" si="9"/>
        <v>4.099372387339919</v>
      </c>
      <c r="K47">
        <v>1.9E-2</v>
      </c>
      <c r="L47">
        <f t="shared" si="2"/>
        <v>-51.363254566508374</v>
      </c>
      <c r="M47">
        <f t="shared" si="3"/>
        <v>28.479708595426459</v>
      </c>
      <c r="N47">
        <f t="shared" si="6"/>
        <v>5.5876116528350228E-2</v>
      </c>
      <c r="O47">
        <f t="shared" si="7"/>
        <v>1</v>
      </c>
      <c r="P47">
        <f t="shared" si="8"/>
        <v>6.7320703931344221</v>
      </c>
    </row>
    <row r="48" spans="3:16" x14ac:dyDescent="0.25">
      <c r="C48">
        <v>0.02</v>
      </c>
      <c r="D48">
        <f t="shared" si="0"/>
        <v>-35.782061986250291</v>
      </c>
      <c r="E48">
        <f t="shared" si="1"/>
        <v>17.365775842558509</v>
      </c>
      <c r="F48">
        <f t="shared" si="4"/>
        <v>5.8563037637344606E-2</v>
      </c>
      <c r="G48">
        <f t="shared" si="5"/>
        <v>1</v>
      </c>
      <c r="H48">
        <f t="shared" si="9"/>
        <v>4.202483224471866</v>
      </c>
      <c r="K48">
        <v>0.02</v>
      </c>
      <c r="L48">
        <f t="shared" si="2"/>
        <v>-51.302061986250294</v>
      </c>
      <c r="M48">
        <f t="shared" si="3"/>
        <v>28.467479134881852</v>
      </c>
      <c r="N48">
        <f t="shared" si="6"/>
        <v>5.8772469787702897E-2</v>
      </c>
      <c r="O48">
        <f t="shared" si="7"/>
        <v>1</v>
      </c>
      <c r="P48">
        <f t="shared" si="8"/>
        <v>6.9013806476782547</v>
      </c>
    </row>
    <row r="49" spans="3:16" x14ac:dyDescent="0.25">
      <c r="C49">
        <v>2.1000000000000001E-2</v>
      </c>
      <c r="D49">
        <f t="shared" si="0"/>
        <v>-35.744869405992212</v>
      </c>
      <c r="E49">
        <f t="shared" si="1"/>
        <v>17.358342830404098</v>
      </c>
      <c r="F49">
        <f t="shared" si="4"/>
        <v>6.1444807245866317E-2</v>
      </c>
      <c r="G49">
        <f t="shared" si="5"/>
        <v>1</v>
      </c>
      <c r="H49">
        <f t="shared" si="9"/>
        <v>4.3027969746469621</v>
      </c>
      <c r="K49">
        <v>2.1000000000000001E-2</v>
      </c>
      <c r="L49">
        <f t="shared" si="2"/>
        <v>-51.240869405992214</v>
      </c>
      <c r="M49">
        <f t="shared" si="3"/>
        <v>28.455249674337249</v>
      </c>
      <c r="N49">
        <f t="shared" si="6"/>
        <v>6.1664373549157436E-2</v>
      </c>
      <c r="O49">
        <f t="shared" si="7"/>
        <v>1</v>
      </c>
      <c r="P49">
        <f t="shared" si="8"/>
        <v>7.0660964724782804</v>
      </c>
    </row>
    <row r="50" spans="3:16" x14ac:dyDescent="0.25">
      <c r="C50">
        <v>2.1999999999999999E-2</v>
      </c>
      <c r="D50">
        <f t="shared" si="0"/>
        <v>-35.70767682573414</v>
      </c>
      <c r="E50">
        <f t="shared" si="1"/>
        <v>17.350909818249686</v>
      </c>
      <c r="F50">
        <f t="shared" si="4"/>
        <v>6.4322159495021403E-2</v>
      </c>
      <c r="G50">
        <f t="shared" si="5"/>
        <v>1</v>
      </c>
      <c r="H50">
        <f t="shared" si="9"/>
        <v>4.4005054260847682</v>
      </c>
      <c r="K50">
        <v>2.1999999999999999E-2</v>
      </c>
      <c r="L50">
        <f t="shared" si="2"/>
        <v>-51.179676825734134</v>
      </c>
      <c r="M50">
        <f t="shared" si="3"/>
        <v>28.443020213792646</v>
      </c>
      <c r="N50">
        <f t="shared" si="6"/>
        <v>6.4551827812713847E-2</v>
      </c>
      <c r="O50">
        <f t="shared" si="7"/>
        <v>1</v>
      </c>
      <c r="P50">
        <f t="shared" si="8"/>
        <v>7.226532862182304</v>
      </c>
    </row>
    <row r="51" spans="3:16" x14ac:dyDescent="0.25">
      <c r="C51">
        <v>2.3E-2</v>
      </c>
      <c r="D51">
        <f t="shared" si="0"/>
        <v>-35.670484245476061</v>
      </c>
      <c r="E51">
        <f t="shared" si="1"/>
        <v>17.343476806095275</v>
      </c>
      <c r="F51">
        <f t="shared" si="4"/>
        <v>6.7195094384810639E-2</v>
      </c>
      <c r="G51">
        <f t="shared" si="5"/>
        <v>1</v>
      </c>
      <c r="H51">
        <f t="shared" si="9"/>
        <v>4.4957789341421304</v>
      </c>
      <c r="K51">
        <v>2.3E-2</v>
      </c>
      <c r="L51">
        <f t="shared" si="2"/>
        <v>-51.118484245476061</v>
      </c>
      <c r="M51">
        <f t="shared" si="3"/>
        <v>28.430790753248044</v>
      </c>
      <c r="N51">
        <f t="shared" si="6"/>
        <v>6.7434832578371906E-2</v>
      </c>
      <c r="O51">
        <f t="shared" si="7"/>
        <v>1</v>
      </c>
      <c r="P51">
        <f t="shared" si="8"/>
        <v>7.3829696107374003</v>
      </c>
    </row>
    <row r="52" spans="3:16" x14ac:dyDescent="0.25">
      <c r="C52">
        <v>2.4E-2</v>
      </c>
      <c r="D52">
        <f t="shared" si="0"/>
        <v>-35.633291665217982</v>
      </c>
      <c r="E52">
        <f t="shared" si="1"/>
        <v>17.33604379394086</v>
      </c>
      <c r="F52">
        <f t="shared" si="4"/>
        <v>7.0063611915233581E-2</v>
      </c>
      <c r="G52">
        <f t="shared" si="5"/>
        <v>1</v>
      </c>
      <c r="H52">
        <f t="shared" si="9"/>
        <v>4.588769642717244</v>
      </c>
      <c r="K52">
        <v>2.4E-2</v>
      </c>
      <c r="L52">
        <f t="shared" si="2"/>
        <v>-51.057291665217981</v>
      </c>
      <c r="M52">
        <f t="shared" si="3"/>
        <v>28.418561292703441</v>
      </c>
      <c r="N52">
        <f t="shared" si="6"/>
        <v>7.0313387846131947E-2</v>
      </c>
      <c r="O52">
        <f t="shared" si="7"/>
        <v>1</v>
      </c>
      <c r="P52">
        <f t="shared" si="8"/>
        <v>7.5356566020772338</v>
      </c>
    </row>
    <row r="53" spans="3:16" x14ac:dyDescent="0.25">
      <c r="C53">
        <v>2.5000000000000001E-2</v>
      </c>
      <c r="D53">
        <f t="shared" si="0"/>
        <v>-35.596099084959903</v>
      </c>
      <c r="E53">
        <f t="shared" si="1"/>
        <v>17.328610781786448</v>
      </c>
      <c r="F53">
        <f t="shared" si="4"/>
        <v>7.2927712086290342E-2</v>
      </c>
      <c r="G53">
        <f t="shared" si="5"/>
        <v>1</v>
      </c>
      <c r="H53">
        <f t="shared" si="9"/>
        <v>4.6796141079882716</v>
      </c>
      <c r="K53">
        <v>2.5000000000000001E-2</v>
      </c>
      <c r="L53">
        <f t="shared" si="2"/>
        <v>-50.996099084959901</v>
      </c>
      <c r="M53">
        <f t="shared" si="3"/>
        <v>28.406331832158838</v>
      </c>
      <c r="N53">
        <f t="shared" si="6"/>
        <v>7.318749361599397E-2</v>
      </c>
      <c r="O53">
        <f t="shared" si="7"/>
        <v>1</v>
      </c>
      <c r="P53">
        <f t="shared" si="8"/>
        <v>7.6848181192358869</v>
      </c>
    </row>
    <row r="54" spans="3:16" x14ac:dyDescent="0.25">
      <c r="C54">
        <v>2.5999999999999999E-2</v>
      </c>
      <c r="D54">
        <f t="shared" si="0"/>
        <v>-35.558906504701824</v>
      </c>
      <c r="E54">
        <f t="shared" si="1"/>
        <v>17.321177769632037</v>
      </c>
      <c r="F54">
        <f t="shared" si="4"/>
        <v>7.578739489798092E-2</v>
      </c>
      <c r="G54">
        <f t="shared" si="5"/>
        <v>1</v>
      </c>
      <c r="H54">
        <f t="shared" si="9"/>
        <v>4.7684354547341599</v>
      </c>
      <c r="K54">
        <v>2.5999999999999999E-2</v>
      </c>
      <c r="L54">
        <f t="shared" si="2"/>
        <v>-50.934906504701821</v>
      </c>
      <c r="M54">
        <f t="shared" si="3"/>
        <v>28.394102371614231</v>
      </c>
      <c r="N54">
        <f t="shared" si="6"/>
        <v>7.6057149887957642E-2</v>
      </c>
      <c r="O54">
        <f t="shared" si="7"/>
        <v>1</v>
      </c>
      <c r="P54">
        <f t="shared" si="8"/>
        <v>7.8306563857996512</v>
      </c>
    </row>
    <row r="55" spans="3:16" x14ac:dyDescent="0.25">
      <c r="C55">
        <v>2.7E-2</v>
      </c>
      <c r="D55">
        <f t="shared" si="0"/>
        <v>-35.521713924443745</v>
      </c>
      <c r="E55">
        <f t="shared" si="1"/>
        <v>17.313744757477622</v>
      </c>
      <c r="F55">
        <f t="shared" si="4"/>
        <v>7.8642660350305205E-2</v>
      </c>
      <c r="G55">
        <f t="shared" si="5"/>
        <v>1</v>
      </c>
      <c r="H55">
        <f t="shared" si="9"/>
        <v>4.8553451632046096</v>
      </c>
      <c r="K55">
        <v>2.7E-2</v>
      </c>
      <c r="L55">
        <f t="shared" si="2"/>
        <v>-50.873713924443742</v>
      </c>
      <c r="M55">
        <f t="shared" si="3"/>
        <v>28.381872911069628</v>
      </c>
      <c r="N55">
        <f t="shared" si="6"/>
        <v>7.8922356662023407E-2</v>
      </c>
      <c r="O55">
        <f t="shared" si="7"/>
        <v>1</v>
      </c>
      <c r="P55">
        <f t="shared" si="8"/>
        <v>7.9733545005917135</v>
      </c>
    </row>
    <row r="56" spans="3:16" x14ac:dyDescent="0.25">
      <c r="C56">
        <v>2.8000000000000001E-2</v>
      </c>
      <c r="D56">
        <f t="shared" si="0"/>
        <v>-35.484521344185666</v>
      </c>
      <c r="E56">
        <f t="shared" si="1"/>
        <v>17.30631174532321</v>
      </c>
      <c r="F56">
        <f t="shared" si="4"/>
        <v>8.1493508443263307E-2</v>
      </c>
      <c r="G56">
        <f t="shared" si="5"/>
        <v>1</v>
      </c>
      <c r="H56">
        <f t="shared" si="9"/>
        <v>4.9404445611202306</v>
      </c>
      <c r="K56">
        <v>2.8000000000000001E-2</v>
      </c>
      <c r="L56">
        <f t="shared" si="2"/>
        <v>-50.812521344185669</v>
      </c>
      <c r="M56">
        <f t="shared" si="3"/>
        <v>28.369643450525025</v>
      </c>
      <c r="N56">
        <f t="shared" si="6"/>
        <v>8.1783113938190488E-2</v>
      </c>
      <c r="O56">
        <f t="shared" si="7"/>
        <v>1</v>
      </c>
      <c r="P56">
        <f t="shared" si="8"/>
        <v>8.11307888807716</v>
      </c>
    </row>
    <row r="57" spans="3:16" x14ac:dyDescent="0.25">
      <c r="C57">
        <v>2.9000000000000001E-2</v>
      </c>
      <c r="D57">
        <f t="shared" si="0"/>
        <v>-35.447328763927587</v>
      </c>
      <c r="E57">
        <f t="shared" si="1"/>
        <v>17.298878733168799</v>
      </c>
      <c r="F57">
        <f t="shared" si="4"/>
        <v>8.4339939176855117E-2</v>
      </c>
      <c r="G57">
        <f t="shared" si="5"/>
        <v>1</v>
      </c>
      <c r="H57">
        <f t="shared" si="9"/>
        <v>5.0238260782131912</v>
      </c>
      <c r="K57">
        <v>2.9000000000000001E-2</v>
      </c>
      <c r="L57">
        <f t="shared" si="2"/>
        <v>-50.751328763927589</v>
      </c>
      <c r="M57">
        <f t="shared" si="3"/>
        <v>28.357413989980422</v>
      </c>
      <c r="N57">
        <f t="shared" si="6"/>
        <v>8.4639421716459884E-2</v>
      </c>
      <c r="O57">
        <f t="shared" si="7"/>
        <v>1</v>
      </c>
      <c r="P57">
        <f t="shared" si="8"/>
        <v>8.2499813587762549</v>
      </c>
    </row>
    <row r="58" spans="3:16" x14ac:dyDescent="0.25">
      <c r="C58">
        <v>0.03</v>
      </c>
      <c r="D58">
        <f t="shared" si="0"/>
        <v>-35.410136183669508</v>
      </c>
      <c r="E58">
        <f t="shared" si="1"/>
        <v>17.291445721014384</v>
      </c>
      <c r="F58">
        <f t="shared" si="4"/>
        <v>8.7181952551080522E-2</v>
      </c>
      <c r="G58">
        <f t="shared" si="5"/>
        <v>1</v>
      </c>
      <c r="H58">
        <f t="shared" si="9"/>
        <v>5.1055743079547904</v>
      </c>
      <c r="K58">
        <v>0.03</v>
      </c>
      <c r="L58">
        <f t="shared" si="2"/>
        <v>-50.690136183669509</v>
      </c>
      <c r="M58">
        <f t="shared" si="3"/>
        <v>28.345184529435819</v>
      </c>
      <c r="N58">
        <f t="shared" si="6"/>
        <v>8.749127999683104E-2</v>
      </c>
      <c r="O58">
        <f t="shared" si="7"/>
        <v>1</v>
      </c>
      <c r="P58">
        <f t="shared" si="8"/>
        <v>8.3842008530101193</v>
      </c>
    </row>
    <row r="59" spans="3:16" x14ac:dyDescent="0.25">
      <c r="C59">
        <v>3.1E-2</v>
      </c>
      <c r="D59">
        <f t="shared" si="0"/>
        <v>-35.372943603411429</v>
      </c>
      <c r="E59">
        <f t="shared" si="1"/>
        <v>17.284012708859972</v>
      </c>
      <c r="F59">
        <f t="shared" si="4"/>
        <v>9.0019548565939966E-2</v>
      </c>
      <c r="G59">
        <f t="shared" si="5"/>
        <v>1</v>
      </c>
      <c r="H59">
        <f t="shared" si="9"/>
        <v>5.1857669115194094</v>
      </c>
      <c r="K59">
        <v>3.1E-2</v>
      </c>
      <c r="L59">
        <f t="shared" si="2"/>
        <v>-50.628943603411429</v>
      </c>
      <c r="M59">
        <f t="shared" si="3"/>
        <v>28.332955068891216</v>
      </c>
      <c r="N59">
        <f t="shared" si="6"/>
        <v>9.0338688779304066E-2</v>
      </c>
      <c r="O59">
        <f t="shared" si="7"/>
        <v>1</v>
      </c>
      <c r="P59">
        <f t="shared" si="8"/>
        <v>8.5158649255428127</v>
      </c>
    </row>
    <row r="60" spans="3:16" x14ac:dyDescent="0.25">
      <c r="C60">
        <v>3.2000000000000001E-2</v>
      </c>
      <c r="D60">
        <f t="shared" si="0"/>
        <v>-35.33575102315335</v>
      </c>
      <c r="E60">
        <f t="shared" si="1"/>
        <v>17.276579696705561</v>
      </c>
      <c r="F60">
        <f t="shared" si="4"/>
        <v>9.2852727221433007E-2</v>
      </c>
      <c r="G60">
        <f t="shared" si="5"/>
        <v>1</v>
      </c>
      <c r="H60">
        <f t="shared" si="9"/>
        <v>5.264475391742109</v>
      </c>
      <c r="K60">
        <v>3.2000000000000001E-2</v>
      </c>
      <c r="L60">
        <f t="shared" si="2"/>
        <v>-50.567751023153349</v>
      </c>
      <c r="M60">
        <f t="shared" si="3"/>
        <v>28.320725608346613</v>
      </c>
      <c r="N60">
        <f t="shared" si="6"/>
        <v>9.3181648063878963E-2</v>
      </c>
      <c r="O60">
        <f t="shared" si="7"/>
        <v>1</v>
      </c>
      <c r="P60">
        <f t="shared" si="8"/>
        <v>8.6450910167066173</v>
      </c>
    </row>
    <row r="61" spans="3:16" x14ac:dyDescent="0.25">
      <c r="C61">
        <v>3.3000000000000002E-2</v>
      </c>
      <c r="D61">
        <f t="shared" si="0"/>
        <v>-35.298558442895271</v>
      </c>
      <c r="E61">
        <f t="shared" si="1"/>
        <v>17.269146684551146</v>
      </c>
      <c r="F61">
        <f t="shared" si="4"/>
        <v>9.5681488517559865E-2</v>
      </c>
      <c r="G61">
        <f t="shared" si="5"/>
        <v>1</v>
      </c>
      <c r="H61">
        <f t="shared" si="9"/>
        <v>5.3417657592320875</v>
      </c>
      <c r="K61">
        <v>3.3000000000000002E-2</v>
      </c>
      <c r="L61">
        <f t="shared" si="2"/>
        <v>-50.506558442895276</v>
      </c>
      <c r="M61">
        <f t="shared" si="3"/>
        <v>28.308496147802011</v>
      </c>
      <c r="N61">
        <f t="shared" si="6"/>
        <v>9.6020157850555399E-2</v>
      </c>
      <c r="O61">
        <f t="shared" si="7"/>
        <v>1</v>
      </c>
      <c r="P61">
        <f t="shared" si="8"/>
        <v>8.7719875464084449</v>
      </c>
    </row>
    <row r="62" spans="3:16" x14ac:dyDescent="0.25">
      <c r="C62">
        <v>3.4000000000000002E-2</v>
      </c>
      <c r="D62">
        <f t="shared" si="0"/>
        <v>-35.261365862637192</v>
      </c>
      <c r="E62">
        <f t="shared" si="1"/>
        <v>17.261713672396734</v>
      </c>
      <c r="F62">
        <f t="shared" si="4"/>
        <v>9.8505832454320541E-2</v>
      </c>
      <c r="G62">
        <f t="shared" si="5"/>
        <v>1</v>
      </c>
      <c r="H62">
        <f t="shared" si="9"/>
        <v>5.4176991084711874</v>
      </c>
      <c r="K62">
        <v>3.4000000000000002E-2</v>
      </c>
      <c r="L62">
        <f t="shared" si="2"/>
        <v>-50.445365862637196</v>
      </c>
      <c r="M62">
        <f t="shared" si="3"/>
        <v>28.296266687257408</v>
      </c>
      <c r="N62">
        <f t="shared" si="6"/>
        <v>9.8854218139333927E-2</v>
      </c>
      <c r="O62">
        <f t="shared" si="7"/>
        <v>1</v>
      </c>
      <c r="P62">
        <f t="shared" si="8"/>
        <v>8.8966548602995363</v>
      </c>
    </row>
    <row r="63" spans="3:16" x14ac:dyDescent="0.25">
      <c r="C63">
        <v>3.5000000000000003E-2</v>
      </c>
      <c r="D63">
        <f t="shared" si="0"/>
        <v>-35.224173282379112</v>
      </c>
      <c r="E63">
        <f t="shared" si="1"/>
        <v>17.254280660242323</v>
      </c>
      <c r="F63">
        <f t="shared" si="4"/>
        <v>0.10132575903171481</v>
      </c>
      <c r="G63">
        <f t="shared" si="5"/>
        <v>1</v>
      </c>
      <c r="H63">
        <f t="shared" si="9"/>
        <v>5.4923321183433886</v>
      </c>
      <c r="K63">
        <v>3.5000000000000003E-2</v>
      </c>
      <c r="L63">
        <f t="shared" si="2"/>
        <v>-50.384173282379116</v>
      </c>
      <c r="M63">
        <f t="shared" si="3"/>
        <v>28.284037226712805</v>
      </c>
      <c r="N63">
        <f t="shared" si="6"/>
        <v>0.10168382893021433</v>
      </c>
      <c r="O63">
        <f t="shared" si="7"/>
        <v>1</v>
      </c>
      <c r="P63">
        <f t="shared" si="8"/>
        <v>9.019186051833378</v>
      </c>
    </row>
    <row r="64" spans="3:16" x14ac:dyDescent="0.25">
      <c r="C64">
        <v>3.5999999999999997E-2</v>
      </c>
      <c r="D64">
        <f t="shared" si="0"/>
        <v>-35.186980702121041</v>
      </c>
      <c r="E64">
        <f t="shared" si="1"/>
        <v>17.246847648087911</v>
      </c>
      <c r="F64">
        <f t="shared" si="4"/>
        <v>0.10414126824974246</v>
      </c>
      <c r="G64">
        <f t="shared" si="5"/>
        <v>1</v>
      </c>
      <c r="H64">
        <f t="shared" si="9"/>
        <v>5.5657174888777012</v>
      </c>
      <c r="K64">
        <v>3.5999999999999997E-2</v>
      </c>
      <c r="L64">
        <f t="shared" si="2"/>
        <v>-50.322980702121036</v>
      </c>
      <c r="M64">
        <f t="shared" si="3"/>
        <v>28.271807766168202</v>
      </c>
      <c r="N64">
        <f t="shared" si="6"/>
        <v>0.1045089902231966</v>
      </c>
      <c r="O64">
        <f t="shared" si="7"/>
        <v>1</v>
      </c>
      <c r="P64">
        <f t="shared" si="8"/>
        <v>9.1396676795629297</v>
      </c>
    </row>
    <row r="65" spans="3:16" x14ac:dyDescent="0.25">
      <c r="C65">
        <v>3.6999999999999998E-2</v>
      </c>
      <c r="D65">
        <f t="shared" si="0"/>
        <v>-35.149788121862962</v>
      </c>
      <c r="E65">
        <f t="shared" si="1"/>
        <v>17.2394146359335</v>
      </c>
      <c r="F65">
        <f t="shared" si="4"/>
        <v>0.10695236010840425</v>
      </c>
      <c r="G65">
        <f t="shared" si="5"/>
        <v>1</v>
      </c>
      <c r="H65">
        <f t="shared" si="9"/>
        <v>5.637904323874551</v>
      </c>
      <c r="K65">
        <v>3.6999999999999998E-2</v>
      </c>
      <c r="L65">
        <f t="shared" si="2"/>
        <v>-50.261788121862956</v>
      </c>
      <c r="M65">
        <f t="shared" si="3"/>
        <v>28.259578305623599</v>
      </c>
      <c r="N65">
        <f t="shared" si="6"/>
        <v>0.10732970201828074</v>
      </c>
      <c r="O65">
        <f t="shared" si="7"/>
        <v>1</v>
      </c>
      <c r="P65">
        <f t="shared" si="8"/>
        <v>9.2581803955588136</v>
      </c>
    </row>
    <row r="66" spans="3:16" x14ac:dyDescent="0.25">
      <c r="C66">
        <v>3.7999999999999999E-2</v>
      </c>
      <c r="D66">
        <f t="shared" si="0"/>
        <v>-35.112595541604882</v>
      </c>
      <c r="E66">
        <f t="shared" si="1"/>
        <v>17.231981623779085</v>
      </c>
      <c r="F66">
        <f t="shared" si="4"/>
        <v>0.10975903460769998</v>
      </c>
      <c r="G66">
        <f t="shared" si="5"/>
        <v>1</v>
      </c>
      <c r="H66">
        <f t="shared" si="9"/>
        <v>5.7089384673988057</v>
      </c>
      <c r="K66">
        <v>3.7999999999999999E-2</v>
      </c>
      <c r="L66">
        <f t="shared" si="2"/>
        <v>-50.200595541604883</v>
      </c>
      <c r="M66">
        <f t="shared" si="3"/>
        <v>28.247348845078996</v>
      </c>
      <c r="N66">
        <f t="shared" si="6"/>
        <v>0.1101459643154663</v>
      </c>
      <c r="O66">
        <f t="shared" si="7"/>
        <v>1</v>
      </c>
      <c r="P66">
        <f t="shared" si="8"/>
        <v>9.3747994980597014</v>
      </c>
    </row>
    <row r="67" spans="3:16" x14ac:dyDescent="0.25">
      <c r="C67">
        <v>3.9E-2</v>
      </c>
      <c r="D67">
        <f t="shared" si="0"/>
        <v>-35.075402961346803</v>
      </c>
      <c r="E67">
        <f t="shared" si="1"/>
        <v>17.224548611624673</v>
      </c>
      <c r="F67">
        <f t="shared" si="4"/>
        <v>0.1125612917476293</v>
      </c>
      <c r="G67">
        <f t="shared" si="5"/>
        <v>1</v>
      </c>
      <c r="H67">
        <f t="shared" si="9"/>
        <v>5.7788628007666425</v>
      </c>
      <c r="K67">
        <v>3.9E-2</v>
      </c>
      <c r="L67">
        <f t="shared" si="2"/>
        <v>-50.139402961346804</v>
      </c>
      <c r="M67">
        <f t="shared" si="3"/>
        <v>28.235119384534393</v>
      </c>
      <c r="N67">
        <f t="shared" si="6"/>
        <v>0.11295777711475408</v>
      </c>
      <c r="O67">
        <f t="shared" si="7"/>
        <v>1</v>
      </c>
      <c r="P67">
        <f t="shared" si="8"/>
        <v>9.4895954192390644</v>
      </c>
    </row>
    <row r="68" spans="3:16" x14ac:dyDescent="0.25">
      <c r="C68">
        <v>0.04</v>
      </c>
      <c r="D68">
        <f t="shared" si="0"/>
        <v>-35.038210381088724</v>
      </c>
      <c r="E68">
        <f t="shared" si="1"/>
        <v>17.217115599470262</v>
      </c>
      <c r="F68">
        <f t="shared" si="4"/>
        <v>0.11535913152819255</v>
      </c>
      <c r="G68">
        <f t="shared" si="5"/>
        <v>1</v>
      </c>
      <c r="H68">
        <f t="shared" si="9"/>
        <v>5.8477175055562336</v>
      </c>
      <c r="K68">
        <v>0.04</v>
      </c>
      <c r="L68">
        <f t="shared" si="2"/>
        <v>-50.078210381088724</v>
      </c>
      <c r="M68">
        <f t="shared" si="3"/>
        <v>28.22288992398979</v>
      </c>
      <c r="N68">
        <f t="shared" si="6"/>
        <v>0.11576514041614372</v>
      </c>
      <c r="O68">
        <f t="shared" si="7"/>
        <v>1</v>
      </c>
      <c r="P68">
        <f t="shared" si="8"/>
        <v>9.6026341571703142</v>
      </c>
    </row>
    <row r="69" spans="3:16" x14ac:dyDescent="0.25">
      <c r="C69">
        <v>4.1000000000000002E-2</v>
      </c>
      <c r="D69">
        <f t="shared" si="0"/>
        <v>-35.001017800830645</v>
      </c>
      <c r="E69">
        <f t="shared" si="1"/>
        <v>17.209682587315847</v>
      </c>
      <c r="F69">
        <f t="shared" si="4"/>
        <v>0.1181525539493895</v>
      </c>
      <c r="G69">
        <f t="shared" si="5"/>
        <v>1</v>
      </c>
      <c r="H69">
        <f t="shared" si="9"/>
        <v>5.9155402972796516</v>
      </c>
      <c r="K69">
        <v>4.1000000000000002E-2</v>
      </c>
      <c r="L69">
        <f t="shared" si="2"/>
        <v>-50.017017800830644</v>
      </c>
      <c r="M69">
        <f t="shared" si="3"/>
        <v>28.210660463445187</v>
      </c>
      <c r="N69">
        <f t="shared" si="6"/>
        <v>0.11856805421963512</v>
      </c>
      <c r="O69">
        <f t="shared" si="7"/>
        <v>1</v>
      </c>
      <c r="P69">
        <f t="shared" si="8"/>
        <v>9.7139776596070426</v>
      </c>
    </row>
    <row r="70" spans="3:16" x14ac:dyDescent="0.25">
      <c r="C70">
        <v>4.2000000000000003E-2</v>
      </c>
      <c r="D70">
        <f t="shared" si="0"/>
        <v>-34.963825220572566</v>
      </c>
      <c r="E70">
        <f t="shared" si="1"/>
        <v>17.202249575161435</v>
      </c>
      <c r="F70">
        <f t="shared" si="4"/>
        <v>0.12094155901122017</v>
      </c>
      <c r="G70">
        <f t="shared" si="5"/>
        <v>1</v>
      </c>
      <c r="H70">
        <f t="shared" si="9"/>
        <v>5.9823666336232133</v>
      </c>
      <c r="K70">
        <v>4.2000000000000003E-2</v>
      </c>
      <c r="L70">
        <f t="shared" si="2"/>
        <v>-49.955825220572564</v>
      </c>
      <c r="M70">
        <f t="shared" si="3"/>
        <v>28.19843100290058</v>
      </c>
      <c r="N70">
        <f t="shared" si="6"/>
        <v>0.12136651852522851</v>
      </c>
      <c r="O70">
        <f t="shared" si="7"/>
        <v>1</v>
      </c>
      <c r="P70">
        <f t="shared" si="8"/>
        <v>9.8236841659950027</v>
      </c>
    </row>
    <row r="71" spans="3:16" x14ac:dyDescent="0.25">
      <c r="C71">
        <v>4.2999999999999997E-2</v>
      </c>
      <c r="D71">
        <f t="shared" si="0"/>
        <v>-34.926632640314487</v>
      </c>
      <c r="E71">
        <f t="shared" si="1"/>
        <v>17.194816563007024</v>
      </c>
      <c r="F71">
        <f t="shared" si="4"/>
        <v>0.12372614671368454</v>
      </c>
      <c r="G71">
        <f t="shared" si="5"/>
        <v>1</v>
      </c>
      <c r="H71">
        <f t="shared" si="9"/>
        <v>6.0482299005625464</v>
      </c>
      <c r="K71">
        <v>4.2999999999999997E-2</v>
      </c>
      <c r="L71">
        <f t="shared" si="2"/>
        <v>-49.894632640314491</v>
      </c>
      <c r="M71">
        <f t="shared" si="3"/>
        <v>28.186201542355981</v>
      </c>
      <c r="N71">
        <f t="shared" si="6"/>
        <v>0.12416053333292343</v>
      </c>
      <c r="O71">
        <f t="shared" si="7"/>
        <v>1</v>
      </c>
      <c r="P71">
        <f t="shared" si="8"/>
        <v>9.931808513146164</v>
      </c>
    </row>
    <row r="72" spans="3:16" x14ac:dyDescent="0.25">
      <c r="C72">
        <v>4.3999999999999997E-2</v>
      </c>
      <c r="D72">
        <f t="shared" si="0"/>
        <v>-34.889440060056408</v>
      </c>
      <c r="E72">
        <f t="shared" si="1"/>
        <v>17.187383550852608</v>
      </c>
      <c r="F72">
        <f t="shared" si="4"/>
        <v>0.12650631705678272</v>
      </c>
      <c r="G72">
        <f t="shared" si="5"/>
        <v>1</v>
      </c>
      <c r="H72">
        <f t="shared" si="9"/>
        <v>6.113161579162254</v>
      </c>
      <c r="K72">
        <v>4.3999999999999997E-2</v>
      </c>
      <c r="L72">
        <f t="shared" si="2"/>
        <v>-49.833440060056411</v>
      </c>
      <c r="M72">
        <f t="shared" si="3"/>
        <v>28.173972081811375</v>
      </c>
      <c r="N72">
        <f t="shared" si="6"/>
        <v>0.12695009864272033</v>
      </c>
      <c r="O72">
        <f t="shared" si="7"/>
        <v>1</v>
      </c>
      <c r="P72">
        <f t="shared" si="8"/>
        <v>10.038402409189652</v>
      </c>
    </row>
    <row r="73" spans="3:16" x14ac:dyDescent="0.25">
      <c r="C73">
        <v>4.4999999999999998E-2</v>
      </c>
      <c r="D73">
        <f t="shared" si="0"/>
        <v>-34.852247479798329</v>
      </c>
      <c r="E73">
        <f t="shared" si="1"/>
        <v>17.179950538698197</v>
      </c>
      <c r="F73">
        <f t="shared" si="4"/>
        <v>0.12928207004051462</v>
      </c>
      <c r="G73">
        <f t="shared" si="5"/>
        <v>1</v>
      </c>
      <c r="H73">
        <f t="shared" si="9"/>
        <v>6.1771913954575179</v>
      </c>
      <c r="K73">
        <v>4.4999999999999998E-2</v>
      </c>
      <c r="L73">
        <f t="shared" si="2"/>
        <v>-49.772247479798331</v>
      </c>
      <c r="M73">
        <f t="shared" si="3"/>
        <v>28.161742621266772</v>
      </c>
      <c r="N73">
        <f t="shared" si="6"/>
        <v>0.12973521445461922</v>
      </c>
      <c r="O73">
        <f t="shared" si="7"/>
        <v>1</v>
      </c>
      <c r="P73">
        <f t="shared" si="8"/>
        <v>10.143514679736802</v>
      </c>
    </row>
    <row r="74" spans="3:16" x14ac:dyDescent="0.25">
      <c r="C74">
        <v>4.5999999999999999E-2</v>
      </c>
      <c r="D74">
        <f t="shared" si="0"/>
        <v>-34.81505489954025</v>
      </c>
      <c r="E74">
        <f t="shared" si="1"/>
        <v>17.172517526543785</v>
      </c>
      <c r="F74">
        <f t="shared" si="4"/>
        <v>0.13205340566488044</v>
      </c>
      <c r="G74">
        <f t="shared" si="5"/>
        <v>1</v>
      </c>
      <c r="H74">
        <f t="shared" si="9"/>
        <v>6.2403474554709417</v>
      </c>
      <c r="K74">
        <v>4.5999999999999999E-2</v>
      </c>
      <c r="L74">
        <f t="shared" si="2"/>
        <v>-49.711054899540251</v>
      </c>
      <c r="M74">
        <f t="shared" si="3"/>
        <v>28.149513160722169</v>
      </c>
      <c r="N74">
        <f t="shared" si="6"/>
        <v>0.13251588076861986</v>
      </c>
      <c r="O74">
        <f t="shared" si="7"/>
        <v>1</v>
      </c>
      <c r="P74">
        <f t="shared" si="8"/>
        <v>10.247191489632659</v>
      </c>
    </row>
    <row r="75" spans="3:16" x14ac:dyDescent="0.25">
      <c r="C75">
        <v>4.7E-2</v>
      </c>
      <c r="D75">
        <f t="shared" si="0"/>
        <v>-34.777862319282171</v>
      </c>
      <c r="E75">
        <f t="shared" si="1"/>
        <v>17.16508451438937</v>
      </c>
      <c r="F75">
        <f t="shared" si="4"/>
        <v>0.13482032392987975</v>
      </c>
      <c r="G75">
        <f t="shared" si="5"/>
        <v>1</v>
      </c>
      <c r="H75">
        <f t="shared" si="9"/>
        <v>6.3026563671295559</v>
      </c>
      <c r="K75">
        <v>4.7E-2</v>
      </c>
      <c r="L75">
        <f t="shared" si="2"/>
        <v>-49.649862319282171</v>
      </c>
      <c r="M75">
        <f t="shared" si="3"/>
        <v>28.137283700177562</v>
      </c>
      <c r="N75">
        <f t="shared" si="6"/>
        <v>0.13529209758472238</v>
      </c>
      <c r="O75">
        <f t="shared" si="7"/>
        <v>1</v>
      </c>
      <c r="P75">
        <f t="shared" si="8"/>
        <v>10.34947654319263</v>
      </c>
    </row>
    <row r="76" spans="3:16" x14ac:dyDescent="0.25">
      <c r="C76">
        <v>4.8000000000000001E-2</v>
      </c>
      <c r="D76">
        <f t="shared" si="0"/>
        <v>-34.740669739024092</v>
      </c>
      <c r="E76">
        <f t="shared" si="1"/>
        <v>17.157651502234959</v>
      </c>
      <c r="F76">
        <f t="shared" si="4"/>
        <v>0.1375828248355131</v>
      </c>
      <c r="G76">
        <f t="shared" si="5"/>
        <v>1</v>
      </c>
      <c r="H76">
        <f t="shared" si="9"/>
        <v>6.3641433506044338</v>
      </c>
      <c r="K76">
        <v>4.8000000000000001E-2</v>
      </c>
      <c r="L76">
        <f t="shared" si="2"/>
        <v>-49.588669739024098</v>
      </c>
      <c r="M76">
        <f t="shared" si="3"/>
        <v>28.125054239632963</v>
      </c>
      <c r="N76">
        <f t="shared" si="6"/>
        <v>0.13806386490292655</v>
      </c>
      <c r="O76">
        <f t="shared" si="7"/>
        <v>1</v>
      </c>
      <c r="P76">
        <f t="shared" si="8"/>
        <v>10.450411265424512</v>
      </c>
    </row>
    <row r="77" spans="3:16" x14ac:dyDescent="0.25">
      <c r="C77">
        <v>4.9000000000000002E-2</v>
      </c>
      <c r="D77">
        <f t="shared" si="0"/>
        <v>-34.703477158766013</v>
      </c>
      <c r="E77">
        <f t="shared" si="1"/>
        <v>17.150218490080547</v>
      </c>
      <c r="F77">
        <f t="shared" si="4"/>
        <v>0.14034090838178004</v>
      </c>
      <c r="G77">
        <f t="shared" si="5"/>
        <v>1</v>
      </c>
      <c r="H77">
        <f t="shared" si="9"/>
        <v>6.4248323383902708</v>
      </c>
      <c r="K77">
        <v>4.9000000000000002E-2</v>
      </c>
      <c r="L77">
        <f t="shared" si="2"/>
        <v>-49.527477158766018</v>
      </c>
      <c r="M77">
        <f t="shared" si="3"/>
        <v>28.11282477908836</v>
      </c>
      <c r="N77">
        <f t="shared" si="6"/>
        <v>0.14083118272323281</v>
      </c>
      <c r="O77">
        <f t="shared" si="7"/>
        <v>1</v>
      </c>
      <c r="P77">
        <f t="shared" si="8"/>
        <v>10.550034966399791</v>
      </c>
    </row>
    <row r="78" spans="3:16" x14ac:dyDescent="0.25">
      <c r="C78">
        <v>0.05</v>
      </c>
      <c r="D78">
        <f t="shared" si="0"/>
        <v>-34.666284578507941</v>
      </c>
      <c r="E78">
        <f t="shared" si="1"/>
        <v>17.142785477926136</v>
      </c>
      <c r="F78">
        <f t="shared" si="4"/>
        <v>0.14309457456868024</v>
      </c>
      <c r="G78">
        <f t="shared" si="5"/>
        <v>1</v>
      </c>
      <c r="H78">
        <f t="shared" si="9"/>
        <v>6.4847460662688539</v>
      </c>
      <c r="K78">
        <v>0.05</v>
      </c>
      <c r="L78">
        <f t="shared" si="2"/>
        <v>-49.466284578507938</v>
      </c>
      <c r="M78">
        <f t="shared" si="3"/>
        <v>28.100595318543753</v>
      </c>
      <c r="N78">
        <f t="shared" si="6"/>
        <v>0.14359405104564082</v>
      </c>
      <c r="O78">
        <f t="shared" si="7"/>
        <v>1</v>
      </c>
      <c r="P78">
        <f t="shared" si="8"/>
        <v>10.648384990652584</v>
      </c>
    </row>
    <row r="79" spans="3:16" x14ac:dyDescent="0.25">
      <c r="C79">
        <v>5.0999999999999997E-2</v>
      </c>
      <c r="D79">
        <f t="shared" si="0"/>
        <v>-34.629091998249862</v>
      </c>
      <c r="E79">
        <f t="shared" si="1"/>
        <v>17.135352465771721</v>
      </c>
      <c r="F79">
        <f t="shared" si="4"/>
        <v>0.14584382339621471</v>
      </c>
      <c r="G79">
        <f t="shared" si="5"/>
        <v>1</v>
      </c>
      <c r="H79">
        <f t="shared" si="9"/>
        <v>6.5439061561523468</v>
      </c>
      <c r="K79">
        <v>5.0999999999999997E-2</v>
      </c>
      <c r="L79">
        <f t="shared" si="2"/>
        <v>-49.405091998249858</v>
      </c>
      <c r="M79">
        <f t="shared" si="3"/>
        <v>28.08836585799915</v>
      </c>
      <c r="N79">
        <f t="shared" si="6"/>
        <v>0.14635246987015071</v>
      </c>
      <c r="O79">
        <f t="shared" si="7"/>
        <v>1</v>
      </c>
      <c r="P79">
        <f t="shared" si="8"/>
        <v>10.745496853242209</v>
      </c>
    </row>
    <row r="80" spans="3:16" x14ac:dyDescent="0.25">
      <c r="C80">
        <v>5.1999999999999998E-2</v>
      </c>
      <c r="D80">
        <f t="shared" si="0"/>
        <v>-34.591899417991783</v>
      </c>
      <c r="E80">
        <f t="shared" si="1"/>
        <v>17.127919453617309</v>
      </c>
      <c r="F80">
        <f t="shared" si="4"/>
        <v>0.148588654864383</v>
      </c>
      <c r="G80">
        <f t="shared" si="5"/>
        <v>1</v>
      </c>
      <c r="H80">
        <f t="shared" si="9"/>
        <v>6.6023331916761112</v>
      </c>
      <c r="K80">
        <v>5.1999999999999998E-2</v>
      </c>
      <c r="L80">
        <f t="shared" si="2"/>
        <v>-49.343899417991778</v>
      </c>
      <c r="M80">
        <f t="shared" si="3"/>
        <v>28.076136397454547</v>
      </c>
      <c r="N80">
        <f t="shared" si="6"/>
        <v>0.14910643919676247</v>
      </c>
      <c r="O80">
        <f t="shared" si="7"/>
        <v>1</v>
      </c>
      <c r="P80">
        <f t="shared" si="8"/>
        <v>10.841404363907706</v>
      </c>
    </row>
    <row r="81" spans="3:16" x14ac:dyDescent="0.25">
      <c r="C81">
        <v>5.2999999999999999E-2</v>
      </c>
      <c r="D81">
        <f t="shared" si="0"/>
        <v>-34.554706837733704</v>
      </c>
      <c r="E81">
        <f t="shared" si="1"/>
        <v>17.120486441462898</v>
      </c>
      <c r="F81">
        <f t="shared" si="4"/>
        <v>0.1513290689731851</v>
      </c>
      <c r="G81">
        <f t="shared" si="5"/>
        <v>1</v>
      </c>
      <c r="H81">
        <f t="shared" si="9"/>
        <v>6.6600467873029343</v>
      </c>
      <c r="K81">
        <v>5.2999999999999999E-2</v>
      </c>
      <c r="L81">
        <f t="shared" si="2"/>
        <v>-49.282706837733706</v>
      </c>
      <c r="M81">
        <f t="shared" si="3"/>
        <v>28.063906936909945</v>
      </c>
      <c r="N81">
        <f t="shared" si="6"/>
        <v>0.15185595902547577</v>
      </c>
      <c r="O81">
        <f t="shared" si="7"/>
        <v>1</v>
      </c>
      <c r="P81">
        <f t="shared" si="8"/>
        <v>10.936139740565487</v>
      </c>
    </row>
    <row r="82" spans="3:16" x14ac:dyDescent="0.25">
      <c r="C82">
        <v>5.3999999999999999E-2</v>
      </c>
      <c r="D82">
        <f t="shared" si="0"/>
        <v>-34.517514257475625</v>
      </c>
      <c r="E82">
        <f t="shared" si="1"/>
        <v>17.113053429308486</v>
      </c>
      <c r="F82">
        <f t="shared" si="4"/>
        <v>0.1540650657226208</v>
      </c>
      <c r="G82">
        <f t="shared" si="5"/>
        <v>1</v>
      </c>
      <c r="H82">
        <f t="shared" si="9"/>
        <v>6.7170656516074381</v>
      </c>
      <c r="K82">
        <v>5.3999999999999999E-2</v>
      </c>
      <c r="L82">
        <f t="shared" si="2"/>
        <v>-49.221514257475626</v>
      </c>
      <c r="M82">
        <f t="shared" si="3"/>
        <v>28.051677476365342</v>
      </c>
      <c r="N82">
        <f t="shared" si="6"/>
        <v>0.15460102935629128</v>
      </c>
      <c r="O82">
        <f t="shared" si="7"/>
        <v>1</v>
      </c>
      <c r="P82">
        <f t="shared" si="8"/>
        <v>11.029733713248639</v>
      </c>
    </row>
    <row r="83" spans="3:16" x14ac:dyDescent="0.25">
      <c r="C83">
        <v>5.5E-2</v>
      </c>
      <c r="D83">
        <f t="shared" si="0"/>
        <v>-34.480321677217546</v>
      </c>
      <c r="E83">
        <f t="shared" si="1"/>
        <v>17.105620417154071</v>
      </c>
      <c r="F83">
        <f t="shared" si="4"/>
        <v>0.15679664511269031</v>
      </c>
      <c r="G83">
        <f t="shared" si="5"/>
        <v>1</v>
      </c>
      <c r="H83">
        <f t="shared" si="9"/>
        <v>6.7734076453294954</v>
      </c>
      <c r="K83">
        <v>5.5E-2</v>
      </c>
      <c r="L83">
        <f t="shared" si="2"/>
        <v>-49.160321677217546</v>
      </c>
      <c r="M83">
        <f t="shared" si="3"/>
        <v>28.039448015820739</v>
      </c>
      <c r="N83">
        <f t="shared" si="6"/>
        <v>0.15734165018920854</v>
      </c>
      <c r="O83">
        <f t="shared" si="7"/>
        <v>1</v>
      </c>
      <c r="P83">
        <f t="shared" si="8"/>
        <v>11.122215619454757</v>
      </c>
    </row>
    <row r="84" spans="3:16" x14ac:dyDescent="0.25">
      <c r="C84">
        <v>5.6000000000000001E-2</v>
      </c>
      <c r="D84">
        <f t="shared" si="0"/>
        <v>-34.443129096959467</v>
      </c>
      <c r="E84">
        <f t="shared" si="1"/>
        <v>17.09818740499966</v>
      </c>
      <c r="F84">
        <f t="shared" si="4"/>
        <v>0.15952380714339354</v>
      </c>
      <c r="G84">
        <f t="shared" si="5"/>
        <v>1</v>
      </c>
      <c r="H84">
        <f t="shared" si="9"/>
        <v>6.8290898347162825</v>
      </c>
      <c r="K84">
        <v>5.6000000000000001E-2</v>
      </c>
      <c r="L84">
        <f t="shared" si="2"/>
        <v>-49.099129096959466</v>
      </c>
      <c r="M84">
        <f t="shared" si="3"/>
        <v>28.027218555276136</v>
      </c>
      <c r="N84">
        <f t="shared" si="6"/>
        <v>0.16007782152422767</v>
      </c>
      <c r="O84">
        <f t="shared" si="7"/>
        <v>1</v>
      </c>
      <c r="P84">
        <f t="shared" si="8"/>
        <v>11.21361349175602</v>
      </c>
    </row>
    <row r="85" spans="3:16" x14ac:dyDescent="0.25">
      <c r="C85">
        <v>5.7000000000000002E-2</v>
      </c>
      <c r="D85">
        <f t="shared" si="0"/>
        <v>-34.405936516701388</v>
      </c>
      <c r="E85">
        <f t="shared" si="1"/>
        <v>17.090754392845248</v>
      </c>
      <c r="F85">
        <f t="shared" si="4"/>
        <v>0.16224655181473058</v>
      </c>
      <c r="G85">
        <f t="shared" si="5"/>
        <v>1</v>
      </c>
      <c r="H85">
        <f t="shared" si="9"/>
        <v>6.8841285406126538</v>
      </c>
      <c r="K85">
        <v>5.7000000000000002E-2</v>
      </c>
      <c r="L85">
        <f t="shared" si="2"/>
        <v>-49.037936516701386</v>
      </c>
      <c r="M85">
        <f t="shared" si="3"/>
        <v>28.014989094731533</v>
      </c>
      <c r="N85">
        <f t="shared" si="6"/>
        <v>0.16280954336134879</v>
      </c>
      <c r="O85">
        <f t="shared" si="7"/>
        <v>1</v>
      </c>
      <c r="P85">
        <f t="shared" si="8"/>
        <v>11.30395413842623</v>
      </c>
    </row>
    <row r="86" spans="3:16" x14ac:dyDescent="0.25">
      <c r="C86">
        <v>5.8000000000000003E-2</v>
      </c>
      <c r="D86">
        <f t="shared" si="0"/>
        <v>-34.368743936443309</v>
      </c>
      <c r="E86">
        <f t="shared" si="1"/>
        <v>17.083321380690833</v>
      </c>
      <c r="F86">
        <f t="shared" si="4"/>
        <v>0.16496487912670132</v>
      </c>
      <c r="G86">
        <f t="shared" si="5"/>
        <v>1</v>
      </c>
      <c r="H86">
        <f t="shared" si="9"/>
        <v>6.9385393837073703</v>
      </c>
      <c r="K86">
        <v>5.8000000000000003E-2</v>
      </c>
      <c r="L86">
        <f t="shared" si="2"/>
        <v>-48.976743936443313</v>
      </c>
      <c r="M86">
        <f t="shared" si="3"/>
        <v>28.00275963418693</v>
      </c>
      <c r="N86">
        <f t="shared" si="6"/>
        <v>0.16553681570057122</v>
      </c>
      <c r="O86">
        <f t="shared" si="7"/>
        <v>1</v>
      </c>
      <c r="P86">
        <f t="shared" si="8"/>
        <v>11.393263217754244</v>
      </c>
    </row>
    <row r="87" spans="3:16" x14ac:dyDescent="0.25">
      <c r="C87">
        <v>5.8999999999999997E-2</v>
      </c>
      <c r="D87">
        <f t="shared" si="0"/>
        <v>-34.33155135618523</v>
      </c>
      <c r="E87">
        <f t="shared" si="1"/>
        <v>17.075888368536422</v>
      </c>
      <c r="F87">
        <f t="shared" si="4"/>
        <v>0.16767878907930611</v>
      </c>
      <c r="G87">
        <f t="shared" si="5"/>
        <v>1</v>
      </c>
      <c r="H87">
        <f t="shared" si="9"/>
        <v>6.992337326297358</v>
      </c>
      <c r="K87">
        <v>5.8999999999999997E-2</v>
      </c>
      <c r="L87">
        <f t="shared" si="2"/>
        <v>-48.915551356185233</v>
      </c>
      <c r="M87">
        <f t="shared" si="3"/>
        <v>27.990530173642327</v>
      </c>
      <c r="N87">
        <f t="shared" si="6"/>
        <v>0.16825963854189585</v>
      </c>
      <c r="O87">
        <f t="shared" si="7"/>
        <v>1</v>
      </c>
      <c r="P87">
        <f t="shared" si="8"/>
        <v>11.481565306638682</v>
      </c>
    </row>
    <row r="88" spans="3:16" x14ac:dyDescent="0.25">
      <c r="C88">
        <v>0.06</v>
      </c>
      <c r="D88">
        <f t="shared" si="0"/>
        <v>-34.294358775927151</v>
      </c>
      <c r="E88">
        <f t="shared" si="1"/>
        <v>17.06845535638201</v>
      </c>
      <c r="F88">
        <f t="shared" si="4"/>
        <v>0.17038828167254438</v>
      </c>
      <c r="G88">
        <f t="shared" si="5"/>
        <v>1</v>
      </c>
      <c r="H88">
        <f t="shared" si="9"/>
        <v>7.0455367108923754</v>
      </c>
      <c r="K88">
        <v>0.06</v>
      </c>
      <c r="L88">
        <f t="shared" si="2"/>
        <v>-48.854358775927153</v>
      </c>
      <c r="M88">
        <f t="shared" si="3"/>
        <v>27.978300713097724</v>
      </c>
      <c r="N88">
        <f t="shared" si="6"/>
        <v>0.17097801188532236</v>
      </c>
      <c r="O88">
        <f t="shared" si="7"/>
        <v>1</v>
      </c>
      <c r="P88">
        <f t="shared" si="8"/>
        <v>11.568883963993244</v>
      </c>
    </row>
    <row r="89" spans="3:16" x14ac:dyDescent="0.25">
      <c r="C89">
        <v>6.0999999999999999E-2</v>
      </c>
      <c r="D89">
        <f t="shared" si="0"/>
        <v>-34.257166195669072</v>
      </c>
      <c r="E89">
        <f t="shared" si="1"/>
        <v>17.061022344227595</v>
      </c>
      <c r="F89">
        <f t="shared" si="4"/>
        <v>0.17309335690641636</v>
      </c>
      <c r="G89">
        <f t="shared" si="5"/>
        <v>1</v>
      </c>
      <c r="H89">
        <f t="shared" si="9"/>
        <v>7.0981512959479653</v>
      </c>
      <c r="K89">
        <v>6.0999999999999999E-2</v>
      </c>
      <c r="L89">
        <f t="shared" si="2"/>
        <v>-48.793166195669073</v>
      </c>
      <c r="M89">
        <f t="shared" si="3"/>
        <v>27.966071252553121</v>
      </c>
      <c r="N89">
        <f t="shared" si="6"/>
        <v>0.17369193573085073</v>
      </c>
      <c r="O89">
        <f t="shared" si="7"/>
        <v>1</v>
      </c>
      <c r="P89">
        <f t="shared" si="8"/>
        <v>11.655241789435538</v>
      </c>
    </row>
    <row r="90" spans="3:16" x14ac:dyDescent="0.25">
      <c r="C90">
        <v>6.2E-2</v>
      </c>
      <c r="D90">
        <f t="shared" si="0"/>
        <v>-34.219973615410993</v>
      </c>
      <c r="E90">
        <f t="shared" si="1"/>
        <v>17.053589332073184</v>
      </c>
      <c r="F90">
        <f t="shared" si="4"/>
        <v>0.17579401478092227</v>
      </c>
      <c r="G90">
        <f t="shared" si="5"/>
        <v>1</v>
      </c>
      <c r="H90">
        <f t="shared" si="9"/>
        <v>7.1501942889837888</v>
      </c>
      <c r="K90">
        <v>6.2E-2</v>
      </c>
      <c r="L90">
        <f t="shared" si="2"/>
        <v>-48.731973615410993</v>
      </c>
      <c r="M90">
        <f t="shared" si="3"/>
        <v>27.953841792008518</v>
      </c>
      <c r="N90">
        <f t="shared" si="6"/>
        <v>0.17640141007848098</v>
      </c>
      <c r="O90">
        <f t="shared" si="7"/>
        <v>1</v>
      </c>
      <c r="P90">
        <f t="shared" si="8"/>
        <v>11.740660477681672</v>
      </c>
    </row>
    <row r="91" spans="3:16" x14ac:dyDescent="0.25">
      <c r="C91">
        <v>6.3E-2</v>
      </c>
      <c r="D91">
        <f t="shared" si="0"/>
        <v>-34.182781035152914</v>
      </c>
      <c r="E91">
        <f t="shared" si="1"/>
        <v>17.046156319918772</v>
      </c>
      <c r="F91">
        <f t="shared" si="4"/>
        <v>0.17849025529606199</v>
      </c>
      <c r="G91">
        <f t="shared" si="5"/>
        <v>1</v>
      </c>
      <c r="H91">
        <f t="shared" si="9"/>
        <v>7.2016783773178474</v>
      </c>
      <c r="K91">
        <v>6.3E-2</v>
      </c>
      <c r="L91">
        <f t="shared" si="2"/>
        <v>-48.67078103515292</v>
      </c>
      <c r="M91">
        <f t="shared" si="3"/>
        <v>27.941612331463915</v>
      </c>
      <c r="N91">
        <f t="shared" si="6"/>
        <v>0.17910643492821265</v>
      </c>
      <c r="O91">
        <f t="shared" si="7"/>
        <v>1</v>
      </c>
      <c r="P91">
        <f t="shared" si="8"/>
        <v>11.825160869025163</v>
      </c>
    </row>
    <row r="92" spans="3:16" x14ac:dyDescent="0.25">
      <c r="C92">
        <v>6.4000000000000001E-2</v>
      </c>
      <c r="D92">
        <f t="shared" ref="D92:D155" si="10">-$J$23+($J$15+$J$23)*C92</f>
        <v>-34.145588454894842</v>
      </c>
      <c r="E92">
        <f t="shared" ref="E92:E155" si="11">$J$12-$J$11*D92</f>
        <v>17.038723307764361</v>
      </c>
      <c r="F92">
        <f t="shared" si="4"/>
        <v>0.18118207845183476</v>
      </c>
      <c r="G92">
        <f t="shared" si="5"/>
        <v>1</v>
      </c>
      <c r="H92">
        <f t="shared" si="9"/>
        <v>7.25261575662336</v>
      </c>
      <c r="K92">
        <v>6.4000000000000001E-2</v>
      </c>
      <c r="L92">
        <f t="shared" ref="L92:L155" si="12">-$M$23+($M$15+$M$23)*K92</f>
        <v>-48.60958845489484</v>
      </c>
      <c r="M92">
        <f t="shared" ref="M92:M155" si="13">$J$12-$J$11*L92+$E$18</f>
        <v>27.929382870919312</v>
      </c>
      <c r="N92">
        <f t="shared" si="6"/>
        <v>0.18180701028004664</v>
      </c>
      <c r="O92">
        <f t="shared" si="7"/>
        <v>1</v>
      </c>
      <c r="P92">
        <f t="shared" si="8"/>
        <v>11.908762996239808</v>
      </c>
    </row>
    <row r="93" spans="3:16" x14ac:dyDescent="0.25">
      <c r="C93">
        <v>6.5000000000000002E-2</v>
      </c>
      <c r="D93">
        <f t="shared" si="10"/>
        <v>-34.108395874636763</v>
      </c>
      <c r="E93">
        <f t="shared" si="11"/>
        <v>17.031290295609946</v>
      </c>
      <c r="F93">
        <f t="shared" ref="F93:F156" si="14">IF(D93&lt;$J$20,MAX(1-(D93-$J$20)^2/$J$22^2,0),1)</f>
        <v>0.18386948424824179</v>
      </c>
      <c r="G93">
        <f t="shared" ref="G93:G156" si="15">IF(D93&gt;$J$17,MAX(1-(D93-$J$17)^2/($J$15-$J$17)^2,0),1)</f>
        <v>1</v>
      </c>
      <c r="H93">
        <f t="shared" ref="H93:H156" si="16">SQRT(E93^2*F93*G93)</f>
        <v>7.3030181574942583</v>
      </c>
      <c r="K93">
        <v>6.5000000000000002E-2</v>
      </c>
      <c r="L93">
        <f t="shared" si="12"/>
        <v>-48.548395874636761</v>
      </c>
      <c r="M93">
        <f t="shared" si="13"/>
        <v>27.917153410374709</v>
      </c>
      <c r="N93">
        <f t="shared" ref="N93:N156" si="17">IF(L93&lt;$J$20,MAX(1-(L93-$J$20)^2/$M$22^2,0),1)</f>
        <v>0.18450313613398239</v>
      </c>
      <c r="O93">
        <f t="shared" ref="O93:O156" si="18">IF(L93&gt;$J$17,MAX(1-(L93-$J$17)^2/($M$15-$J$17)^2,0),1)</f>
        <v>1</v>
      </c>
      <c r="P93">
        <f t="shared" ref="P93:P156" si="19">SQRT(M93^2*N93*O93)</f>
        <v>11.991486128211676</v>
      </c>
    </row>
    <row r="94" spans="3:16" x14ac:dyDescent="0.25">
      <c r="C94">
        <v>6.6000000000000003E-2</v>
      </c>
      <c r="D94">
        <f t="shared" si="10"/>
        <v>-34.071203294378684</v>
      </c>
      <c r="E94">
        <f t="shared" si="11"/>
        <v>17.023857283455534</v>
      </c>
      <c r="F94">
        <f t="shared" si="14"/>
        <v>0.18655247268528263</v>
      </c>
      <c r="G94">
        <f t="shared" si="15"/>
        <v>1</v>
      </c>
      <c r="H94">
        <f t="shared" si="16"/>
        <v>7.3528968701865338</v>
      </c>
      <c r="K94">
        <v>6.6000000000000003E-2</v>
      </c>
      <c r="L94">
        <f t="shared" si="12"/>
        <v>-48.487203294378681</v>
      </c>
      <c r="M94">
        <f t="shared" si="13"/>
        <v>27.904923949830103</v>
      </c>
      <c r="N94">
        <f t="shared" si="17"/>
        <v>0.18719481249002001</v>
      </c>
      <c r="O94">
        <f t="shared" si="18"/>
        <v>1</v>
      </c>
      <c r="P94">
        <f t="shared" si="19"/>
        <v>12.073348810575434</v>
      </c>
    </row>
    <row r="95" spans="3:16" x14ac:dyDescent="0.25">
      <c r="C95">
        <v>6.7000000000000004E-2</v>
      </c>
      <c r="D95">
        <f t="shared" si="10"/>
        <v>-34.034010714120605</v>
      </c>
      <c r="E95">
        <f t="shared" si="11"/>
        <v>17.016424271301123</v>
      </c>
      <c r="F95">
        <f t="shared" si="14"/>
        <v>0.18923104376295741</v>
      </c>
      <c r="G95">
        <f t="shared" si="15"/>
        <v>1</v>
      </c>
      <c r="H95">
        <f t="shared" si="16"/>
        <v>7.4022627676866781</v>
      </c>
      <c r="K95">
        <v>6.7000000000000004E-2</v>
      </c>
      <c r="L95">
        <f t="shared" si="12"/>
        <v>-48.426010714120601</v>
      </c>
      <c r="M95">
        <f t="shared" si="13"/>
        <v>27.8926944892855</v>
      </c>
      <c r="N95">
        <f t="shared" si="17"/>
        <v>0.1898820393481595</v>
      </c>
      <c r="O95">
        <f t="shared" si="18"/>
        <v>1</v>
      </c>
      <c r="P95">
        <f t="shared" si="19"/>
        <v>12.154368903602817</v>
      </c>
    </row>
    <row r="96" spans="3:16" x14ac:dyDescent="0.25">
      <c r="C96">
        <v>6.8000000000000005E-2</v>
      </c>
      <c r="D96">
        <f t="shared" si="10"/>
        <v>-33.996818133862526</v>
      </c>
      <c r="E96">
        <f t="shared" si="11"/>
        <v>17.008991259146711</v>
      </c>
      <c r="F96">
        <f t="shared" si="14"/>
        <v>0.19190519748126578</v>
      </c>
      <c r="G96">
        <f t="shared" si="15"/>
        <v>1</v>
      </c>
      <c r="H96">
        <f t="shared" si="16"/>
        <v>7.4511263272435038</v>
      </c>
      <c r="K96">
        <v>6.8000000000000005E-2</v>
      </c>
      <c r="L96">
        <f t="shared" si="12"/>
        <v>-48.364818133862528</v>
      </c>
      <c r="M96">
        <f t="shared" si="13"/>
        <v>27.880465028740897</v>
      </c>
      <c r="N96">
        <f t="shared" si="17"/>
        <v>0.19256481670840031</v>
      </c>
      <c r="O96">
        <f t="shared" si="18"/>
        <v>1</v>
      </c>
      <c r="P96">
        <f t="shared" si="19"/>
        <v>12.23456361756744</v>
      </c>
    </row>
    <row r="97" spans="3:16" x14ac:dyDescent="0.25">
      <c r="C97">
        <v>6.9000000000000006E-2</v>
      </c>
      <c r="D97">
        <f t="shared" si="10"/>
        <v>-33.959625553604447</v>
      </c>
      <c r="E97">
        <f t="shared" si="11"/>
        <v>17.001558246992296</v>
      </c>
      <c r="F97">
        <f t="shared" si="14"/>
        <v>0.19457493384020796</v>
      </c>
      <c r="G97">
        <f t="shared" si="15"/>
        <v>1</v>
      </c>
      <c r="H97">
        <f t="shared" si="16"/>
        <v>7.4994976504869157</v>
      </c>
      <c r="K97">
        <v>6.9000000000000006E-2</v>
      </c>
      <c r="L97">
        <f t="shared" si="12"/>
        <v>-48.303625553604448</v>
      </c>
      <c r="M97">
        <f t="shared" si="13"/>
        <v>27.868235568196294</v>
      </c>
      <c r="N97">
        <f t="shared" si="17"/>
        <v>0.19524314457074354</v>
      </c>
      <c r="O97">
        <f t="shared" si="18"/>
        <v>1</v>
      </c>
      <c r="P97">
        <f t="shared" si="19"/>
        <v>12.313949545788804</v>
      </c>
    </row>
    <row r="98" spans="3:16" x14ac:dyDescent="0.25">
      <c r="C98">
        <v>7.0000000000000007E-2</v>
      </c>
      <c r="D98">
        <f t="shared" si="10"/>
        <v>-33.922432973346368</v>
      </c>
      <c r="E98">
        <f t="shared" si="11"/>
        <v>16.994125234837885</v>
      </c>
      <c r="F98">
        <f t="shared" si="14"/>
        <v>0.19724025283978386</v>
      </c>
      <c r="G98">
        <f t="shared" si="15"/>
        <v>1</v>
      </c>
      <c r="H98">
        <f t="shared" si="16"/>
        <v>7.5473864822454662</v>
      </c>
      <c r="K98">
        <v>7.0000000000000007E-2</v>
      </c>
      <c r="L98">
        <f t="shared" si="12"/>
        <v>-48.242432973346368</v>
      </c>
      <c r="M98">
        <f t="shared" si="13"/>
        <v>27.856006107651691</v>
      </c>
      <c r="N98">
        <f t="shared" si="17"/>
        <v>0.19791702293518854</v>
      </c>
      <c r="O98">
        <f t="shared" si="18"/>
        <v>1</v>
      </c>
      <c r="P98">
        <f t="shared" si="19"/>
        <v>12.392542695539042</v>
      </c>
    </row>
    <row r="99" spans="3:16" x14ac:dyDescent="0.25">
      <c r="C99">
        <v>7.0999999999999994E-2</v>
      </c>
      <c r="D99">
        <f t="shared" si="10"/>
        <v>-33.885240393088289</v>
      </c>
      <c r="E99">
        <f t="shared" si="11"/>
        <v>16.986692222683473</v>
      </c>
      <c r="F99">
        <f t="shared" si="14"/>
        <v>0.19990115447999357</v>
      </c>
      <c r="G99">
        <f t="shared" si="15"/>
        <v>1</v>
      </c>
      <c r="H99">
        <f t="shared" si="16"/>
        <v>7.5948022281643173</v>
      </c>
      <c r="K99">
        <v>7.0999999999999994E-2</v>
      </c>
      <c r="L99">
        <f t="shared" si="12"/>
        <v>-48.181240393088288</v>
      </c>
      <c r="M99">
        <f t="shared" si="13"/>
        <v>27.843776647107084</v>
      </c>
      <c r="N99">
        <f t="shared" si="17"/>
        <v>0.20058645180173529</v>
      </c>
      <c r="O99">
        <f t="shared" si="18"/>
        <v>1</v>
      </c>
      <c r="P99">
        <f t="shared" si="19"/>
        <v>12.470358516979612</v>
      </c>
    </row>
    <row r="100" spans="3:16" x14ac:dyDescent="0.25">
      <c r="C100">
        <v>7.1999999999999995E-2</v>
      </c>
      <c r="D100">
        <f t="shared" si="10"/>
        <v>-33.84804781283021</v>
      </c>
      <c r="E100">
        <f t="shared" si="11"/>
        <v>16.979259210529058</v>
      </c>
      <c r="F100">
        <f t="shared" si="14"/>
        <v>0.20255763876083688</v>
      </c>
      <c r="G100">
        <f t="shared" si="15"/>
        <v>1</v>
      </c>
      <c r="H100">
        <f t="shared" si="16"/>
        <v>7.6417539712159144</v>
      </c>
      <c r="K100">
        <v>7.1999999999999995E-2</v>
      </c>
      <c r="L100">
        <f t="shared" si="12"/>
        <v>-48.120047812830208</v>
      </c>
      <c r="M100">
        <f t="shared" si="13"/>
        <v>27.831547186562481</v>
      </c>
      <c r="N100">
        <f t="shared" si="17"/>
        <v>0.20325143117038402</v>
      </c>
      <c r="O100">
        <f t="shared" si="18"/>
        <v>1</v>
      </c>
      <c r="P100">
        <f t="shared" si="19"/>
        <v>12.547411930279262</v>
      </c>
    </row>
    <row r="101" spans="3:16" x14ac:dyDescent="0.25">
      <c r="C101">
        <v>7.2999999999999995E-2</v>
      </c>
      <c r="D101">
        <f t="shared" si="10"/>
        <v>-33.810855232572131</v>
      </c>
      <c r="E101">
        <f t="shared" si="11"/>
        <v>16.971826198374647</v>
      </c>
      <c r="F101">
        <f t="shared" si="14"/>
        <v>0.20520970568231411</v>
      </c>
      <c r="G101">
        <f t="shared" si="15"/>
        <v>1</v>
      </c>
      <c r="H101">
        <f t="shared" si="16"/>
        <v>7.6882504871874344</v>
      </c>
      <c r="K101">
        <v>7.2999999999999995E-2</v>
      </c>
      <c r="L101">
        <f t="shared" si="12"/>
        <v>-48.058855232572135</v>
      </c>
      <c r="M101">
        <f t="shared" si="13"/>
        <v>27.819317726017879</v>
      </c>
      <c r="N101">
        <f t="shared" si="17"/>
        <v>0.20591196104113407</v>
      </c>
      <c r="O101">
        <f t="shared" si="18"/>
        <v>1</v>
      </c>
      <c r="P101">
        <f t="shared" si="19"/>
        <v>12.623717351051363</v>
      </c>
    </row>
    <row r="102" spans="3:16" x14ac:dyDescent="0.25">
      <c r="C102">
        <v>7.3999999999999996E-2</v>
      </c>
      <c r="D102">
        <f t="shared" si="10"/>
        <v>-33.773662652314052</v>
      </c>
      <c r="E102">
        <f t="shared" si="11"/>
        <v>16.964393186220235</v>
      </c>
      <c r="F102">
        <f t="shared" si="14"/>
        <v>0.20785735524442506</v>
      </c>
      <c r="G102">
        <f t="shared" si="15"/>
        <v>1</v>
      </c>
      <c r="H102">
        <f t="shared" si="16"/>
        <v>7.7343002592215369</v>
      </c>
      <c r="K102">
        <v>7.3999999999999996E-2</v>
      </c>
      <c r="L102">
        <f t="shared" si="12"/>
        <v>-47.997662652314055</v>
      </c>
      <c r="M102">
        <f t="shared" si="13"/>
        <v>27.807088265473276</v>
      </c>
      <c r="N102">
        <f t="shared" si="17"/>
        <v>0.20856804141398644</v>
      </c>
      <c r="O102">
        <f t="shared" si="18"/>
        <v>1</v>
      </c>
      <c r="P102">
        <f t="shared" si="19"/>
        <v>12.699288714236571</v>
      </c>
    </row>
    <row r="103" spans="3:16" x14ac:dyDescent="0.25">
      <c r="C103">
        <v>7.4999999999999997E-2</v>
      </c>
      <c r="D103">
        <f t="shared" si="10"/>
        <v>-33.736470072055972</v>
      </c>
      <c r="E103">
        <f t="shared" si="11"/>
        <v>16.95696017406582</v>
      </c>
      <c r="F103">
        <f t="shared" si="14"/>
        <v>0.21050058744716971</v>
      </c>
      <c r="G103">
        <f t="shared" si="15"/>
        <v>1</v>
      </c>
      <c r="H103">
        <f t="shared" si="16"/>
        <v>7.7799114914804051</v>
      </c>
      <c r="K103">
        <v>7.4999999999999997E-2</v>
      </c>
      <c r="L103">
        <f t="shared" si="12"/>
        <v>-47.936470072055975</v>
      </c>
      <c r="M103">
        <f t="shared" si="13"/>
        <v>27.794858804928673</v>
      </c>
      <c r="N103">
        <f t="shared" si="17"/>
        <v>0.21121967228894067</v>
      </c>
      <c r="O103">
        <f t="shared" si="18"/>
        <v>1</v>
      </c>
      <c r="P103">
        <f t="shared" si="19"/>
        <v>12.774139496545308</v>
      </c>
    </row>
    <row r="104" spans="3:16" x14ac:dyDescent="0.25">
      <c r="C104">
        <v>7.5999999999999998E-2</v>
      </c>
      <c r="D104">
        <f t="shared" si="10"/>
        <v>-33.699277491797893</v>
      </c>
      <c r="E104">
        <f t="shared" si="11"/>
        <v>16.949527161911409</v>
      </c>
      <c r="F104">
        <f t="shared" si="14"/>
        <v>0.21313940229054817</v>
      </c>
      <c r="G104">
        <f t="shared" si="15"/>
        <v>1</v>
      </c>
      <c r="H104">
        <f t="shared" si="16"/>
        <v>7.825092121996903</v>
      </c>
      <c r="K104">
        <v>7.5999999999999998E-2</v>
      </c>
      <c r="L104">
        <f t="shared" si="12"/>
        <v>-47.875277491797895</v>
      </c>
      <c r="M104">
        <f t="shared" si="13"/>
        <v>27.78262934438407</v>
      </c>
      <c r="N104">
        <f t="shared" si="17"/>
        <v>0.21386685366599678</v>
      </c>
      <c r="O104">
        <f t="shared" si="18"/>
        <v>1</v>
      </c>
      <c r="P104">
        <f t="shared" si="19"/>
        <v>12.848282737565295</v>
      </c>
    </row>
    <row r="105" spans="3:16" x14ac:dyDescent="0.25">
      <c r="C105">
        <v>7.6999999999999999E-2</v>
      </c>
      <c r="D105">
        <f t="shared" si="10"/>
        <v>-33.662084911539822</v>
      </c>
      <c r="E105">
        <f t="shared" si="11"/>
        <v>16.942094149756997</v>
      </c>
      <c r="F105">
        <f t="shared" si="14"/>
        <v>0.21577379977456002</v>
      </c>
      <c r="G105">
        <f t="shared" si="15"/>
        <v>1</v>
      </c>
      <c r="H105">
        <f t="shared" si="16"/>
        <v>7.8698498347712667</v>
      </c>
      <c r="K105">
        <v>7.6999999999999999E-2</v>
      </c>
      <c r="L105">
        <f t="shared" si="12"/>
        <v>-47.814084911539815</v>
      </c>
      <c r="M105">
        <f t="shared" si="13"/>
        <v>27.770399883839467</v>
      </c>
      <c r="N105">
        <f t="shared" si="17"/>
        <v>0.21650958554515465</v>
      </c>
      <c r="O105">
        <f t="shared" si="18"/>
        <v>1</v>
      </c>
      <c r="P105">
        <f t="shared" si="19"/>
        <v>12.921731059629943</v>
      </c>
    </row>
    <row r="106" spans="3:16" x14ac:dyDescent="0.25">
      <c r="C106">
        <v>7.8E-2</v>
      </c>
      <c r="D106">
        <f t="shared" si="10"/>
        <v>-33.624892331281742</v>
      </c>
      <c r="E106">
        <f t="shared" si="11"/>
        <v>16.934661137602586</v>
      </c>
      <c r="F106">
        <f t="shared" si="14"/>
        <v>0.2184037798992059</v>
      </c>
      <c r="G106">
        <f t="shared" si="15"/>
        <v>1</v>
      </c>
      <c r="H106">
        <f t="shared" si="16"/>
        <v>7.9141920711669718</v>
      </c>
      <c r="K106">
        <v>7.8E-2</v>
      </c>
      <c r="L106">
        <f t="shared" si="12"/>
        <v>-47.752892331281743</v>
      </c>
      <c r="M106">
        <f t="shared" si="13"/>
        <v>27.758170423294864</v>
      </c>
      <c r="N106">
        <f t="shared" si="17"/>
        <v>0.21914786792641405</v>
      </c>
      <c r="O106">
        <f t="shared" si="18"/>
        <v>1</v>
      </c>
      <c r="P106">
        <f t="shared" si="19"/>
        <v>12.994496686535559</v>
      </c>
    </row>
    <row r="107" spans="3:16" x14ac:dyDescent="0.25">
      <c r="C107">
        <v>7.9000000000000001E-2</v>
      </c>
      <c r="D107">
        <f t="shared" si="10"/>
        <v>-33.587699751023663</v>
      </c>
      <c r="E107">
        <f t="shared" si="11"/>
        <v>16.92722812544817</v>
      </c>
      <c r="F107">
        <f t="shared" si="14"/>
        <v>0.22102934266448571</v>
      </c>
      <c r="G107">
        <f t="shared" si="15"/>
        <v>1</v>
      </c>
      <c r="H107">
        <f t="shared" si="16"/>
        <v>7.958126040654725</v>
      </c>
      <c r="K107">
        <v>7.9000000000000001E-2</v>
      </c>
      <c r="L107">
        <f t="shared" si="12"/>
        <v>-47.691699751023663</v>
      </c>
      <c r="M107">
        <f t="shared" si="13"/>
        <v>27.745940962750261</v>
      </c>
      <c r="N107">
        <f t="shared" si="17"/>
        <v>0.22178170080977566</v>
      </c>
      <c r="O107">
        <f t="shared" si="18"/>
        <v>1</v>
      </c>
      <c r="P107">
        <f t="shared" si="19"/>
        <v>13.066591461188084</v>
      </c>
    </row>
    <row r="108" spans="3:16" x14ac:dyDescent="0.25">
      <c r="C108">
        <v>0.08</v>
      </c>
      <c r="D108">
        <f t="shared" si="10"/>
        <v>-33.550507170765584</v>
      </c>
      <c r="E108">
        <f t="shared" si="11"/>
        <v>16.919795113293759</v>
      </c>
      <c r="F108">
        <f t="shared" si="14"/>
        <v>0.22365048807039922</v>
      </c>
      <c r="G108">
        <f t="shared" si="15"/>
        <v>1</v>
      </c>
      <c r="H108">
        <f t="shared" si="16"/>
        <v>8.001658730949794</v>
      </c>
      <c r="K108">
        <v>0.08</v>
      </c>
      <c r="L108">
        <f t="shared" si="12"/>
        <v>-47.630507170765583</v>
      </c>
      <c r="M108">
        <f t="shared" si="13"/>
        <v>27.733711502205658</v>
      </c>
      <c r="N108">
        <f t="shared" si="17"/>
        <v>0.22441108419523903</v>
      </c>
      <c r="O108">
        <f t="shared" si="18"/>
        <v>1</v>
      </c>
      <c r="P108">
        <f t="shared" si="19"/>
        <v>13.138026862253227</v>
      </c>
    </row>
    <row r="109" spans="3:16" x14ac:dyDescent="0.25">
      <c r="C109">
        <v>8.1000000000000003E-2</v>
      </c>
      <c r="D109">
        <f t="shared" si="10"/>
        <v>-33.513314590507505</v>
      </c>
      <c r="E109">
        <f t="shared" si="11"/>
        <v>16.912362101139347</v>
      </c>
      <c r="F109">
        <f t="shared" si="14"/>
        <v>0.22626721611694645</v>
      </c>
      <c r="G109">
        <f t="shared" si="15"/>
        <v>1</v>
      </c>
      <c r="H109">
        <f t="shared" si="16"/>
        <v>8.0447969175840495</v>
      </c>
      <c r="K109">
        <v>8.1000000000000003E-2</v>
      </c>
      <c r="L109">
        <f t="shared" si="12"/>
        <v>-47.569314590507503</v>
      </c>
      <c r="M109">
        <f t="shared" si="13"/>
        <v>27.721482041661055</v>
      </c>
      <c r="N109">
        <f t="shared" si="17"/>
        <v>0.22703601808280427</v>
      </c>
      <c r="O109">
        <f t="shared" si="18"/>
        <v>1</v>
      </c>
      <c r="P109">
        <f t="shared" si="19"/>
        <v>13.208814019878307</v>
      </c>
    </row>
    <row r="110" spans="3:16" x14ac:dyDescent="0.25">
      <c r="C110">
        <v>8.2000000000000003E-2</v>
      </c>
      <c r="D110">
        <f t="shared" si="10"/>
        <v>-33.476122010249426</v>
      </c>
      <c r="E110">
        <f t="shared" si="11"/>
        <v>16.904929088984932</v>
      </c>
      <c r="F110">
        <f t="shared" si="14"/>
        <v>0.22887952680412749</v>
      </c>
      <c r="G110">
        <f t="shared" si="15"/>
        <v>1</v>
      </c>
      <c r="H110">
        <f t="shared" si="16"/>
        <v>8.0875471729508579</v>
      </c>
      <c r="K110">
        <v>8.2000000000000003E-2</v>
      </c>
      <c r="L110">
        <f t="shared" si="12"/>
        <v>-47.508122010249423</v>
      </c>
      <c r="M110">
        <f t="shared" si="13"/>
        <v>27.709252581116452</v>
      </c>
      <c r="N110">
        <f t="shared" si="17"/>
        <v>0.22965650247247149</v>
      </c>
      <c r="O110">
        <f t="shared" si="18"/>
        <v>1</v>
      </c>
      <c r="P110">
        <f t="shared" si="19"/>
        <v>13.278963730548206</v>
      </c>
    </row>
    <row r="111" spans="3:16" x14ac:dyDescent="0.25">
      <c r="C111">
        <v>8.3000000000000004E-2</v>
      </c>
      <c r="D111">
        <f t="shared" si="10"/>
        <v>-33.438929429991347</v>
      </c>
      <c r="E111">
        <f t="shared" si="11"/>
        <v>16.897496076830521</v>
      </c>
      <c r="F111">
        <f t="shared" si="14"/>
        <v>0.23148742013194223</v>
      </c>
      <c r="G111">
        <f t="shared" si="15"/>
        <v>1</v>
      </c>
      <c r="H111">
        <f t="shared" si="16"/>
        <v>8.1299158748579643</v>
      </c>
      <c r="K111">
        <v>8.3000000000000004E-2</v>
      </c>
      <c r="L111">
        <f t="shared" si="12"/>
        <v>-47.446929429991343</v>
      </c>
      <c r="M111">
        <f t="shared" si="13"/>
        <v>27.697023120571849</v>
      </c>
      <c r="N111">
        <f t="shared" si="17"/>
        <v>0.23227253736424036</v>
      </c>
      <c r="O111">
        <f t="shared" si="18"/>
        <v>1</v>
      </c>
      <c r="P111">
        <f t="shared" si="19"/>
        <v>13.34848647113323</v>
      </c>
    </row>
    <row r="112" spans="3:16" x14ac:dyDescent="0.25">
      <c r="C112">
        <v>8.4000000000000005E-2</v>
      </c>
      <c r="D112">
        <f t="shared" si="10"/>
        <v>-33.401736849733268</v>
      </c>
      <c r="E112">
        <f t="shared" si="11"/>
        <v>16.890063064676109</v>
      </c>
      <c r="F112">
        <f t="shared" si="14"/>
        <v>0.23409089610039069</v>
      </c>
      <c r="G112">
        <f t="shared" si="15"/>
        <v>1</v>
      </c>
      <c r="H112">
        <f t="shared" si="16"/>
        <v>8.1719092146207242</v>
      </c>
      <c r="K112">
        <v>8.4000000000000005E-2</v>
      </c>
      <c r="L112">
        <f t="shared" si="12"/>
        <v>-47.38573684973327</v>
      </c>
      <c r="M112">
        <f t="shared" si="13"/>
        <v>27.684793660027246</v>
      </c>
      <c r="N112">
        <f t="shared" si="17"/>
        <v>0.23488412275811088</v>
      </c>
      <c r="O112">
        <f t="shared" si="18"/>
        <v>1</v>
      </c>
      <c r="P112">
        <f t="shared" si="19"/>
        <v>13.417392412182076</v>
      </c>
    </row>
    <row r="113" spans="3:16" x14ac:dyDescent="0.25">
      <c r="C113">
        <v>8.5000000000000006E-2</v>
      </c>
      <c r="D113">
        <f t="shared" si="10"/>
        <v>-33.364544269475189</v>
      </c>
      <c r="E113">
        <f t="shared" si="11"/>
        <v>16.882630052521698</v>
      </c>
      <c r="F113">
        <f t="shared" si="14"/>
        <v>0.23668995470947307</v>
      </c>
      <c r="G113">
        <f t="shared" si="15"/>
        <v>1</v>
      </c>
      <c r="H113">
        <f t="shared" si="16"/>
        <v>8.2135332047256249</v>
      </c>
      <c r="K113">
        <v>8.5000000000000006E-2</v>
      </c>
      <c r="L113">
        <f t="shared" si="12"/>
        <v>-47.32454426947519</v>
      </c>
      <c r="M113">
        <f t="shared" si="13"/>
        <v>27.672564199482643</v>
      </c>
      <c r="N113">
        <f t="shared" si="17"/>
        <v>0.23749125865408349</v>
      </c>
      <c r="O113">
        <f t="shared" si="18"/>
        <v>1</v>
      </c>
      <c r="P113">
        <f t="shared" si="19"/>
        <v>13.485691430508986</v>
      </c>
    </row>
    <row r="114" spans="3:16" x14ac:dyDescent="0.25">
      <c r="C114">
        <v>8.5999999999999993E-2</v>
      </c>
      <c r="D114">
        <f t="shared" si="10"/>
        <v>-33.32735168921711</v>
      </c>
      <c r="E114">
        <f t="shared" si="11"/>
        <v>16.875197040367283</v>
      </c>
      <c r="F114">
        <f t="shared" si="14"/>
        <v>0.23928459595918905</v>
      </c>
      <c r="G114">
        <f t="shared" si="15"/>
        <v>1</v>
      </c>
      <c r="H114">
        <f t="shared" si="16"/>
        <v>8.2547936860916664</v>
      </c>
      <c r="K114">
        <v>8.5999999999999993E-2</v>
      </c>
      <c r="L114">
        <f t="shared" si="12"/>
        <v>-47.26335168921711</v>
      </c>
      <c r="M114">
        <f t="shared" si="13"/>
        <v>27.66033473893804</v>
      </c>
      <c r="N114">
        <f t="shared" si="17"/>
        <v>0.24009394505215798</v>
      </c>
      <c r="O114">
        <f t="shared" si="18"/>
        <v>1</v>
      </c>
      <c r="P114">
        <f t="shared" si="19"/>
        <v>13.553393121120397</v>
      </c>
    </row>
    <row r="115" spans="3:16" x14ac:dyDescent="0.25">
      <c r="C115">
        <v>8.6999999999999994E-2</v>
      </c>
      <c r="D115">
        <f t="shared" si="10"/>
        <v>-33.290159108959031</v>
      </c>
      <c r="E115">
        <f t="shared" si="11"/>
        <v>16.867764028212871</v>
      </c>
      <c r="F115">
        <f t="shared" si="14"/>
        <v>0.24187481984953896</v>
      </c>
      <c r="G115">
        <f t="shared" si="15"/>
        <v>1</v>
      </c>
      <c r="H115">
        <f t="shared" si="16"/>
        <v>8.295696334955224</v>
      </c>
      <c r="K115">
        <v>8.6999999999999994E-2</v>
      </c>
      <c r="L115">
        <f t="shared" si="12"/>
        <v>-47.20215910895903</v>
      </c>
      <c r="M115">
        <f t="shared" si="13"/>
        <v>27.648105278393434</v>
      </c>
      <c r="N115">
        <f t="shared" si="17"/>
        <v>0.24269218195233433</v>
      </c>
      <c r="O115">
        <f t="shared" si="18"/>
        <v>1</v>
      </c>
      <c r="P115">
        <f t="shared" si="19"/>
        <v>13.620506808523167</v>
      </c>
    </row>
    <row r="116" spans="3:16" x14ac:dyDescent="0.25">
      <c r="C116">
        <v>8.7999999999999995E-2</v>
      </c>
      <c r="D116">
        <f t="shared" si="10"/>
        <v>-33.252966528700952</v>
      </c>
      <c r="E116">
        <f t="shared" si="11"/>
        <v>16.86033101605846</v>
      </c>
      <c r="F116">
        <f t="shared" si="14"/>
        <v>0.24446062638052246</v>
      </c>
      <c r="G116">
        <f t="shared" si="15"/>
        <v>1</v>
      </c>
      <c r="H116">
        <f t="shared" si="16"/>
        <v>8.3362466694019091</v>
      </c>
      <c r="K116">
        <v>8.7999999999999995E-2</v>
      </c>
      <c r="L116">
        <f t="shared" si="12"/>
        <v>-47.140966528700957</v>
      </c>
      <c r="M116">
        <f t="shared" si="13"/>
        <v>27.635875817848834</v>
      </c>
      <c r="N116">
        <f t="shared" si="17"/>
        <v>0.24528596935461222</v>
      </c>
      <c r="O116">
        <f t="shared" si="18"/>
        <v>1</v>
      </c>
      <c r="P116">
        <f t="shared" si="19"/>
        <v>13.68704155745313</v>
      </c>
    </row>
    <row r="117" spans="3:16" x14ac:dyDescent="0.25">
      <c r="C117">
        <v>8.8999999999999996E-2</v>
      </c>
      <c r="D117">
        <f t="shared" si="10"/>
        <v>-33.215773948442873</v>
      </c>
      <c r="E117">
        <f t="shared" si="11"/>
        <v>16.852898003904045</v>
      </c>
      <c r="F117">
        <f t="shared" si="14"/>
        <v>0.24704201555213978</v>
      </c>
      <c r="G117">
        <f t="shared" si="15"/>
        <v>1</v>
      </c>
      <c r="H117">
        <f t="shared" si="16"/>
        <v>8.3764500555675205</v>
      </c>
      <c r="K117">
        <v>8.8999999999999996E-2</v>
      </c>
      <c r="L117">
        <f t="shared" si="12"/>
        <v>-47.079773948442877</v>
      </c>
      <c r="M117">
        <f t="shared" si="13"/>
        <v>27.623646357304228</v>
      </c>
      <c r="N117">
        <f t="shared" si="17"/>
        <v>0.24787530725899209</v>
      </c>
      <c r="O117">
        <f t="shared" si="18"/>
        <v>1</v>
      </c>
      <c r="P117">
        <f t="shared" si="19"/>
        <v>13.753006183059982</v>
      </c>
    </row>
    <row r="118" spans="3:16" x14ac:dyDescent="0.25">
      <c r="C118">
        <v>0.09</v>
      </c>
      <c r="D118">
        <f t="shared" si="10"/>
        <v>-33.178581368184794</v>
      </c>
      <c r="E118">
        <f t="shared" si="11"/>
        <v>16.845464991749633</v>
      </c>
      <c r="F118">
        <f t="shared" si="14"/>
        <v>0.24961898736439092</v>
      </c>
      <c r="G118">
        <f t="shared" si="15"/>
        <v>1</v>
      </c>
      <c r="H118">
        <f t="shared" si="16"/>
        <v>8.4163117135282253</v>
      </c>
      <c r="K118">
        <v>0.09</v>
      </c>
      <c r="L118">
        <f t="shared" si="12"/>
        <v>-47.018581368184797</v>
      </c>
      <c r="M118">
        <f t="shared" si="13"/>
        <v>27.611416896759625</v>
      </c>
      <c r="N118">
        <f t="shared" si="17"/>
        <v>0.25046019566547406</v>
      </c>
      <c r="O118">
        <f t="shared" si="18"/>
        <v>1</v>
      </c>
      <c r="P118">
        <f t="shared" si="19"/>
        <v>13.81840926058188</v>
      </c>
    </row>
    <row r="119" spans="3:16" x14ac:dyDescent="0.25">
      <c r="C119">
        <v>9.0999999999999998E-2</v>
      </c>
      <c r="D119">
        <f t="shared" si="10"/>
        <v>-33.141388787926715</v>
      </c>
      <c r="E119">
        <f t="shared" si="11"/>
        <v>16.838031979595222</v>
      </c>
      <c r="F119">
        <f t="shared" si="14"/>
        <v>0.25219154181727577</v>
      </c>
      <c r="G119">
        <f t="shared" si="15"/>
        <v>1</v>
      </c>
      <c r="H119">
        <f t="shared" si="16"/>
        <v>8.4558367228989439</v>
      </c>
      <c r="K119">
        <v>9.0999999999999998E-2</v>
      </c>
      <c r="L119">
        <f t="shared" si="12"/>
        <v>-46.957388787926718</v>
      </c>
      <c r="M119">
        <f t="shared" si="13"/>
        <v>27.599187436215022</v>
      </c>
      <c r="N119">
        <f t="shared" si="17"/>
        <v>0.25304063457405768</v>
      </c>
      <c r="O119">
        <f t="shared" si="18"/>
        <v>1</v>
      </c>
      <c r="P119">
        <f t="shared" si="19"/>
        <v>13.883259134540692</v>
      </c>
    </row>
    <row r="120" spans="3:16" x14ac:dyDescent="0.25">
      <c r="C120">
        <v>9.1999999999999998E-2</v>
      </c>
      <c r="D120">
        <f t="shared" si="10"/>
        <v>-33.104196207668643</v>
      </c>
      <c r="E120">
        <f t="shared" si="11"/>
        <v>16.830598967440807</v>
      </c>
      <c r="F120">
        <f t="shared" si="14"/>
        <v>0.25475967891079387</v>
      </c>
      <c r="G120">
        <f t="shared" si="15"/>
        <v>1</v>
      </c>
      <c r="H120">
        <f t="shared" si="16"/>
        <v>8.4950300281574158</v>
      </c>
      <c r="K120">
        <v>9.1999999999999998E-2</v>
      </c>
      <c r="L120">
        <f t="shared" si="12"/>
        <v>-46.896196207668638</v>
      </c>
      <c r="M120">
        <f t="shared" si="13"/>
        <v>27.586957975670416</v>
      </c>
      <c r="N120">
        <f t="shared" si="17"/>
        <v>0.25561662398474339</v>
      </c>
      <c r="O120">
        <f t="shared" si="18"/>
        <v>1</v>
      </c>
      <c r="P120">
        <f t="shared" si="19"/>
        <v>13.947563927486771</v>
      </c>
    </row>
    <row r="121" spans="3:16" x14ac:dyDescent="0.25">
      <c r="C121">
        <v>9.2999999999999999E-2</v>
      </c>
      <c r="D121">
        <f t="shared" si="10"/>
        <v>-33.067003627410564</v>
      </c>
      <c r="E121">
        <f t="shared" si="11"/>
        <v>16.823165955286395</v>
      </c>
      <c r="F121">
        <f t="shared" si="14"/>
        <v>0.25732339864494624</v>
      </c>
      <c r="G121">
        <f t="shared" si="15"/>
        <v>1</v>
      </c>
      <c r="H121">
        <f t="shared" si="16"/>
        <v>8.5338964437102831</v>
      </c>
      <c r="K121">
        <v>9.2999999999999999E-2</v>
      </c>
      <c r="L121">
        <f t="shared" si="12"/>
        <v>-46.835003627410558</v>
      </c>
      <c r="M121">
        <f t="shared" si="13"/>
        <v>27.574728515125813</v>
      </c>
      <c r="N121">
        <f t="shared" si="17"/>
        <v>0.25818816389753074</v>
      </c>
      <c r="O121">
        <f t="shared" si="18"/>
        <v>1</v>
      </c>
      <c r="P121">
        <f t="shared" si="19"/>
        <v>14.011331548319868</v>
      </c>
    </row>
    <row r="122" spans="3:16" x14ac:dyDescent="0.25">
      <c r="C122">
        <v>9.4E-2</v>
      </c>
      <c r="D122">
        <f t="shared" si="10"/>
        <v>-33.029811047152485</v>
      </c>
      <c r="E122">
        <f t="shared" si="11"/>
        <v>16.815732943131984</v>
      </c>
      <c r="F122">
        <f t="shared" si="14"/>
        <v>0.25988270101973232</v>
      </c>
      <c r="G122">
        <f t="shared" si="15"/>
        <v>1</v>
      </c>
      <c r="H122">
        <f t="shared" si="16"/>
        <v>8.5724406587161983</v>
      </c>
      <c r="K122">
        <v>9.4E-2</v>
      </c>
      <c r="L122">
        <f t="shared" si="12"/>
        <v>-46.773811047152485</v>
      </c>
      <c r="M122">
        <f t="shared" si="13"/>
        <v>27.562499054581213</v>
      </c>
      <c r="N122">
        <f t="shared" si="17"/>
        <v>0.26075525431241964</v>
      </c>
      <c r="O122">
        <f t="shared" si="18"/>
        <v>1</v>
      </c>
      <c r="P122">
        <f t="shared" si="19"/>
        <v>14.074569700211191</v>
      </c>
    </row>
    <row r="123" spans="3:16" x14ac:dyDescent="0.25">
      <c r="C123">
        <v>9.5000000000000001E-2</v>
      </c>
      <c r="D123">
        <f t="shared" si="10"/>
        <v>-32.992618466894406</v>
      </c>
      <c r="E123">
        <f t="shared" si="11"/>
        <v>16.808299930977572</v>
      </c>
      <c r="F123">
        <f t="shared" si="14"/>
        <v>0.26243758603515221</v>
      </c>
      <c r="G123">
        <f t="shared" si="15"/>
        <v>1</v>
      </c>
      <c r="H123">
        <f t="shared" si="16"/>
        <v>8.6106672416803107</v>
      </c>
      <c r="K123">
        <v>9.5000000000000001E-2</v>
      </c>
      <c r="L123">
        <f t="shared" si="12"/>
        <v>-46.712618466894405</v>
      </c>
      <c r="M123">
        <f t="shared" si="13"/>
        <v>27.550269594036607</v>
      </c>
      <c r="N123">
        <f t="shared" si="17"/>
        <v>0.26331789522941074</v>
      </c>
      <c r="O123">
        <f t="shared" si="18"/>
        <v>1</v>
      </c>
      <c r="P123">
        <f t="shared" si="19"/>
        <v>14.137285888149753</v>
      </c>
    </row>
    <row r="124" spans="3:16" x14ac:dyDescent="0.25">
      <c r="C124">
        <v>9.6000000000000002E-2</v>
      </c>
      <c r="D124">
        <f t="shared" si="10"/>
        <v>-32.955425886636327</v>
      </c>
      <c r="E124">
        <f t="shared" si="11"/>
        <v>16.800866918823157</v>
      </c>
      <c r="F124">
        <f t="shared" si="14"/>
        <v>0.26498805369120593</v>
      </c>
      <c r="G124">
        <f t="shared" si="15"/>
        <v>1</v>
      </c>
      <c r="H124">
        <f t="shared" si="16"/>
        <v>8.6485806448330553</v>
      </c>
      <c r="K124">
        <v>9.6000000000000002E-2</v>
      </c>
      <c r="L124">
        <f t="shared" si="12"/>
        <v>-46.651425886636325</v>
      </c>
      <c r="M124">
        <f t="shared" si="13"/>
        <v>27.538040133492004</v>
      </c>
      <c r="N124">
        <f t="shared" si="17"/>
        <v>0.26587608664850371</v>
      </c>
      <c r="O124">
        <f t="shared" si="18"/>
        <v>1</v>
      </c>
      <c r="P124">
        <f t="shared" si="19"/>
        <v>14.199487426134553</v>
      </c>
    </row>
    <row r="125" spans="3:16" x14ac:dyDescent="0.25">
      <c r="C125">
        <v>9.7000000000000003E-2</v>
      </c>
      <c r="D125">
        <f t="shared" si="10"/>
        <v>-32.918233306378248</v>
      </c>
      <c r="E125">
        <f t="shared" si="11"/>
        <v>16.793433906668746</v>
      </c>
      <c r="F125">
        <f t="shared" si="14"/>
        <v>0.26753410398789323</v>
      </c>
      <c r="G125">
        <f t="shared" si="15"/>
        <v>1</v>
      </c>
      <c r="H125">
        <f t="shared" si="16"/>
        <v>8.6861852083056696</v>
      </c>
      <c r="K125">
        <v>9.7000000000000003E-2</v>
      </c>
      <c r="L125">
        <f t="shared" si="12"/>
        <v>-46.590233306378245</v>
      </c>
      <c r="M125">
        <f t="shared" si="13"/>
        <v>27.525810672947401</v>
      </c>
      <c r="N125">
        <f t="shared" si="17"/>
        <v>0.26842982856969844</v>
      </c>
      <c r="O125">
        <f t="shared" si="18"/>
        <v>1</v>
      </c>
      <c r="P125">
        <f t="shared" si="19"/>
        <v>14.261181444032838</v>
      </c>
    </row>
    <row r="126" spans="3:16" x14ac:dyDescent="0.25">
      <c r="C126">
        <v>9.8000000000000004E-2</v>
      </c>
      <c r="D126">
        <f t="shared" si="10"/>
        <v>-32.881040726120169</v>
      </c>
      <c r="E126">
        <f t="shared" si="11"/>
        <v>16.786000894514334</v>
      </c>
      <c r="F126">
        <f t="shared" si="14"/>
        <v>0.27007573692521436</v>
      </c>
      <c r="G126">
        <f t="shared" si="15"/>
        <v>1</v>
      </c>
      <c r="H126">
        <f t="shared" si="16"/>
        <v>8.7234851641137947</v>
      </c>
      <c r="K126">
        <v>9.8000000000000004E-2</v>
      </c>
      <c r="L126">
        <f t="shared" si="12"/>
        <v>-46.529040726120172</v>
      </c>
      <c r="M126">
        <f t="shared" si="13"/>
        <v>27.513581212402798</v>
      </c>
      <c r="N126">
        <f t="shared" si="17"/>
        <v>0.2709791209929947</v>
      </c>
      <c r="O126">
        <f t="shared" si="18"/>
        <v>1</v>
      </c>
      <c r="P126">
        <f t="shared" si="19"/>
        <v>14.322374894123207</v>
      </c>
    </row>
    <row r="127" spans="3:16" x14ac:dyDescent="0.25">
      <c r="C127">
        <v>9.9000000000000005E-2</v>
      </c>
      <c r="D127">
        <f t="shared" si="10"/>
        <v>-32.84384814586209</v>
      </c>
      <c r="E127">
        <f t="shared" si="11"/>
        <v>16.778567882359923</v>
      </c>
      <c r="F127">
        <f t="shared" si="14"/>
        <v>0.2726129525031693</v>
      </c>
      <c r="G127">
        <f t="shared" si="15"/>
        <v>1</v>
      </c>
      <c r="H127">
        <f t="shared" si="16"/>
        <v>8.7604846399599001</v>
      </c>
      <c r="K127">
        <v>9.9000000000000005E-2</v>
      </c>
      <c r="L127">
        <f t="shared" si="12"/>
        <v>-46.467848145862092</v>
      </c>
      <c r="M127">
        <f t="shared" si="13"/>
        <v>27.501351751858195</v>
      </c>
      <c r="N127">
        <f t="shared" si="17"/>
        <v>0.27352396391839329</v>
      </c>
      <c r="O127">
        <f t="shared" si="18"/>
        <v>1</v>
      </c>
      <c r="P127">
        <f t="shared" si="19"/>
        <v>14.383074557341132</v>
      </c>
    </row>
    <row r="128" spans="3:16" x14ac:dyDescent="0.25">
      <c r="C128">
        <v>0.1</v>
      </c>
      <c r="D128">
        <f t="shared" si="10"/>
        <v>-32.806655565604011</v>
      </c>
      <c r="E128">
        <f t="shared" si="11"/>
        <v>16.771134870205508</v>
      </c>
      <c r="F128">
        <f t="shared" si="14"/>
        <v>0.27514575072175795</v>
      </c>
      <c r="G128">
        <f t="shared" si="15"/>
        <v>1</v>
      </c>
      <c r="H128">
        <f t="shared" si="16"/>
        <v>8.7971876628645109</v>
      </c>
      <c r="K128">
        <v>0.1</v>
      </c>
      <c r="L128">
        <f t="shared" si="12"/>
        <v>-46.406655565604012</v>
      </c>
      <c r="M128">
        <f t="shared" si="13"/>
        <v>27.489122291313592</v>
      </c>
      <c r="N128">
        <f t="shared" si="17"/>
        <v>0.27606435734589363</v>
      </c>
      <c r="O128">
        <f t="shared" si="18"/>
        <v>1</v>
      </c>
      <c r="P128">
        <f t="shared" si="19"/>
        <v>14.443287049243219</v>
      </c>
    </row>
    <row r="129" spans="3:16" x14ac:dyDescent="0.25">
      <c r="C129">
        <v>0.10100000000000001</v>
      </c>
      <c r="D129">
        <f t="shared" si="10"/>
        <v>-32.769462985345932</v>
      </c>
      <c r="E129">
        <f t="shared" si="11"/>
        <v>16.763701858051096</v>
      </c>
      <c r="F129">
        <f t="shared" si="14"/>
        <v>0.27767413158098042</v>
      </c>
      <c r="G129">
        <f t="shared" si="15"/>
        <v>1</v>
      </c>
      <c r="H129">
        <f t="shared" si="16"/>
        <v>8.8335981626356226</v>
      </c>
      <c r="K129">
        <v>0.10100000000000001</v>
      </c>
      <c r="L129">
        <f t="shared" si="12"/>
        <v>-46.345462985345932</v>
      </c>
      <c r="M129">
        <f t="shared" si="13"/>
        <v>27.476892830768989</v>
      </c>
      <c r="N129">
        <f t="shared" si="17"/>
        <v>0.27860030127549584</v>
      </c>
      <c r="O129">
        <f t="shared" si="18"/>
        <v>1</v>
      </c>
      <c r="P129">
        <f t="shared" si="19"/>
        <v>14.50301882570578</v>
      </c>
    </row>
    <row r="130" spans="3:16" x14ac:dyDescent="0.25">
      <c r="C130">
        <v>0.10199999999999999</v>
      </c>
      <c r="D130">
        <f t="shared" si="10"/>
        <v>-32.732270405087853</v>
      </c>
      <c r="E130">
        <f t="shared" si="11"/>
        <v>16.756268845896685</v>
      </c>
      <c r="F130">
        <f t="shared" si="14"/>
        <v>0.28019809508083671</v>
      </c>
      <c r="G130">
        <f t="shared" si="15"/>
        <v>1</v>
      </c>
      <c r="H130">
        <f t="shared" si="16"/>
        <v>8.8697199751849816</v>
      </c>
      <c r="K130">
        <v>0.10199999999999999</v>
      </c>
      <c r="L130">
        <f t="shared" si="12"/>
        <v>-46.284270405087852</v>
      </c>
      <c r="M130">
        <f t="shared" si="13"/>
        <v>27.464663370224386</v>
      </c>
      <c r="N130">
        <f t="shared" si="17"/>
        <v>0.28113179570719971</v>
      </c>
      <c r="O130">
        <f t="shared" si="18"/>
        <v>1</v>
      </c>
      <c r="P130">
        <f t="shared" si="19"/>
        <v>14.56227618837187</v>
      </c>
    </row>
    <row r="131" spans="3:16" x14ac:dyDescent="0.25">
      <c r="C131">
        <v>0.10299999999999999</v>
      </c>
      <c r="D131">
        <f t="shared" si="10"/>
        <v>-32.695077824829774</v>
      </c>
      <c r="E131">
        <f t="shared" si="11"/>
        <v>16.74883583374227</v>
      </c>
      <c r="F131">
        <f t="shared" si="14"/>
        <v>0.28271764122132659</v>
      </c>
      <c r="G131">
        <f t="shared" si="15"/>
        <v>1</v>
      </c>
      <c r="H131">
        <f t="shared" si="16"/>
        <v>8.905556845699504</v>
      </c>
      <c r="K131">
        <v>0.10299999999999999</v>
      </c>
      <c r="L131">
        <f t="shared" si="12"/>
        <v>-46.223077824829772</v>
      </c>
      <c r="M131">
        <f t="shared" si="13"/>
        <v>27.452433909679783</v>
      </c>
      <c r="N131">
        <f t="shared" si="17"/>
        <v>0.28365884064100555</v>
      </c>
      <c r="O131">
        <f t="shared" si="18"/>
        <v>1</v>
      </c>
      <c r="P131">
        <f t="shared" si="19"/>
        <v>14.621065289860391</v>
      </c>
    </row>
    <row r="132" spans="3:16" x14ac:dyDescent="0.25">
      <c r="C132">
        <v>0.104</v>
      </c>
      <c r="D132">
        <f t="shared" si="10"/>
        <v>-32.657885244571695</v>
      </c>
      <c r="E132">
        <f t="shared" si="11"/>
        <v>16.741402821587858</v>
      </c>
      <c r="F132">
        <f t="shared" si="14"/>
        <v>0.28523277000245029</v>
      </c>
      <c r="G132">
        <f t="shared" si="15"/>
        <v>1</v>
      </c>
      <c r="H132">
        <f t="shared" si="16"/>
        <v>8.9411124316755028</v>
      </c>
      <c r="K132">
        <v>0.104</v>
      </c>
      <c r="L132">
        <f t="shared" si="12"/>
        <v>-46.1618852445717</v>
      </c>
      <c r="M132">
        <f t="shared" si="13"/>
        <v>27.44020444913518</v>
      </c>
      <c r="N132">
        <f t="shared" si="17"/>
        <v>0.28618143607691293</v>
      </c>
      <c r="O132">
        <f t="shared" si="18"/>
        <v>1</v>
      </c>
      <c r="P132">
        <f t="shared" si="19"/>
        <v>14.67939213874979</v>
      </c>
    </row>
    <row r="133" spans="3:16" x14ac:dyDescent="0.25">
      <c r="C133">
        <v>0.105</v>
      </c>
      <c r="D133">
        <f t="shared" si="10"/>
        <v>-32.620692664313623</v>
      </c>
      <c r="E133">
        <f t="shared" si="11"/>
        <v>16.733969809433447</v>
      </c>
      <c r="F133">
        <f t="shared" si="14"/>
        <v>0.28774348142420725</v>
      </c>
      <c r="G133">
        <f t="shared" si="15"/>
        <v>1</v>
      </c>
      <c r="H133">
        <f t="shared" si="16"/>
        <v>8.9763903058228482</v>
      </c>
      <c r="K133">
        <v>0.105</v>
      </c>
      <c r="L133">
        <f t="shared" si="12"/>
        <v>-46.10069266431362</v>
      </c>
      <c r="M133">
        <f t="shared" si="13"/>
        <v>27.427974988590577</v>
      </c>
      <c r="N133">
        <f t="shared" si="17"/>
        <v>0.28869958201492252</v>
      </c>
      <c r="O133">
        <f t="shared" si="18"/>
        <v>1</v>
      </c>
      <c r="P133">
        <f t="shared" si="19"/>
        <v>14.737262604348309</v>
      </c>
    </row>
    <row r="134" spans="3:16" x14ac:dyDescent="0.25">
      <c r="C134">
        <v>0.106</v>
      </c>
      <c r="D134">
        <f t="shared" si="10"/>
        <v>-32.583500084055544</v>
      </c>
      <c r="E134">
        <f t="shared" si="11"/>
        <v>16.726536797279032</v>
      </c>
      <c r="F134">
        <f t="shared" si="14"/>
        <v>0.29024977548659847</v>
      </c>
      <c r="G134">
        <f t="shared" si="15"/>
        <v>1</v>
      </c>
      <c r="H134">
        <f t="shared" si="16"/>
        <v>9.0113939588459804</v>
      </c>
      <c r="K134">
        <v>0.106</v>
      </c>
      <c r="L134">
        <f t="shared" si="12"/>
        <v>-46.03950008405554</v>
      </c>
      <c r="M134">
        <f t="shared" si="13"/>
        <v>27.415745528045974</v>
      </c>
      <c r="N134">
        <f t="shared" si="17"/>
        <v>0.29121327845503386</v>
      </c>
      <c r="O134">
        <f t="shared" si="18"/>
        <v>1</v>
      </c>
      <c r="P134">
        <f t="shared" si="19"/>
        <v>14.794682421261706</v>
      </c>
    </row>
    <row r="135" spans="3:16" x14ac:dyDescent="0.25">
      <c r="C135">
        <v>0.107</v>
      </c>
      <c r="D135">
        <f t="shared" si="10"/>
        <v>-32.546307503797465</v>
      </c>
      <c r="E135">
        <f t="shared" si="11"/>
        <v>16.71910378512462</v>
      </c>
      <c r="F135">
        <f t="shared" si="14"/>
        <v>0.2927516521896234</v>
      </c>
      <c r="G135">
        <f t="shared" si="15"/>
        <v>1</v>
      </c>
      <c r="H135">
        <f t="shared" si="16"/>
        <v>9.0461268021079313</v>
      </c>
      <c r="K135">
        <v>0.107</v>
      </c>
      <c r="L135">
        <f t="shared" si="12"/>
        <v>-45.97830750379746</v>
      </c>
      <c r="M135">
        <f t="shared" si="13"/>
        <v>27.403516067501371</v>
      </c>
      <c r="N135">
        <f t="shared" si="17"/>
        <v>0.29372252539724708</v>
      </c>
      <c r="O135">
        <f t="shared" si="18"/>
        <v>1</v>
      </c>
      <c r="P135">
        <f t="shared" si="19"/>
        <v>14.85165719376908</v>
      </c>
    </row>
    <row r="136" spans="3:16" x14ac:dyDescent="0.25">
      <c r="C136">
        <v>0.108</v>
      </c>
      <c r="D136">
        <f t="shared" si="10"/>
        <v>-32.509114923539386</v>
      </c>
      <c r="E136">
        <f t="shared" si="11"/>
        <v>16.711670772970209</v>
      </c>
      <c r="F136">
        <f t="shared" si="14"/>
        <v>0.29524911153328226</v>
      </c>
      <c r="G136">
        <f t="shared" si="15"/>
        <v>1</v>
      </c>
      <c r="H136">
        <f t="shared" si="16"/>
        <v>9.080592170183488</v>
      </c>
      <c r="K136">
        <v>0.108</v>
      </c>
      <c r="L136">
        <f t="shared" si="12"/>
        <v>-45.917114923539387</v>
      </c>
      <c r="M136">
        <f t="shared" si="13"/>
        <v>27.391286606956768</v>
      </c>
      <c r="N136">
        <f t="shared" si="17"/>
        <v>0.29622732284156184</v>
      </c>
      <c r="O136">
        <f t="shared" si="18"/>
        <v>1</v>
      </c>
      <c r="P136">
        <f t="shared" si="19"/>
        <v>14.908192400016443</v>
      </c>
    </row>
    <row r="137" spans="3:16" x14ac:dyDescent="0.25">
      <c r="C137">
        <v>0.109</v>
      </c>
      <c r="D137">
        <f t="shared" si="10"/>
        <v>-32.471922343281307</v>
      </c>
      <c r="E137">
        <f t="shared" si="11"/>
        <v>16.704237760815793</v>
      </c>
      <c r="F137">
        <f t="shared" si="14"/>
        <v>0.29774215351757483</v>
      </c>
      <c r="G137">
        <f t="shared" si="15"/>
        <v>1</v>
      </c>
      <c r="H137">
        <f t="shared" si="16"/>
        <v>9.1147933233070066</v>
      </c>
      <c r="K137">
        <v>0.109</v>
      </c>
      <c r="L137">
        <f t="shared" si="12"/>
        <v>-45.855922343281307</v>
      </c>
      <c r="M137">
        <f t="shared" si="13"/>
        <v>27.379057146412165</v>
      </c>
      <c r="N137">
        <f t="shared" si="17"/>
        <v>0.29872767078797891</v>
      </c>
      <c r="O137">
        <f t="shared" si="18"/>
        <v>1</v>
      </c>
      <c r="P137">
        <f t="shared" si="19"/>
        <v>14.964293396037371</v>
      </c>
    </row>
    <row r="138" spans="3:16" x14ac:dyDescent="0.25">
      <c r="C138">
        <v>0.11</v>
      </c>
      <c r="D138">
        <f t="shared" si="10"/>
        <v>-32.434729763023228</v>
      </c>
      <c r="E138">
        <f t="shared" si="11"/>
        <v>16.696804748661382</v>
      </c>
      <c r="F138">
        <f t="shared" si="14"/>
        <v>0.30023077814250099</v>
      </c>
      <c r="G138">
        <f t="shared" si="15"/>
        <v>1</v>
      </c>
      <c r="H138">
        <f t="shared" si="16"/>
        <v>9.1487334497202077</v>
      </c>
      <c r="K138">
        <v>0.11</v>
      </c>
      <c r="L138">
        <f t="shared" si="12"/>
        <v>-45.794729763023227</v>
      </c>
      <c r="M138">
        <f t="shared" si="13"/>
        <v>27.366827685867563</v>
      </c>
      <c r="N138">
        <f t="shared" si="17"/>
        <v>0.30122356923649751</v>
      </c>
      <c r="O138">
        <f t="shared" si="18"/>
        <v>1</v>
      </c>
      <c r="P138">
        <f t="shared" si="19"/>
        <v>15.01996541960923</v>
      </c>
    </row>
    <row r="139" spans="3:16" x14ac:dyDescent="0.25">
      <c r="C139">
        <v>0.111</v>
      </c>
      <c r="D139">
        <f t="shared" si="10"/>
        <v>-32.397537182765149</v>
      </c>
      <c r="E139">
        <f t="shared" si="11"/>
        <v>16.68937173650697</v>
      </c>
      <c r="F139">
        <f t="shared" si="14"/>
        <v>0.30271498540806108</v>
      </c>
      <c r="G139">
        <f t="shared" si="15"/>
        <v>1</v>
      </c>
      <c r="H139">
        <f t="shared" si="16"/>
        <v>9.182415667924877</v>
      </c>
      <c r="K139">
        <v>0.111</v>
      </c>
      <c r="L139">
        <f t="shared" si="12"/>
        <v>-45.733537182765147</v>
      </c>
      <c r="M139">
        <f t="shared" si="13"/>
        <v>27.354598225322956</v>
      </c>
      <c r="N139">
        <f t="shared" si="17"/>
        <v>0.3037150181871181</v>
      </c>
      <c r="O139">
        <f t="shared" si="18"/>
        <v>1</v>
      </c>
      <c r="P139">
        <f t="shared" si="19"/>
        <v>15.075213593953377</v>
      </c>
    </row>
    <row r="140" spans="3:16" x14ac:dyDescent="0.25">
      <c r="C140">
        <v>0.112</v>
      </c>
      <c r="D140">
        <f t="shared" si="10"/>
        <v>-32.36034460250707</v>
      </c>
      <c r="E140">
        <f t="shared" si="11"/>
        <v>16.681938724352559</v>
      </c>
      <c r="F140">
        <f t="shared" si="14"/>
        <v>0.30519477531425476</v>
      </c>
      <c r="G140">
        <f t="shared" si="15"/>
        <v>1</v>
      </c>
      <c r="H140">
        <f t="shared" si="16"/>
        <v>9.2158430288451658</v>
      </c>
      <c r="K140">
        <v>0.112</v>
      </c>
      <c r="L140">
        <f t="shared" si="12"/>
        <v>-45.672344602507067</v>
      </c>
      <c r="M140">
        <f t="shared" si="13"/>
        <v>27.342368764778353</v>
      </c>
      <c r="N140">
        <f t="shared" si="17"/>
        <v>0.30620201763984067</v>
      </c>
      <c r="O140">
        <f t="shared" si="18"/>
        <v>1</v>
      </c>
      <c r="P140">
        <f t="shared" si="19"/>
        <v>15.130042931286789</v>
      </c>
    </row>
    <row r="141" spans="3:16" x14ac:dyDescent="0.25">
      <c r="C141">
        <v>0.113</v>
      </c>
      <c r="D141">
        <f t="shared" si="10"/>
        <v>-32.323152022248991</v>
      </c>
      <c r="E141">
        <f t="shared" si="11"/>
        <v>16.674505712198144</v>
      </c>
      <c r="F141">
        <f t="shared" si="14"/>
        <v>0.30767014786108238</v>
      </c>
      <c r="G141">
        <f t="shared" si="15"/>
        <v>1</v>
      </c>
      <c r="H141">
        <f t="shared" si="16"/>
        <v>9.2490185179039219</v>
      </c>
      <c r="K141">
        <v>0.113</v>
      </c>
      <c r="L141">
        <f t="shared" si="12"/>
        <v>-45.611152022248987</v>
      </c>
      <c r="M141">
        <f t="shared" si="13"/>
        <v>27.33013930423375</v>
      </c>
      <c r="N141">
        <f t="shared" si="17"/>
        <v>0.30868456759466489</v>
      </c>
      <c r="O141">
        <f t="shared" si="18"/>
        <v>1</v>
      </c>
      <c r="P141">
        <f t="shared" si="19"/>
        <v>15.184458336232474</v>
      </c>
    </row>
    <row r="142" spans="3:16" x14ac:dyDescent="0.25">
      <c r="C142">
        <v>0.114</v>
      </c>
      <c r="D142">
        <f t="shared" si="10"/>
        <v>-32.285959441990912</v>
      </c>
      <c r="E142">
        <f t="shared" si="11"/>
        <v>16.667072700043732</v>
      </c>
      <c r="F142">
        <f t="shared" si="14"/>
        <v>0.31014110304854359</v>
      </c>
      <c r="G142">
        <f t="shared" si="15"/>
        <v>1</v>
      </c>
      <c r="H142">
        <f t="shared" si="16"/>
        <v>9.2819450570171611</v>
      </c>
      <c r="K142">
        <v>0.114</v>
      </c>
      <c r="L142">
        <f t="shared" si="12"/>
        <v>-45.549959441990914</v>
      </c>
      <c r="M142">
        <f t="shared" si="13"/>
        <v>27.317909843689147</v>
      </c>
      <c r="N142">
        <f t="shared" si="17"/>
        <v>0.31116266805159065</v>
      </c>
      <c r="O142">
        <f t="shared" si="18"/>
        <v>1</v>
      </c>
      <c r="P142">
        <f t="shared" si="19"/>
        <v>15.238464609095482</v>
      </c>
    </row>
    <row r="143" spans="3:16" x14ac:dyDescent="0.25">
      <c r="C143">
        <v>0.115</v>
      </c>
      <c r="D143">
        <f t="shared" si="10"/>
        <v>-32.248766861732832</v>
      </c>
      <c r="E143">
        <f t="shared" si="11"/>
        <v>16.659639687889321</v>
      </c>
      <c r="F143">
        <f t="shared" si="14"/>
        <v>0.31260764087663861</v>
      </c>
      <c r="G143">
        <f t="shared" si="15"/>
        <v>1</v>
      </c>
      <c r="H143">
        <f t="shared" si="16"/>
        <v>9.3146255065106338</v>
      </c>
      <c r="K143">
        <v>0.115</v>
      </c>
      <c r="L143">
        <f t="shared" si="12"/>
        <v>-45.488766861732834</v>
      </c>
      <c r="M143">
        <f t="shared" si="13"/>
        <v>27.305680383144544</v>
      </c>
      <c r="N143">
        <f t="shared" si="17"/>
        <v>0.31363631901061872</v>
      </c>
      <c r="O143">
        <f t="shared" si="18"/>
        <v>1</v>
      </c>
      <c r="P143">
        <f t="shared" si="19"/>
        <v>15.292066449010967</v>
      </c>
    </row>
    <row r="144" spans="3:16" x14ac:dyDescent="0.25">
      <c r="C144">
        <v>0.11600000000000001</v>
      </c>
      <c r="D144">
        <f t="shared" si="10"/>
        <v>-32.211574281474753</v>
      </c>
      <c r="E144">
        <f t="shared" si="11"/>
        <v>16.652206675734909</v>
      </c>
      <c r="F144">
        <f t="shared" si="14"/>
        <v>0.31506976134536757</v>
      </c>
      <c r="G144">
        <f t="shared" si="15"/>
        <v>1</v>
      </c>
      <c r="H144">
        <f t="shared" si="16"/>
        <v>9.3470626669621737</v>
      </c>
      <c r="K144">
        <v>0.11600000000000001</v>
      </c>
      <c r="L144">
        <f t="shared" si="12"/>
        <v>-45.427574281474755</v>
      </c>
      <c r="M144">
        <f t="shared" si="13"/>
        <v>27.293450922599938</v>
      </c>
      <c r="N144">
        <f t="shared" si="17"/>
        <v>0.31610552047174856</v>
      </c>
      <c r="O144">
        <f t="shared" si="18"/>
        <v>1</v>
      </c>
      <c r="P144">
        <f t="shared" si="19"/>
        <v>15.345268456970242</v>
      </c>
    </row>
    <row r="145" spans="3:16" x14ac:dyDescent="0.25">
      <c r="C145">
        <v>0.11700000000000001</v>
      </c>
      <c r="D145">
        <f t="shared" si="10"/>
        <v>-32.174381701216674</v>
      </c>
      <c r="E145">
        <f t="shared" si="11"/>
        <v>16.644773663580494</v>
      </c>
      <c r="F145">
        <f t="shared" si="14"/>
        <v>0.31752746445473001</v>
      </c>
      <c r="G145">
        <f t="shared" si="15"/>
        <v>1</v>
      </c>
      <c r="H145">
        <f t="shared" si="16"/>
        <v>9.379259280973308</v>
      </c>
      <c r="K145">
        <v>0.11700000000000001</v>
      </c>
      <c r="L145">
        <f t="shared" si="12"/>
        <v>-45.366381701216675</v>
      </c>
      <c r="M145">
        <f t="shared" si="13"/>
        <v>27.281221462055335</v>
      </c>
      <c r="N145">
        <f t="shared" si="17"/>
        <v>0.31857027243498026</v>
      </c>
      <c r="O145">
        <f t="shared" si="18"/>
        <v>1</v>
      </c>
      <c r="P145">
        <f t="shared" si="19"/>
        <v>15.398075138730789</v>
      </c>
    </row>
    <row r="146" spans="3:16" x14ac:dyDescent="0.25">
      <c r="C146">
        <v>0.11799999999999999</v>
      </c>
      <c r="D146">
        <f t="shared" si="10"/>
        <v>-32.137189120958595</v>
      </c>
      <c r="E146">
        <f t="shared" si="11"/>
        <v>16.637340651426083</v>
      </c>
      <c r="F146">
        <f t="shared" si="14"/>
        <v>0.31998075020472638</v>
      </c>
      <c r="G146">
        <f t="shared" si="15"/>
        <v>1</v>
      </c>
      <c r="H146">
        <f t="shared" si="16"/>
        <v>9.4112180348734764</v>
      </c>
      <c r="K146">
        <v>0.11799999999999999</v>
      </c>
      <c r="L146">
        <f t="shared" si="12"/>
        <v>-45.305189120958602</v>
      </c>
      <c r="M146">
        <f t="shared" si="13"/>
        <v>27.268992001510732</v>
      </c>
      <c r="N146">
        <f t="shared" si="17"/>
        <v>0.32103057490031339</v>
      </c>
      <c r="O146">
        <f t="shared" si="18"/>
        <v>1</v>
      </c>
      <c r="P146">
        <f t="shared" si="19"/>
        <v>15.450490907615453</v>
      </c>
    </row>
    <row r="147" spans="3:16" x14ac:dyDescent="0.25">
      <c r="C147">
        <v>0.11899999999999999</v>
      </c>
      <c r="D147">
        <f t="shared" si="10"/>
        <v>-32.099996540700516</v>
      </c>
      <c r="E147">
        <f t="shared" si="11"/>
        <v>16.629907639271671</v>
      </c>
      <c r="F147">
        <f t="shared" si="14"/>
        <v>0.32242961859535646</v>
      </c>
      <c r="G147">
        <f t="shared" si="15"/>
        <v>1</v>
      </c>
      <c r="H147">
        <f t="shared" si="16"/>
        <v>9.4429415603598965</v>
      </c>
      <c r="K147">
        <v>0.11899999999999999</v>
      </c>
      <c r="L147">
        <f t="shared" si="12"/>
        <v>-45.243996540700522</v>
      </c>
      <c r="M147">
        <f t="shared" si="13"/>
        <v>27.256762540966129</v>
      </c>
      <c r="N147">
        <f t="shared" si="17"/>
        <v>0.32348642786774873</v>
      </c>
      <c r="O147">
        <f t="shared" si="18"/>
        <v>1</v>
      </c>
      <c r="P147">
        <f t="shared" si="19"/>
        <v>15.502520087206072</v>
      </c>
    </row>
    <row r="148" spans="3:16" x14ac:dyDescent="0.25">
      <c r="C148">
        <v>0.12</v>
      </c>
      <c r="D148">
        <f t="shared" si="10"/>
        <v>-32.062803960442437</v>
      </c>
      <c r="E148">
        <f t="shared" si="11"/>
        <v>16.622474627117256</v>
      </c>
      <c r="F148">
        <f t="shared" si="14"/>
        <v>0.32487406962662024</v>
      </c>
      <c r="G148">
        <f t="shared" si="15"/>
        <v>1</v>
      </c>
      <c r="H148">
        <f t="shared" si="16"/>
        <v>9.4744324360761176</v>
      </c>
      <c r="K148">
        <v>0.12</v>
      </c>
      <c r="L148">
        <f t="shared" si="12"/>
        <v>-45.182803960442442</v>
      </c>
      <c r="M148">
        <f t="shared" si="13"/>
        <v>27.244533080421526</v>
      </c>
      <c r="N148">
        <f t="shared" si="17"/>
        <v>0.32593783133728593</v>
      </c>
      <c r="O148">
        <f t="shared" si="18"/>
        <v>1</v>
      </c>
      <c r="P148">
        <f t="shared" si="19"/>
        <v>15.554166913936239</v>
      </c>
    </row>
    <row r="149" spans="3:16" x14ac:dyDescent="0.25">
      <c r="C149">
        <v>0.121</v>
      </c>
      <c r="D149">
        <f t="shared" si="10"/>
        <v>-32.025611380184365</v>
      </c>
      <c r="E149">
        <f t="shared" si="11"/>
        <v>16.615041614962845</v>
      </c>
      <c r="F149">
        <f t="shared" si="14"/>
        <v>0.3273141032985174</v>
      </c>
      <c r="G149">
        <f t="shared" si="15"/>
        <v>1</v>
      </c>
      <c r="H149">
        <f t="shared" si="16"/>
        <v>9.505693189131982</v>
      </c>
      <c r="K149">
        <v>0.121</v>
      </c>
      <c r="L149">
        <f t="shared" si="12"/>
        <v>-45.121611380184362</v>
      </c>
      <c r="M149">
        <f t="shared" si="13"/>
        <v>27.232303619876923</v>
      </c>
      <c r="N149">
        <f t="shared" si="17"/>
        <v>0.32838478530892501</v>
      </c>
      <c r="O149">
        <f t="shared" si="18"/>
        <v>1</v>
      </c>
      <c r="P149">
        <f t="shared" si="19"/>
        <v>15.605435539587969</v>
      </c>
    </row>
    <row r="150" spans="3:16" x14ac:dyDescent="0.25">
      <c r="C150">
        <v>0.122</v>
      </c>
      <c r="D150">
        <f t="shared" si="10"/>
        <v>-31.988418799926283</v>
      </c>
      <c r="E150">
        <f t="shared" si="11"/>
        <v>16.607608602808433</v>
      </c>
      <c r="F150">
        <f t="shared" si="14"/>
        <v>0.32974971961104904</v>
      </c>
      <c r="G150">
        <f t="shared" si="15"/>
        <v>1</v>
      </c>
      <c r="H150">
        <f t="shared" si="16"/>
        <v>9.5367262965677018</v>
      </c>
      <c r="K150">
        <v>0.122</v>
      </c>
      <c r="L150">
        <f t="shared" si="12"/>
        <v>-45.060418799926282</v>
      </c>
      <c r="M150">
        <f t="shared" si="13"/>
        <v>27.22007415933232</v>
      </c>
      <c r="N150">
        <f t="shared" si="17"/>
        <v>0.33082728978266596</v>
      </c>
      <c r="O150">
        <f t="shared" si="18"/>
        <v>1</v>
      </c>
      <c r="P150">
        <f t="shared" si="19"/>
        <v>15.656330033696463</v>
      </c>
    </row>
    <row r="151" spans="3:16" x14ac:dyDescent="0.25">
      <c r="C151">
        <v>0.123</v>
      </c>
      <c r="D151">
        <f t="shared" si="10"/>
        <v>-31.951226219668207</v>
      </c>
      <c r="E151">
        <f t="shared" si="11"/>
        <v>16.600175590654018</v>
      </c>
      <c r="F151">
        <f t="shared" si="14"/>
        <v>0.33218091856421395</v>
      </c>
      <c r="G151">
        <f t="shared" si="15"/>
        <v>1</v>
      </c>
      <c r="H151">
        <f t="shared" si="16"/>
        <v>9.5675341867644299</v>
      </c>
      <c r="K151">
        <v>0.123</v>
      </c>
      <c r="L151">
        <f t="shared" si="12"/>
        <v>-44.999226219668202</v>
      </c>
      <c r="M151">
        <f t="shared" si="13"/>
        <v>27.207844698787717</v>
      </c>
      <c r="N151">
        <f t="shared" si="17"/>
        <v>0.33326534475850866</v>
      </c>
      <c r="O151">
        <f t="shared" si="18"/>
        <v>1</v>
      </c>
      <c r="P151">
        <f t="shared" si="19"/>
        <v>15.706854385867146</v>
      </c>
    </row>
    <row r="152" spans="3:16" x14ac:dyDescent="0.25">
      <c r="C152">
        <v>0.124</v>
      </c>
      <c r="D152">
        <f t="shared" si="10"/>
        <v>-31.914033639410128</v>
      </c>
      <c r="E152">
        <f t="shared" si="11"/>
        <v>16.592742578499607</v>
      </c>
      <c r="F152">
        <f t="shared" si="14"/>
        <v>0.33460770015801278</v>
      </c>
      <c r="G152">
        <f t="shared" si="15"/>
        <v>1</v>
      </c>
      <c r="H152">
        <f t="shared" si="16"/>
        <v>9.5981192408039107</v>
      </c>
      <c r="K152">
        <v>0.124</v>
      </c>
      <c r="L152">
        <f t="shared" si="12"/>
        <v>-44.938033639410129</v>
      </c>
      <c r="M152">
        <f t="shared" si="13"/>
        <v>27.195615238243114</v>
      </c>
      <c r="N152">
        <f t="shared" si="17"/>
        <v>0.33569895023645291</v>
      </c>
      <c r="O152">
        <f t="shared" si="18"/>
        <v>1</v>
      </c>
      <c r="P152">
        <f t="shared" si="19"/>
        <v>15.757012508008835</v>
      </c>
    </row>
    <row r="153" spans="3:16" x14ac:dyDescent="0.25">
      <c r="C153">
        <v>0.125</v>
      </c>
      <c r="D153">
        <f t="shared" si="10"/>
        <v>-31.876841059152049</v>
      </c>
      <c r="E153">
        <f t="shared" si="11"/>
        <v>16.585309566345195</v>
      </c>
      <c r="F153">
        <f t="shared" si="14"/>
        <v>0.33703006439244543</v>
      </c>
      <c r="G153">
        <f t="shared" si="15"/>
        <v>1</v>
      </c>
      <c r="H153">
        <f t="shared" si="16"/>
        <v>9.6284837937792087</v>
      </c>
      <c r="K153">
        <v>0.125</v>
      </c>
      <c r="L153">
        <f t="shared" si="12"/>
        <v>-44.876841059152049</v>
      </c>
      <c r="M153">
        <f t="shared" si="13"/>
        <v>27.183385777698511</v>
      </c>
      <c r="N153">
        <f t="shared" si="17"/>
        <v>0.33812810621649947</v>
      </c>
      <c r="O153">
        <f t="shared" si="18"/>
        <v>1</v>
      </c>
      <c r="P153">
        <f t="shared" si="19"/>
        <v>15.806808236486809</v>
      </c>
    </row>
    <row r="154" spans="3:16" x14ac:dyDescent="0.25">
      <c r="C154">
        <v>0.126</v>
      </c>
      <c r="D154">
        <f t="shared" si="10"/>
        <v>-31.83964847889397</v>
      </c>
      <c r="E154">
        <f t="shared" si="11"/>
        <v>16.577876554190784</v>
      </c>
      <c r="F154">
        <f t="shared" si="14"/>
        <v>0.33944801126751178</v>
      </c>
      <c r="G154">
        <f t="shared" si="15"/>
        <v>1</v>
      </c>
      <c r="H154">
        <f t="shared" si="16"/>
        <v>9.6586301360588287</v>
      </c>
      <c r="K154">
        <v>0.126</v>
      </c>
      <c r="L154">
        <f t="shared" si="12"/>
        <v>-44.815648478893969</v>
      </c>
      <c r="M154">
        <f t="shared" si="13"/>
        <v>27.171156317153908</v>
      </c>
      <c r="N154">
        <f t="shared" si="17"/>
        <v>0.34055281269864779</v>
      </c>
      <c r="O154">
        <f t="shared" si="18"/>
        <v>1</v>
      </c>
      <c r="P154">
        <f t="shared" si="19"/>
        <v>15.856245334199107</v>
      </c>
    </row>
    <row r="155" spans="3:16" x14ac:dyDescent="0.25">
      <c r="C155">
        <v>0.127</v>
      </c>
      <c r="D155">
        <f t="shared" si="10"/>
        <v>-31.802455898635891</v>
      </c>
      <c r="E155">
        <f t="shared" si="11"/>
        <v>16.570443542036369</v>
      </c>
      <c r="F155">
        <f t="shared" si="14"/>
        <v>0.34186154078321207</v>
      </c>
      <c r="G155">
        <f t="shared" si="15"/>
        <v>1</v>
      </c>
      <c r="H155">
        <f t="shared" si="16"/>
        <v>9.6885605145061806</v>
      </c>
      <c r="K155">
        <v>0.127</v>
      </c>
      <c r="L155">
        <f t="shared" si="12"/>
        <v>-44.754455898635889</v>
      </c>
      <c r="M155">
        <f t="shared" si="13"/>
        <v>27.158926856609305</v>
      </c>
      <c r="N155">
        <f t="shared" si="17"/>
        <v>0.34297306968289776</v>
      </c>
      <c r="O155">
        <f t="shared" si="18"/>
        <v>1</v>
      </c>
      <c r="P155">
        <f t="shared" si="19"/>
        <v>15.905327492579616</v>
      </c>
    </row>
    <row r="156" spans="3:16" x14ac:dyDescent="0.25">
      <c r="C156">
        <v>0.128</v>
      </c>
      <c r="D156">
        <f t="shared" ref="D156:D219" si="20">-$J$23+($J$15+$J$23)*C156</f>
        <v>-31.765263318377812</v>
      </c>
      <c r="E156">
        <f t="shared" ref="E156:E219" si="21">$J$12-$J$11*D156</f>
        <v>16.563010529881957</v>
      </c>
      <c r="F156">
        <f t="shared" si="14"/>
        <v>0.34427065293954595</v>
      </c>
      <c r="G156">
        <f t="shared" si="15"/>
        <v>1</v>
      </c>
      <c r="H156">
        <f t="shared" si="16"/>
        <v>9.7182771336562936</v>
      </c>
      <c r="K156">
        <v>0.128</v>
      </c>
      <c r="L156">
        <f t="shared" ref="L156:L219" si="22">-$M$23+($M$15+$M$23)*K156</f>
        <v>-44.693263318377817</v>
      </c>
      <c r="M156">
        <f t="shared" ref="M156:M219" si="23">$J$12-$J$11*L156+$E$18</f>
        <v>27.146697396064702</v>
      </c>
      <c r="N156">
        <f t="shared" si="17"/>
        <v>0.34538887716924949</v>
      </c>
      <c r="O156">
        <f t="shared" si="18"/>
        <v>1</v>
      </c>
      <c r="P156">
        <f t="shared" si="19"/>
        <v>15.954058333530893</v>
      </c>
    </row>
    <row r="157" spans="3:16" x14ac:dyDescent="0.25">
      <c r="C157">
        <v>0.129</v>
      </c>
      <c r="D157">
        <f t="shared" si="20"/>
        <v>-31.728070738119733</v>
      </c>
      <c r="E157">
        <f t="shared" si="21"/>
        <v>16.555577517727546</v>
      </c>
      <c r="F157">
        <f t="shared" ref="F157:F220" si="24">IF(D157&lt;$J$20,MAX(1-(D157-$J$20)^2/$J$22^2,0),1)</f>
        <v>0.34667534773651365</v>
      </c>
      <c r="G157">
        <f t="shared" ref="G157:G220" si="25">IF(D157&gt;$J$17,MAX(1-(D157-$J$17)^2/($J$15-$J$17)^2,0),1)</f>
        <v>1</v>
      </c>
      <c r="H157">
        <f t="shared" ref="H157:H220" si="26">SQRT(E157^2*F157*G157)</f>
        <v>9.7477821568516383</v>
      </c>
      <c r="K157">
        <v>0.129</v>
      </c>
      <c r="L157">
        <f t="shared" si="22"/>
        <v>-44.632070738119737</v>
      </c>
      <c r="M157">
        <f t="shared" si="23"/>
        <v>27.1344679355201</v>
      </c>
      <c r="N157">
        <f t="shared" ref="N157:N220" si="27">IF(L157&lt;$J$20,MAX(1-(L157-$J$20)^2/$M$22^2,0),1)</f>
        <v>0.34780023515770331</v>
      </c>
      <c r="O157">
        <f t="shared" ref="O157:O220" si="28">IF(L157&gt;$J$17,MAX(1-(L157-$J$17)^2/($M$15-$J$17)^2,0),1)</f>
        <v>1</v>
      </c>
      <c r="P157">
        <f t="shared" ref="P157:P220" si="29">SQRT(M157^2*N157*O157)</f>
        <v>16.00244141128983</v>
      </c>
    </row>
    <row r="158" spans="3:16" x14ac:dyDescent="0.25">
      <c r="C158">
        <v>0.13</v>
      </c>
      <c r="D158">
        <f t="shared" si="20"/>
        <v>-31.690878157861654</v>
      </c>
      <c r="E158">
        <f t="shared" si="21"/>
        <v>16.548144505573134</v>
      </c>
      <c r="F158">
        <f t="shared" si="24"/>
        <v>0.34907562517411506</v>
      </c>
      <c r="G158">
        <f t="shared" si="25"/>
        <v>1</v>
      </c>
      <c r="H158">
        <f t="shared" si="26"/>
        <v>9.7770777073387602</v>
      </c>
      <c r="K158">
        <v>0.13</v>
      </c>
      <c r="L158">
        <f t="shared" si="22"/>
        <v>-44.570878157861657</v>
      </c>
      <c r="M158">
        <f t="shared" si="23"/>
        <v>27.122238474975497</v>
      </c>
      <c r="N158">
        <f t="shared" si="27"/>
        <v>0.35020714364825889</v>
      </c>
      <c r="O158">
        <f t="shared" si="28"/>
        <v>1</v>
      </c>
      <c r="P158">
        <f t="shared" si="29"/>
        <v>16.050480214228923</v>
      </c>
    </row>
    <row r="159" spans="3:16" x14ac:dyDescent="0.25">
      <c r="C159">
        <v>0.13100000000000001</v>
      </c>
      <c r="D159">
        <f t="shared" si="20"/>
        <v>-31.653685577603575</v>
      </c>
      <c r="E159">
        <f t="shared" si="21"/>
        <v>16.540711493418719</v>
      </c>
      <c r="F159">
        <f t="shared" si="24"/>
        <v>0.35147148525235017</v>
      </c>
      <c r="G159">
        <f t="shared" si="25"/>
        <v>1</v>
      </c>
      <c r="H159">
        <f t="shared" si="26"/>
        <v>9.8061658693273817</v>
      </c>
      <c r="K159">
        <v>0.13100000000000001</v>
      </c>
      <c r="L159">
        <f t="shared" si="22"/>
        <v>-44.509685577603577</v>
      </c>
      <c r="M159">
        <f t="shared" si="23"/>
        <v>27.110009014430894</v>
      </c>
      <c r="N159">
        <f t="shared" si="27"/>
        <v>0.35260960264091645</v>
      </c>
      <c r="O159">
        <f t="shared" si="28"/>
        <v>1</v>
      </c>
      <c r="P159">
        <f t="shared" si="29"/>
        <v>16.09817816659595</v>
      </c>
    </row>
    <row r="160" spans="3:16" x14ac:dyDescent="0.25">
      <c r="C160">
        <v>0.13200000000000001</v>
      </c>
      <c r="D160">
        <f t="shared" si="20"/>
        <v>-31.6164929973455</v>
      </c>
      <c r="E160">
        <f t="shared" si="21"/>
        <v>16.533278481264308</v>
      </c>
      <c r="F160">
        <f t="shared" si="24"/>
        <v>0.35386292797121899</v>
      </c>
      <c r="G160">
        <f t="shared" si="25"/>
        <v>1</v>
      </c>
      <c r="H160">
        <f t="shared" si="26"/>
        <v>9.8350486890135489</v>
      </c>
      <c r="K160">
        <v>0.13200000000000001</v>
      </c>
      <c r="L160">
        <f t="shared" si="22"/>
        <v>-44.448492997345497</v>
      </c>
      <c r="M160">
        <f t="shared" si="23"/>
        <v>27.097779553886287</v>
      </c>
      <c r="N160">
        <f t="shared" si="27"/>
        <v>0.35500761213567578</v>
      </c>
      <c r="O160">
        <f t="shared" si="28"/>
        <v>1</v>
      </c>
      <c r="P160">
        <f t="shared" si="29"/>
        <v>16.145538630194526</v>
      </c>
    </row>
    <row r="161" spans="3:16" x14ac:dyDescent="0.25">
      <c r="C161">
        <v>0.13300000000000001</v>
      </c>
      <c r="D161">
        <f t="shared" si="20"/>
        <v>-31.579300417087421</v>
      </c>
      <c r="E161">
        <f t="shared" si="21"/>
        <v>16.525845469109896</v>
      </c>
      <c r="F161">
        <f t="shared" si="24"/>
        <v>0.35624995333072174</v>
      </c>
      <c r="G161">
        <f t="shared" si="25"/>
        <v>1</v>
      </c>
      <c r="H161">
        <f t="shared" si="26"/>
        <v>9.863728175568264</v>
      </c>
      <c r="K161">
        <v>0.13300000000000001</v>
      </c>
      <c r="L161">
        <f t="shared" si="22"/>
        <v>-44.387300417087417</v>
      </c>
      <c r="M161">
        <f t="shared" si="23"/>
        <v>27.085550093341684</v>
      </c>
      <c r="N161">
        <f t="shared" si="27"/>
        <v>0.35740117213253697</v>
      </c>
      <c r="O161">
        <f t="shared" si="28"/>
        <v>1</v>
      </c>
      <c r="P161">
        <f t="shared" si="29"/>
        <v>16.192564906008045</v>
      </c>
    </row>
    <row r="162" spans="3:16" x14ac:dyDescent="0.25">
      <c r="C162">
        <v>0.13400000000000001</v>
      </c>
      <c r="D162">
        <f t="shared" si="20"/>
        <v>-31.542107836829341</v>
      </c>
      <c r="E162">
        <f t="shared" si="21"/>
        <v>16.518412456955481</v>
      </c>
      <c r="F162">
        <f t="shared" si="24"/>
        <v>0.35863256133085819</v>
      </c>
      <c r="G162">
        <f t="shared" si="25"/>
        <v>1</v>
      </c>
      <c r="H162">
        <f t="shared" si="26"/>
        <v>9.8922063020930686</v>
      </c>
      <c r="K162">
        <v>0.13400000000000001</v>
      </c>
      <c r="L162">
        <f t="shared" si="22"/>
        <v>-44.326107836829337</v>
      </c>
      <c r="M162">
        <f t="shared" si="23"/>
        <v>27.073320632797081</v>
      </c>
      <c r="N162">
        <f t="shared" si="27"/>
        <v>0.35979028263149992</v>
      </c>
      <c r="O162">
        <f t="shared" si="28"/>
        <v>1</v>
      </c>
      <c r="P162">
        <f t="shared" si="29"/>
        <v>16.239260235769258</v>
      </c>
    </row>
    <row r="163" spans="3:16" x14ac:dyDescent="0.25">
      <c r="C163">
        <v>0.13500000000000001</v>
      </c>
      <c r="D163">
        <f t="shared" si="20"/>
        <v>-31.504915256571262</v>
      </c>
      <c r="E163">
        <f t="shared" si="21"/>
        <v>16.51097944480107</v>
      </c>
      <c r="F163">
        <f t="shared" si="24"/>
        <v>0.36101075197162835</v>
      </c>
      <c r="G163">
        <f t="shared" si="25"/>
        <v>1</v>
      </c>
      <c r="H163">
        <f t="shared" si="26"/>
        <v>9.9204850065439167</v>
      </c>
      <c r="K163">
        <v>0.13500000000000001</v>
      </c>
      <c r="L163">
        <f t="shared" si="22"/>
        <v>-44.264915256571264</v>
      </c>
      <c r="M163">
        <f t="shared" si="23"/>
        <v>27.061091172252478</v>
      </c>
      <c r="N163">
        <f t="shared" si="27"/>
        <v>0.36217494363256464</v>
      </c>
      <c r="O163">
        <f t="shared" si="28"/>
        <v>1</v>
      </c>
      <c r="P163">
        <f t="shared" si="29"/>
        <v>16.285627803477826</v>
      </c>
    </row>
    <row r="164" spans="3:16" x14ac:dyDescent="0.25">
      <c r="C164">
        <v>0.13600000000000001</v>
      </c>
      <c r="D164">
        <f t="shared" si="20"/>
        <v>-31.467722676313183</v>
      </c>
      <c r="E164">
        <f t="shared" si="21"/>
        <v>16.503546432646658</v>
      </c>
      <c r="F164">
        <f t="shared" si="24"/>
        <v>0.36338452525303244</v>
      </c>
      <c r="G164">
        <f t="shared" si="25"/>
        <v>1</v>
      </c>
      <c r="H164">
        <f t="shared" si="26"/>
        <v>9.9485661926245772</v>
      </c>
      <c r="K164">
        <v>0.13600000000000001</v>
      </c>
      <c r="L164">
        <f t="shared" si="22"/>
        <v>-44.203722676313184</v>
      </c>
      <c r="M164">
        <f t="shared" si="23"/>
        <v>27.048861711707875</v>
      </c>
      <c r="N164">
        <f t="shared" si="27"/>
        <v>0.36455515513573122</v>
      </c>
      <c r="O164">
        <f t="shared" si="28"/>
        <v>1</v>
      </c>
      <c r="P164">
        <f t="shared" si="29"/>
        <v>16.331670736867803</v>
      </c>
    </row>
    <row r="165" spans="3:16" x14ac:dyDescent="0.25">
      <c r="C165">
        <v>0.13700000000000001</v>
      </c>
      <c r="D165">
        <f t="shared" si="20"/>
        <v>-31.430530096055104</v>
      </c>
      <c r="E165">
        <f t="shared" si="21"/>
        <v>16.496113420492243</v>
      </c>
      <c r="F165">
        <f t="shared" si="24"/>
        <v>0.36575388117507013</v>
      </c>
      <c r="G165">
        <f t="shared" si="25"/>
        <v>1</v>
      </c>
      <c r="H165">
        <f t="shared" si="26"/>
        <v>9.9764517306508367</v>
      </c>
      <c r="K165">
        <v>0.13700000000000001</v>
      </c>
      <c r="L165">
        <f t="shared" si="22"/>
        <v>-44.142530096055104</v>
      </c>
      <c r="M165">
        <f t="shared" si="23"/>
        <v>27.036632251163269</v>
      </c>
      <c r="N165">
        <f t="shared" si="27"/>
        <v>0.3669309171409999</v>
      </c>
      <c r="O165">
        <f t="shared" si="28"/>
        <v>1</v>
      </c>
      <c r="P165">
        <f t="shared" si="29"/>
        <v>16.377392108827156</v>
      </c>
    </row>
    <row r="166" spans="3:16" x14ac:dyDescent="0.25">
      <c r="C166">
        <v>0.13800000000000001</v>
      </c>
      <c r="D166">
        <f t="shared" si="20"/>
        <v>-31.393337515797029</v>
      </c>
      <c r="E166">
        <f t="shared" si="21"/>
        <v>16.488680408337832</v>
      </c>
      <c r="F166">
        <f t="shared" si="24"/>
        <v>0.36811881973774141</v>
      </c>
      <c r="G166">
        <f t="shared" si="25"/>
        <v>1</v>
      </c>
      <c r="H166">
        <f t="shared" si="26"/>
        <v>10.004143458386658</v>
      </c>
      <c r="K166">
        <v>0.13800000000000001</v>
      </c>
      <c r="L166">
        <f t="shared" si="22"/>
        <v>-44.081337515797024</v>
      </c>
      <c r="M166">
        <f t="shared" si="23"/>
        <v>27.024402790618666</v>
      </c>
      <c r="N166">
        <f t="shared" si="27"/>
        <v>0.36930222964837034</v>
      </c>
      <c r="O166">
        <f t="shared" si="28"/>
        <v>1</v>
      </c>
      <c r="P166">
        <f t="shared" si="29"/>
        <v>16.422794938771201</v>
      </c>
    </row>
    <row r="167" spans="3:16" x14ac:dyDescent="0.25">
      <c r="C167">
        <v>0.13900000000000001</v>
      </c>
      <c r="D167">
        <f t="shared" si="20"/>
        <v>-31.35614493553895</v>
      </c>
      <c r="E167">
        <f t="shared" si="21"/>
        <v>16.48124739618342</v>
      </c>
      <c r="F167">
        <f t="shared" si="24"/>
        <v>0.37047934094104662</v>
      </c>
      <c r="G167">
        <f t="shared" si="25"/>
        <v>1</v>
      </c>
      <c r="H167">
        <f t="shared" si="26"/>
        <v>10.031643181853358</v>
      </c>
      <c r="K167">
        <v>0.13900000000000001</v>
      </c>
      <c r="L167">
        <f t="shared" si="22"/>
        <v>-44.020144935538951</v>
      </c>
      <c r="M167">
        <f t="shared" si="23"/>
        <v>27.012173330074067</v>
      </c>
      <c r="N167">
        <f t="shared" si="27"/>
        <v>0.37166909265784231</v>
      </c>
      <c r="O167">
        <f t="shared" si="28"/>
        <v>1</v>
      </c>
      <c r="P167">
        <f t="shared" si="29"/>
        <v>16.467882193971775</v>
      </c>
    </row>
    <row r="168" spans="3:16" x14ac:dyDescent="0.25">
      <c r="C168">
        <v>0.14000000000000001</v>
      </c>
      <c r="D168">
        <f t="shared" si="20"/>
        <v>-31.318952355280871</v>
      </c>
      <c r="E168">
        <f t="shared" si="21"/>
        <v>16.473814384029005</v>
      </c>
      <c r="F168">
        <f t="shared" si="24"/>
        <v>0.37283544478498565</v>
      </c>
      <c r="G168">
        <f t="shared" si="25"/>
        <v>1</v>
      </c>
      <c r="H168">
        <f t="shared" si="26"/>
        <v>10.058952676112932</v>
      </c>
      <c r="K168">
        <v>0.14000000000000001</v>
      </c>
      <c r="L168">
        <f t="shared" si="22"/>
        <v>-43.958952355280871</v>
      </c>
      <c r="M168">
        <f t="shared" si="23"/>
        <v>26.99994386952946</v>
      </c>
      <c r="N168">
        <f t="shared" si="27"/>
        <v>0.37403150616941638</v>
      </c>
      <c r="O168">
        <f t="shared" si="28"/>
        <v>1</v>
      </c>
      <c r="P168">
        <f t="shared" si="29"/>
        <v>16.512656790843906</v>
      </c>
    </row>
    <row r="169" spans="3:16" x14ac:dyDescent="0.25">
      <c r="C169">
        <v>0.14099999999999999</v>
      </c>
      <c r="D169">
        <f t="shared" si="20"/>
        <v>-31.281759775022792</v>
      </c>
      <c r="E169">
        <f t="shared" si="21"/>
        <v>16.466381371874593</v>
      </c>
      <c r="F169">
        <f t="shared" si="24"/>
        <v>0.37518713126955838</v>
      </c>
      <c r="G169">
        <f t="shared" si="25"/>
        <v>1</v>
      </c>
      <c r="H169">
        <f t="shared" si="26"/>
        <v>10.086073686026479</v>
      </c>
      <c r="K169">
        <v>0.14099999999999999</v>
      </c>
      <c r="L169">
        <f t="shared" si="22"/>
        <v>-43.897759775022791</v>
      </c>
      <c r="M169">
        <f t="shared" si="23"/>
        <v>26.987714408984857</v>
      </c>
      <c r="N169">
        <f t="shared" si="27"/>
        <v>0.37638947018309221</v>
      </c>
      <c r="O169">
        <f t="shared" si="28"/>
        <v>1</v>
      </c>
      <c r="P169">
        <f t="shared" si="29"/>
        <v>16.557121596191585</v>
      </c>
    </row>
    <row r="170" spans="3:16" x14ac:dyDescent="0.25">
      <c r="C170">
        <v>0.14199999999999999</v>
      </c>
      <c r="D170">
        <f t="shared" si="20"/>
        <v>-31.244567194764713</v>
      </c>
      <c r="E170">
        <f t="shared" si="21"/>
        <v>16.458948359720182</v>
      </c>
      <c r="F170">
        <f t="shared" si="24"/>
        <v>0.37753440039476505</v>
      </c>
      <c r="G170">
        <f t="shared" si="25"/>
        <v>1</v>
      </c>
      <c r="H170">
        <f t="shared" si="26"/>
        <v>10.113007926988711</v>
      </c>
      <c r="K170">
        <v>0.14199999999999999</v>
      </c>
      <c r="L170">
        <f t="shared" si="22"/>
        <v>-43.836567194764712</v>
      </c>
      <c r="M170">
        <f t="shared" si="23"/>
        <v>26.975484948440254</v>
      </c>
      <c r="N170">
        <f t="shared" si="27"/>
        <v>0.37874298469887013</v>
      </c>
      <c r="O170">
        <f t="shared" si="28"/>
        <v>1</v>
      </c>
      <c r="P170">
        <f t="shared" si="29"/>
        <v>16.601279428414284</v>
      </c>
    </row>
    <row r="171" spans="3:16" x14ac:dyDescent="0.25">
      <c r="C171">
        <v>0.14299999999999999</v>
      </c>
      <c r="D171">
        <f t="shared" si="20"/>
        <v>-31.207374614506634</v>
      </c>
      <c r="E171">
        <f t="shared" si="21"/>
        <v>16.45151534756577</v>
      </c>
      <c r="F171">
        <f t="shared" si="24"/>
        <v>0.37987725216060519</v>
      </c>
      <c r="G171">
        <f t="shared" si="25"/>
        <v>1</v>
      </c>
      <c r="H171">
        <f t="shared" si="26"/>
        <v>10.139757085639465</v>
      </c>
      <c r="K171">
        <v>0.14299999999999999</v>
      </c>
      <c r="L171">
        <f t="shared" si="22"/>
        <v>-43.775374614506632</v>
      </c>
      <c r="M171">
        <f t="shared" si="23"/>
        <v>26.963255487895651</v>
      </c>
      <c r="N171">
        <f t="shared" si="27"/>
        <v>0.3810920497167497</v>
      </c>
      <c r="O171">
        <f t="shared" si="28"/>
        <v>1</v>
      </c>
      <c r="P171">
        <f t="shared" si="29"/>
        <v>16.645133058675643</v>
      </c>
    </row>
    <row r="172" spans="3:16" x14ac:dyDescent="0.25">
      <c r="C172">
        <v>0.14399999999999999</v>
      </c>
      <c r="D172">
        <f t="shared" si="20"/>
        <v>-31.170182034248555</v>
      </c>
      <c r="E172">
        <f t="shared" si="21"/>
        <v>16.444082335411355</v>
      </c>
      <c r="F172">
        <f t="shared" si="24"/>
        <v>0.38221568656707927</v>
      </c>
      <c r="G172">
        <f t="shared" si="25"/>
        <v>1</v>
      </c>
      <c r="H172">
        <f t="shared" si="26"/>
        <v>10.166322820553116</v>
      </c>
      <c r="K172">
        <v>0.14399999999999999</v>
      </c>
      <c r="L172">
        <f t="shared" si="22"/>
        <v>-43.714182034248559</v>
      </c>
      <c r="M172">
        <f t="shared" si="23"/>
        <v>26.951026027351048</v>
      </c>
      <c r="N172">
        <f t="shared" si="27"/>
        <v>0.38343666523673081</v>
      </c>
      <c r="O172">
        <f t="shared" si="28"/>
        <v>1</v>
      </c>
      <c r="P172">
        <f t="shared" si="29"/>
        <v>16.688685212035917</v>
      </c>
    </row>
    <row r="173" spans="3:16" x14ac:dyDescent="0.25">
      <c r="C173">
        <v>0.14499999999999999</v>
      </c>
      <c r="D173">
        <f t="shared" si="20"/>
        <v>-31.132989453990479</v>
      </c>
      <c r="E173">
        <f t="shared" si="21"/>
        <v>16.436649323256944</v>
      </c>
      <c r="F173">
        <f t="shared" si="24"/>
        <v>0.38454970361418694</v>
      </c>
      <c r="G173">
        <f t="shared" si="25"/>
        <v>1</v>
      </c>
      <c r="H173">
        <f t="shared" si="26"/>
        <v>10.19270676290666</v>
      </c>
      <c r="K173">
        <v>0.14499999999999999</v>
      </c>
      <c r="L173">
        <f t="shared" si="22"/>
        <v>-43.652989453990479</v>
      </c>
      <c r="M173">
        <f t="shared" si="23"/>
        <v>26.938796566806445</v>
      </c>
      <c r="N173">
        <f t="shared" si="27"/>
        <v>0.38577683125881423</v>
      </c>
      <c r="O173">
        <f t="shared" si="28"/>
        <v>1</v>
      </c>
      <c r="P173">
        <f t="shared" si="29"/>
        <v>16.731938568549385</v>
      </c>
    </row>
    <row r="174" spans="3:16" x14ac:dyDescent="0.25">
      <c r="C174">
        <v>0.14599999999999999</v>
      </c>
      <c r="D174">
        <f t="shared" si="20"/>
        <v>-31.0957968737324</v>
      </c>
      <c r="E174">
        <f t="shared" si="21"/>
        <v>16.429216311102532</v>
      </c>
      <c r="F174">
        <f t="shared" si="24"/>
        <v>0.38687930330192855</v>
      </c>
      <c r="G174">
        <f t="shared" si="25"/>
        <v>1</v>
      </c>
      <c r="H174">
        <f t="shared" si="26"/>
        <v>10.218910517127357</v>
      </c>
      <c r="K174">
        <v>0.14599999999999999</v>
      </c>
      <c r="L174">
        <f t="shared" si="22"/>
        <v>-43.591796873732399</v>
      </c>
      <c r="M174">
        <f t="shared" si="23"/>
        <v>26.926567106261842</v>
      </c>
      <c r="N174">
        <f t="shared" si="27"/>
        <v>0.38811254778299942</v>
      </c>
      <c r="O174">
        <f t="shared" si="28"/>
        <v>1</v>
      </c>
      <c r="P174">
        <f t="shared" si="29"/>
        <v>16.774895764328125</v>
      </c>
    </row>
    <row r="175" spans="3:16" x14ac:dyDescent="0.25">
      <c r="C175">
        <v>0.14699999999999999</v>
      </c>
      <c r="D175">
        <f t="shared" si="20"/>
        <v>-31.058604293474321</v>
      </c>
      <c r="E175">
        <f t="shared" si="21"/>
        <v>16.421783298948121</v>
      </c>
      <c r="F175">
        <f t="shared" si="24"/>
        <v>0.38920448563030385</v>
      </c>
      <c r="G175">
        <f t="shared" si="25"/>
        <v>1</v>
      </c>
      <c r="H175">
        <f t="shared" si="26"/>
        <v>10.244935661520636</v>
      </c>
      <c r="K175">
        <v>0.14699999999999999</v>
      </c>
      <c r="L175">
        <f t="shared" si="22"/>
        <v>-43.530604293474319</v>
      </c>
      <c r="M175">
        <f t="shared" si="23"/>
        <v>26.914337645717239</v>
      </c>
      <c r="N175">
        <f t="shared" si="27"/>
        <v>0.39044381480928636</v>
      </c>
      <c r="O175">
        <f t="shared" si="28"/>
        <v>1</v>
      </c>
      <c r="P175">
        <f t="shared" si="29"/>
        <v>16.81755939257344</v>
      </c>
    </row>
    <row r="176" spans="3:16" x14ac:dyDescent="0.25">
      <c r="C176">
        <v>0.14799999999999999</v>
      </c>
      <c r="D176">
        <f t="shared" si="20"/>
        <v>-31.021411713216242</v>
      </c>
      <c r="E176">
        <f t="shared" si="21"/>
        <v>16.414350286793706</v>
      </c>
      <c r="F176">
        <f t="shared" si="24"/>
        <v>0.39152525059931298</v>
      </c>
      <c r="G176">
        <f t="shared" si="25"/>
        <v>1</v>
      </c>
      <c r="H176">
        <f t="shared" si="26"/>
        <v>10.270783748879014</v>
      </c>
      <c r="K176">
        <v>0.14799999999999999</v>
      </c>
      <c r="L176">
        <f t="shared" si="22"/>
        <v>-43.469411713216246</v>
      </c>
      <c r="M176">
        <f t="shared" si="23"/>
        <v>26.902108185172636</v>
      </c>
      <c r="N176">
        <f t="shared" si="27"/>
        <v>0.39277063233767495</v>
      </c>
      <c r="O176">
        <f t="shared" si="28"/>
        <v>1</v>
      </c>
      <c r="P176">
        <f t="shared" si="29"/>
        <v>16.859932004576059</v>
      </c>
    </row>
    <row r="177" spans="3:16" x14ac:dyDescent="0.25">
      <c r="C177">
        <v>0.14899999999999999</v>
      </c>
      <c r="D177">
        <f t="shared" si="20"/>
        <v>-30.984219132958163</v>
      </c>
      <c r="E177">
        <f t="shared" si="21"/>
        <v>16.406917274639294</v>
      </c>
      <c r="F177">
        <f t="shared" si="24"/>
        <v>0.39384159820895581</v>
      </c>
      <c r="G177">
        <f t="shared" si="25"/>
        <v>1</v>
      </c>
      <c r="H177">
        <f t="shared" si="26"/>
        <v>10.296456307072745</v>
      </c>
      <c r="K177">
        <v>0.14899999999999999</v>
      </c>
      <c r="L177">
        <f t="shared" si="22"/>
        <v>-43.408219132958166</v>
      </c>
      <c r="M177">
        <f t="shared" si="23"/>
        <v>26.889878724628034</v>
      </c>
      <c r="N177">
        <f t="shared" si="27"/>
        <v>0.39509300036816575</v>
      </c>
      <c r="O177">
        <f t="shared" si="28"/>
        <v>1</v>
      </c>
      <c r="P177">
        <f t="shared" si="29"/>
        <v>16.902016110686354</v>
      </c>
    </row>
    <row r="178" spans="3:16" x14ac:dyDescent="0.25">
      <c r="C178">
        <v>0.15</v>
      </c>
      <c r="D178">
        <f t="shared" si="20"/>
        <v>-30.947026552700084</v>
      </c>
      <c r="E178">
        <f t="shared" si="21"/>
        <v>16.399484262484883</v>
      </c>
      <c r="F178">
        <f t="shared" si="24"/>
        <v>0.39615352845923235</v>
      </c>
      <c r="G178">
        <f t="shared" si="25"/>
        <v>1</v>
      </c>
      <c r="H178">
        <f t="shared" si="26"/>
        <v>10.321954839622826</v>
      </c>
      <c r="K178">
        <v>0.15</v>
      </c>
      <c r="L178">
        <f t="shared" si="22"/>
        <v>-43.347026552700086</v>
      </c>
      <c r="M178">
        <f t="shared" si="23"/>
        <v>26.877649264083431</v>
      </c>
      <c r="N178">
        <f t="shared" si="27"/>
        <v>0.3974109189007583</v>
      </c>
      <c r="O178">
        <f t="shared" si="28"/>
        <v>1</v>
      </c>
      <c r="P178">
        <f t="shared" si="29"/>
        <v>16.943814181255529</v>
      </c>
    </row>
    <row r="179" spans="3:16" x14ac:dyDescent="0.25">
      <c r="C179">
        <v>0.151</v>
      </c>
      <c r="D179">
        <f t="shared" si="20"/>
        <v>-30.909833972442009</v>
      </c>
      <c r="E179">
        <f t="shared" si="21"/>
        <v>16.392051250330468</v>
      </c>
      <c r="F179">
        <f t="shared" si="24"/>
        <v>0.39846104135014249</v>
      </c>
      <c r="G179">
        <f t="shared" si="25"/>
        <v>1</v>
      </c>
      <c r="H179">
        <f t="shared" si="26"/>
        <v>10.347280826257046</v>
      </c>
      <c r="K179">
        <v>0.151</v>
      </c>
      <c r="L179">
        <f t="shared" si="22"/>
        <v>-43.285833972442006</v>
      </c>
      <c r="M179">
        <f t="shared" si="23"/>
        <v>26.865419803538828</v>
      </c>
      <c r="N179">
        <f t="shared" si="27"/>
        <v>0.39972438793545262</v>
      </c>
      <c r="O179">
        <f t="shared" si="28"/>
        <v>1</v>
      </c>
      <c r="P179">
        <f t="shared" si="29"/>
        <v>16.985328647549029</v>
      </c>
    </row>
    <row r="180" spans="3:16" x14ac:dyDescent="0.25">
      <c r="C180">
        <v>0.152</v>
      </c>
      <c r="D180">
        <f t="shared" si="20"/>
        <v>-30.87264139218393</v>
      </c>
      <c r="E180">
        <f t="shared" si="21"/>
        <v>16.384618238176056</v>
      </c>
      <c r="F180">
        <f t="shared" si="24"/>
        <v>0.40076413688168666</v>
      </c>
      <c r="G180">
        <f t="shared" si="25"/>
        <v>1</v>
      </c>
      <c r="H180">
        <f t="shared" si="26"/>
        <v>10.372435723449678</v>
      </c>
      <c r="K180">
        <v>0.152</v>
      </c>
      <c r="L180">
        <f t="shared" si="22"/>
        <v>-43.224641392183926</v>
      </c>
      <c r="M180">
        <f t="shared" si="23"/>
        <v>26.853190342994225</v>
      </c>
      <c r="N180">
        <f t="shared" si="27"/>
        <v>0.4020334074722488</v>
      </c>
      <c r="O180">
        <f t="shared" si="28"/>
        <v>1</v>
      </c>
      <c r="P180">
        <f t="shared" si="29"/>
        <v>17.026561902632995</v>
      </c>
    </row>
    <row r="181" spans="3:16" x14ac:dyDescent="0.25">
      <c r="C181">
        <v>0.153</v>
      </c>
      <c r="D181">
        <f t="shared" si="20"/>
        <v>-30.835448811925851</v>
      </c>
      <c r="E181">
        <f t="shared" si="21"/>
        <v>16.377185226021645</v>
      </c>
      <c r="F181">
        <f t="shared" si="24"/>
        <v>0.40306281505386454</v>
      </c>
      <c r="G181">
        <f t="shared" si="25"/>
        <v>1</v>
      </c>
      <c r="H181">
        <f t="shared" si="26"/>
        <v>10.397420964945356</v>
      </c>
      <c r="K181">
        <v>0.153</v>
      </c>
      <c r="L181">
        <f t="shared" si="22"/>
        <v>-43.163448811925846</v>
      </c>
      <c r="M181">
        <f t="shared" si="23"/>
        <v>26.840960882449618</v>
      </c>
      <c r="N181">
        <f t="shared" si="27"/>
        <v>0.40433797751114697</v>
      </c>
      <c r="O181">
        <f t="shared" si="28"/>
        <v>1</v>
      </c>
      <c r="P181">
        <f t="shared" si="29"/>
        <v>17.067516302234857</v>
      </c>
    </row>
    <row r="182" spans="3:16" x14ac:dyDescent="0.25">
      <c r="C182">
        <v>0.154</v>
      </c>
      <c r="D182">
        <f t="shared" si="20"/>
        <v>-30.798256231667771</v>
      </c>
      <c r="E182">
        <f t="shared" si="21"/>
        <v>16.36975221386723</v>
      </c>
      <c r="F182">
        <f t="shared" si="24"/>
        <v>0.40535707586667613</v>
      </c>
      <c r="G182">
        <f t="shared" si="25"/>
        <v>1</v>
      </c>
      <c r="H182">
        <f t="shared" si="26"/>
        <v>10.422237962267783</v>
      </c>
      <c r="K182">
        <v>0.154</v>
      </c>
      <c r="L182">
        <f t="shared" si="22"/>
        <v>-43.102256231667774</v>
      </c>
      <c r="M182">
        <f t="shared" si="23"/>
        <v>26.828731421905019</v>
      </c>
      <c r="N182">
        <f t="shared" si="27"/>
        <v>0.40663809805214657</v>
      </c>
      <c r="O182">
        <f t="shared" si="28"/>
        <v>1</v>
      </c>
      <c r="P182">
        <f t="shared" si="29"/>
        <v>17.108194165578883</v>
      </c>
    </row>
    <row r="183" spans="3:16" x14ac:dyDescent="0.25">
      <c r="C183">
        <v>0.155</v>
      </c>
      <c r="D183">
        <f t="shared" si="20"/>
        <v>-30.761063651409692</v>
      </c>
      <c r="E183">
        <f t="shared" si="21"/>
        <v>16.362319201712818</v>
      </c>
      <c r="F183">
        <f t="shared" si="24"/>
        <v>0.40764691932012154</v>
      </c>
      <c r="G183">
        <f t="shared" si="25"/>
        <v>1</v>
      </c>
      <c r="H183">
        <f t="shared" si="26"/>
        <v>10.446888105213745</v>
      </c>
      <c r="K183">
        <v>0.155</v>
      </c>
      <c r="L183">
        <f t="shared" si="22"/>
        <v>-43.041063651409694</v>
      </c>
      <c r="M183">
        <f t="shared" si="23"/>
        <v>26.816501961360416</v>
      </c>
      <c r="N183">
        <f t="shared" si="27"/>
        <v>0.40893376909524837</v>
      </c>
      <c r="O183">
        <f t="shared" si="28"/>
        <v>1</v>
      </c>
      <c r="P183">
        <f t="shared" si="29"/>
        <v>17.148597776197686</v>
      </c>
    </row>
    <row r="184" spans="3:16" x14ac:dyDescent="0.25">
      <c r="C184">
        <v>0.156</v>
      </c>
      <c r="D184">
        <f t="shared" si="20"/>
        <v>-30.723871071151613</v>
      </c>
      <c r="E184">
        <f t="shared" si="21"/>
        <v>16.354886189558407</v>
      </c>
      <c r="F184">
        <f t="shared" si="24"/>
        <v>0.40993234541420076</v>
      </c>
      <c r="G184">
        <f t="shared" si="25"/>
        <v>1</v>
      </c>
      <c r="H184">
        <f t="shared" si="26"/>
        <v>10.471372762332955</v>
      </c>
      <c r="K184">
        <v>0.156</v>
      </c>
      <c r="L184">
        <f t="shared" si="22"/>
        <v>-42.979871071151614</v>
      </c>
      <c r="M184">
        <f t="shared" si="23"/>
        <v>26.804272500815809</v>
      </c>
      <c r="N184">
        <f t="shared" si="27"/>
        <v>0.41122499064045193</v>
      </c>
      <c r="O184">
        <f t="shared" si="28"/>
        <v>1</v>
      </c>
      <c r="P184">
        <f t="shared" si="29"/>
        <v>17.188729382720407</v>
      </c>
    </row>
    <row r="185" spans="3:16" x14ac:dyDescent="0.25">
      <c r="C185">
        <v>0.157</v>
      </c>
      <c r="D185">
        <f t="shared" si="20"/>
        <v>-30.686678490893534</v>
      </c>
      <c r="E185">
        <f t="shared" si="21"/>
        <v>16.347453177403995</v>
      </c>
      <c r="F185">
        <f t="shared" si="24"/>
        <v>0.41221335414891369</v>
      </c>
      <c r="G185">
        <f t="shared" si="25"/>
        <v>1</v>
      </c>
      <c r="H185">
        <f t="shared" si="26"/>
        <v>10.495693281394244</v>
      </c>
      <c r="K185">
        <v>0.157</v>
      </c>
      <c r="L185">
        <f t="shared" si="22"/>
        <v>-42.918678490893534</v>
      </c>
      <c r="M185">
        <f t="shared" si="23"/>
        <v>26.792043040271206</v>
      </c>
      <c r="N185">
        <f t="shared" si="27"/>
        <v>0.41351176268775747</v>
      </c>
      <c r="O185">
        <f t="shared" si="28"/>
        <v>1</v>
      </c>
      <c r="P185">
        <f t="shared" si="29"/>
        <v>17.228591199638515</v>
      </c>
    </row>
    <row r="186" spans="3:16" x14ac:dyDescent="0.25">
      <c r="C186">
        <v>0.158</v>
      </c>
      <c r="D186">
        <f t="shared" si="20"/>
        <v>-30.649485910635455</v>
      </c>
      <c r="E186">
        <f t="shared" si="21"/>
        <v>16.34002016524958</v>
      </c>
      <c r="F186">
        <f t="shared" si="24"/>
        <v>0.41448994552426033</v>
      </c>
      <c r="G186">
        <f t="shared" si="25"/>
        <v>1</v>
      </c>
      <c r="H186">
        <f t="shared" si="26"/>
        <v>10.519850989838568</v>
      </c>
      <c r="K186">
        <v>0.158</v>
      </c>
      <c r="L186">
        <f t="shared" si="22"/>
        <v>-42.857485910635461</v>
      </c>
      <c r="M186">
        <f t="shared" si="23"/>
        <v>26.779813579726603</v>
      </c>
      <c r="N186">
        <f t="shared" si="27"/>
        <v>0.41579408523716443</v>
      </c>
      <c r="O186">
        <f t="shared" si="28"/>
        <v>1</v>
      </c>
      <c r="P186">
        <f t="shared" si="29"/>
        <v>17.268185408049884</v>
      </c>
    </row>
    <row r="187" spans="3:16" x14ac:dyDescent="0.25">
      <c r="C187">
        <v>0.159</v>
      </c>
      <c r="D187">
        <f t="shared" si="20"/>
        <v>-30.612293330377376</v>
      </c>
      <c r="E187">
        <f t="shared" si="21"/>
        <v>16.332587153095169</v>
      </c>
      <c r="F187">
        <f t="shared" si="24"/>
        <v>0.41676211954024078</v>
      </c>
      <c r="G187">
        <f t="shared" si="25"/>
        <v>1</v>
      </c>
      <c r="H187">
        <f t="shared" si="26"/>
        <v>10.543847195219277</v>
      </c>
      <c r="K187">
        <v>0.159</v>
      </c>
      <c r="L187">
        <f t="shared" si="22"/>
        <v>-42.796293330377381</v>
      </c>
      <c r="M187">
        <f t="shared" si="23"/>
        <v>26.767584119182001</v>
      </c>
      <c r="N187">
        <f t="shared" si="27"/>
        <v>0.41807195828867361</v>
      </c>
      <c r="O187">
        <f t="shared" si="28"/>
        <v>1</v>
      </c>
      <c r="P187">
        <f t="shared" si="29"/>
        <v>17.307514156382027</v>
      </c>
    </row>
    <row r="188" spans="3:16" x14ac:dyDescent="0.25">
      <c r="C188">
        <v>0.16</v>
      </c>
      <c r="D188">
        <f t="shared" si="20"/>
        <v>-30.575100750119301</v>
      </c>
      <c r="E188">
        <f t="shared" si="21"/>
        <v>16.325154140940757</v>
      </c>
      <c r="F188">
        <f t="shared" si="24"/>
        <v>0.41902987619685472</v>
      </c>
      <c r="G188">
        <f t="shared" si="25"/>
        <v>1</v>
      </c>
      <c r="H188">
        <f t="shared" si="26"/>
        <v>10.567683185630054</v>
      </c>
      <c r="K188">
        <v>0.16</v>
      </c>
      <c r="L188">
        <f t="shared" si="22"/>
        <v>-42.735100750119301</v>
      </c>
      <c r="M188">
        <f t="shared" si="23"/>
        <v>26.755354658637398</v>
      </c>
      <c r="N188">
        <f t="shared" si="27"/>
        <v>0.42034538184228465</v>
      </c>
      <c r="O188">
        <f t="shared" si="28"/>
        <v>1</v>
      </c>
      <c r="P188">
        <f t="shared" si="29"/>
        <v>17.34657956109503</v>
      </c>
    </row>
    <row r="189" spans="3:16" x14ac:dyDescent="0.25">
      <c r="C189">
        <v>0.161</v>
      </c>
      <c r="D189">
        <f t="shared" si="20"/>
        <v>-30.537908169861222</v>
      </c>
      <c r="E189">
        <f t="shared" si="21"/>
        <v>16.317721128786346</v>
      </c>
      <c r="F189">
        <f t="shared" si="24"/>
        <v>0.4212932154941027</v>
      </c>
      <c r="G189">
        <f t="shared" si="25"/>
        <v>1</v>
      </c>
      <c r="H189">
        <f t="shared" si="26"/>
        <v>10.59136023012104</v>
      </c>
      <c r="K189">
        <v>0.161</v>
      </c>
      <c r="L189">
        <f t="shared" si="22"/>
        <v>-42.673908169861221</v>
      </c>
      <c r="M189">
        <f t="shared" si="23"/>
        <v>26.743125198092791</v>
      </c>
      <c r="N189">
        <f t="shared" si="27"/>
        <v>0.42261435589799745</v>
      </c>
      <c r="O189">
        <f t="shared" si="28"/>
        <v>1</v>
      </c>
      <c r="P189">
        <f t="shared" si="29"/>
        <v>17.385383707365062</v>
      </c>
    </row>
    <row r="190" spans="3:16" x14ac:dyDescent="0.25">
      <c r="C190">
        <v>0.16200000000000001</v>
      </c>
      <c r="D190">
        <f t="shared" si="20"/>
        <v>-30.500715589603143</v>
      </c>
      <c r="E190">
        <f t="shared" si="21"/>
        <v>16.310288116631931</v>
      </c>
      <c r="F190">
        <f t="shared" si="24"/>
        <v>0.42355213743198439</v>
      </c>
      <c r="G190">
        <f t="shared" si="25"/>
        <v>1</v>
      </c>
      <c r="H190">
        <f t="shared" si="26"/>
        <v>10.614879579103413</v>
      </c>
      <c r="K190">
        <v>0.16200000000000001</v>
      </c>
      <c r="L190">
        <f t="shared" si="22"/>
        <v>-42.612715589603141</v>
      </c>
      <c r="M190">
        <f t="shared" si="23"/>
        <v>26.730895737548188</v>
      </c>
      <c r="N190">
        <f t="shared" si="27"/>
        <v>0.42487888045581212</v>
      </c>
      <c r="O190">
        <f t="shared" si="28"/>
        <v>1</v>
      </c>
      <c r="P190">
        <f t="shared" si="29"/>
        <v>17.423928649748991</v>
      </c>
    </row>
    <row r="191" spans="3:16" x14ac:dyDescent="0.25">
      <c r="C191">
        <v>0.16300000000000001</v>
      </c>
      <c r="D191">
        <f t="shared" si="20"/>
        <v>-30.463523009345064</v>
      </c>
      <c r="E191">
        <f t="shared" si="21"/>
        <v>16.302855104477519</v>
      </c>
      <c r="F191">
        <f t="shared" si="24"/>
        <v>0.42580664201049978</v>
      </c>
      <c r="G191">
        <f t="shared" si="25"/>
        <v>1</v>
      </c>
      <c r="H191">
        <f t="shared" si="26"/>
        <v>10.638242464742923</v>
      </c>
      <c r="K191">
        <v>0.16300000000000001</v>
      </c>
      <c r="L191">
        <f t="shared" si="22"/>
        <v>-42.551523009345061</v>
      </c>
      <c r="M191">
        <f t="shared" si="23"/>
        <v>26.718666277003585</v>
      </c>
      <c r="N191">
        <f t="shared" si="27"/>
        <v>0.42713895551572856</v>
      </c>
      <c r="O191">
        <f t="shared" si="28"/>
        <v>1</v>
      </c>
      <c r="P191">
        <f t="shared" si="29"/>
        <v>17.462216412830795</v>
      </c>
    </row>
    <row r="192" spans="3:16" x14ac:dyDescent="0.25">
      <c r="C192">
        <v>0.16400000000000001</v>
      </c>
      <c r="D192">
        <f t="shared" si="20"/>
        <v>-30.426330429086985</v>
      </c>
      <c r="E192">
        <f t="shared" si="21"/>
        <v>16.295422092323108</v>
      </c>
      <c r="F192">
        <f t="shared" si="24"/>
        <v>0.4280567292296491</v>
      </c>
      <c r="G192">
        <f t="shared" si="25"/>
        <v>1</v>
      </c>
      <c r="H192">
        <f t="shared" si="26"/>
        <v>10.661450101342689</v>
      </c>
      <c r="K192">
        <v>0.16400000000000001</v>
      </c>
      <c r="L192">
        <f t="shared" si="22"/>
        <v>-42.490330429086981</v>
      </c>
      <c r="M192">
        <f t="shared" si="23"/>
        <v>26.706436816458982</v>
      </c>
      <c r="N192">
        <f t="shared" si="27"/>
        <v>0.42939458107774697</v>
      </c>
      <c r="O192">
        <f t="shared" si="28"/>
        <v>1</v>
      </c>
      <c r="P192">
        <f t="shared" si="29"/>
        <v>17.500248991850341</v>
      </c>
    </row>
    <row r="193" spans="3:16" x14ac:dyDescent="0.25">
      <c r="C193">
        <v>0.16500000000000001</v>
      </c>
      <c r="D193">
        <f t="shared" si="20"/>
        <v>-30.389137848828906</v>
      </c>
      <c r="E193">
        <f t="shared" si="21"/>
        <v>16.287989080168693</v>
      </c>
      <c r="F193">
        <f t="shared" si="24"/>
        <v>0.43030239908943202</v>
      </c>
      <c r="G193">
        <f t="shared" si="25"/>
        <v>1</v>
      </c>
      <c r="H193">
        <f t="shared" si="26"/>
        <v>10.684503685715628</v>
      </c>
      <c r="K193">
        <v>0.16500000000000001</v>
      </c>
      <c r="L193">
        <f t="shared" si="22"/>
        <v>-42.429137848828908</v>
      </c>
      <c r="M193">
        <f t="shared" si="23"/>
        <v>26.694207355914379</v>
      </c>
      <c r="N193">
        <f t="shared" si="27"/>
        <v>0.43164575714186693</v>
      </c>
      <c r="O193">
        <f t="shared" si="28"/>
        <v>1</v>
      </c>
      <c r="P193">
        <f t="shared" si="29"/>
        <v>17.538028353315188</v>
      </c>
    </row>
    <row r="194" spans="3:16" x14ac:dyDescent="0.25">
      <c r="C194">
        <v>0.16600000000000001</v>
      </c>
      <c r="D194">
        <f t="shared" si="20"/>
        <v>-30.35194526857083</v>
      </c>
      <c r="E194">
        <f t="shared" si="21"/>
        <v>16.280556068014281</v>
      </c>
      <c r="F194">
        <f t="shared" si="24"/>
        <v>0.43254365158984864</v>
      </c>
      <c r="G194">
        <f t="shared" si="25"/>
        <v>1</v>
      </c>
      <c r="H194">
        <f t="shared" si="26"/>
        <v>10.707404397546881</v>
      </c>
      <c r="K194">
        <v>0.16600000000000001</v>
      </c>
      <c r="L194">
        <f t="shared" si="22"/>
        <v>-42.367945268570828</v>
      </c>
      <c r="M194">
        <f t="shared" si="23"/>
        <v>26.681977895369776</v>
      </c>
      <c r="N194">
        <f t="shared" si="27"/>
        <v>0.43389248370808897</v>
      </c>
      <c r="O194">
        <f t="shared" si="28"/>
        <v>1</v>
      </c>
      <c r="P194">
        <f t="shared" si="29"/>
        <v>17.575556435595885</v>
      </c>
    </row>
    <row r="195" spans="3:16" x14ac:dyDescent="0.25">
      <c r="C195">
        <v>0.16700000000000001</v>
      </c>
      <c r="D195">
        <f t="shared" si="20"/>
        <v>-30.314752688312751</v>
      </c>
      <c r="E195">
        <f t="shared" si="21"/>
        <v>16.27312305585987</v>
      </c>
      <c r="F195">
        <f t="shared" si="24"/>
        <v>0.43478048673089909</v>
      </c>
      <c r="G195">
        <f t="shared" si="25"/>
        <v>1</v>
      </c>
      <c r="H195">
        <f t="shared" si="26"/>
        <v>10.730153399746525</v>
      </c>
      <c r="K195">
        <v>0.16700000000000001</v>
      </c>
      <c r="L195">
        <f t="shared" si="22"/>
        <v>-42.306752688312748</v>
      </c>
      <c r="M195">
        <f t="shared" si="23"/>
        <v>26.669748434825173</v>
      </c>
      <c r="N195">
        <f t="shared" si="27"/>
        <v>0.43613476077641289</v>
      </c>
      <c r="O195">
        <f t="shared" si="28"/>
        <v>1</v>
      </c>
      <c r="P195">
        <f t="shared" si="29"/>
        <v>17.612835149505361</v>
      </c>
    </row>
    <row r="196" spans="3:16" x14ac:dyDescent="0.25">
      <c r="C196">
        <v>0.16800000000000001</v>
      </c>
      <c r="D196">
        <f t="shared" si="20"/>
        <v>-30.277560108054672</v>
      </c>
      <c r="E196">
        <f t="shared" si="21"/>
        <v>16.265690043705455</v>
      </c>
      <c r="F196">
        <f t="shared" si="24"/>
        <v>0.43701290451258334</v>
      </c>
      <c r="G196">
        <f t="shared" si="25"/>
        <v>1</v>
      </c>
      <c r="H196">
        <f t="shared" si="26"/>
        <v>10.75275183879292</v>
      </c>
      <c r="K196">
        <v>0.16800000000000001</v>
      </c>
      <c r="L196">
        <f t="shared" si="22"/>
        <v>-42.245560108054669</v>
      </c>
      <c r="M196">
        <f t="shared" si="23"/>
        <v>26.65751897428057</v>
      </c>
      <c r="N196">
        <f t="shared" si="27"/>
        <v>0.43837258834683868</v>
      </c>
      <c r="O196">
        <f t="shared" si="28"/>
        <v>1</v>
      </c>
      <c r="P196">
        <f t="shared" si="29"/>
        <v>17.649866378862939</v>
      </c>
    </row>
    <row r="197" spans="3:16" x14ac:dyDescent="0.25">
      <c r="C197">
        <v>0.16900000000000001</v>
      </c>
      <c r="D197">
        <f t="shared" si="20"/>
        <v>-30.240367527796593</v>
      </c>
      <c r="E197">
        <f t="shared" si="21"/>
        <v>16.258257031551043</v>
      </c>
      <c r="F197">
        <f t="shared" si="24"/>
        <v>0.43924090493490142</v>
      </c>
      <c r="G197">
        <f t="shared" si="25"/>
        <v>1</v>
      </c>
      <c r="H197">
        <f t="shared" si="26"/>
        <v>10.775200845066987</v>
      </c>
      <c r="K197">
        <v>0.16900000000000001</v>
      </c>
      <c r="L197">
        <f t="shared" si="22"/>
        <v>-42.184367527796596</v>
      </c>
      <c r="M197">
        <f t="shared" si="23"/>
        <v>26.645289513735968</v>
      </c>
      <c r="N197">
        <f t="shared" si="27"/>
        <v>0.440605966419366</v>
      </c>
      <c r="O197">
        <f t="shared" si="28"/>
        <v>1</v>
      </c>
      <c r="P197">
        <f t="shared" si="29"/>
        <v>17.68665198104339</v>
      </c>
    </row>
    <row r="198" spans="3:16" x14ac:dyDescent="0.25">
      <c r="C198">
        <v>0.17</v>
      </c>
      <c r="D198">
        <f t="shared" si="20"/>
        <v>-30.203174947538514</v>
      </c>
      <c r="E198">
        <f t="shared" si="21"/>
        <v>16.250824019396632</v>
      </c>
      <c r="F198">
        <f t="shared" si="24"/>
        <v>0.44146448799785321</v>
      </c>
      <c r="G198">
        <f t="shared" si="25"/>
        <v>1</v>
      </c>
      <c r="H198">
        <f t="shared" si="26"/>
        <v>10.797501533177693</v>
      </c>
      <c r="K198">
        <v>0.17</v>
      </c>
      <c r="L198">
        <f t="shared" si="22"/>
        <v>-42.123174947538516</v>
      </c>
      <c r="M198">
        <f t="shared" si="23"/>
        <v>26.633060053191365</v>
      </c>
      <c r="N198">
        <f t="shared" si="27"/>
        <v>0.44283489499399542</v>
      </c>
      <c r="O198">
        <f t="shared" si="28"/>
        <v>1</v>
      </c>
      <c r="P198">
        <f t="shared" si="29"/>
        <v>17.723193787511658</v>
      </c>
    </row>
    <row r="199" spans="3:16" x14ac:dyDescent="0.25">
      <c r="C199">
        <v>0.17100000000000001</v>
      </c>
      <c r="D199">
        <f t="shared" si="20"/>
        <v>-30.165982367280435</v>
      </c>
      <c r="E199">
        <f t="shared" si="21"/>
        <v>16.243391007242217</v>
      </c>
      <c r="F199">
        <f t="shared" si="24"/>
        <v>0.4436836537014387</v>
      </c>
      <c r="G199">
        <f t="shared" si="25"/>
        <v>1</v>
      </c>
      <c r="H199">
        <f t="shared" si="26"/>
        <v>10.819655002279058</v>
      </c>
      <c r="K199">
        <v>0.17100000000000001</v>
      </c>
      <c r="L199">
        <f t="shared" si="22"/>
        <v>-42.061982367280436</v>
      </c>
      <c r="M199">
        <f t="shared" si="23"/>
        <v>26.620830592646762</v>
      </c>
      <c r="N199">
        <f t="shared" si="27"/>
        <v>0.44505937407072671</v>
      </c>
      <c r="O199">
        <f t="shared" si="28"/>
        <v>1</v>
      </c>
      <c r="P199">
        <f t="shared" si="29"/>
        <v>17.759493604343518</v>
      </c>
    </row>
    <row r="200" spans="3:16" x14ac:dyDescent="0.25">
      <c r="C200">
        <v>0.17199999999999999</v>
      </c>
      <c r="D200">
        <f t="shared" si="20"/>
        <v>-30.128789787022356</v>
      </c>
      <c r="E200">
        <f t="shared" si="21"/>
        <v>16.235957995087805</v>
      </c>
      <c r="F200">
        <f t="shared" si="24"/>
        <v>0.445898402045658</v>
      </c>
      <c r="G200">
        <f t="shared" si="25"/>
        <v>1</v>
      </c>
      <c r="H200">
        <f t="shared" si="26"/>
        <v>10.841662336378926</v>
      </c>
      <c r="K200">
        <v>0.17199999999999999</v>
      </c>
      <c r="L200">
        <f t="shared" si="22"/>
        <v>-42.000789787022356</v>
      </c>
      <c r="M200">
        <f t="shared" si="23"/>
        <v>26.608601132102159</v>
      </c>
      <c r="N200">
        <f t="shared" si="27"/>
        <v>0.44727940364955987</v>
      </c>
      <c r="O200">
        <f t="shared" si="28"/>
        <v>1</v>
      </c>
      <c r="P200">
        <f t="shared" si="29"/>
        <v>17.795553212732813</v>
      </c>
    </row>
    <row r="201" spans="3:16" x14ac:dyDescent="0.25">
      <c r="C201">
        <v>0.17299999999999999</v>
      </c>
      <c r="D201">
        <f t="shared" si="20"/>
        <v>-30.091597206764281</v>
      </c>
      <c r="E201">
        <f t="shared" si="21"/>
        <v>16.228524982933394</v>
      </c>
      <c r="F201">
        <f t="shared" si="24"/>
        <v>0.44810873303051091</v>
      </c>
      <c r="G201">
        <f t="shared" si="25"/>
        <v>1</v>
      </c>
      <c r="H201">
        <f t="shared" si="26"/>
        <v>10.863524604639748</v>
      </c>
      <c r="K201">
        <v>0.17299999999999999</v>
      </c>
      <c r="L201">
        <f t="shared" si="22"/>
        <v>-41.939597206764276</v>
      </c>
      <c r="M201">
        <f t="shared" si="23"/>
        <v>26.596371671557556</v>
      </c>
      <c r="N201">
        <f t="shared" si="27"/>
        <v>0.44949498373049479</v>
      </c>
      <c r="O201">
        <f t="shared" si="28"/>
        <v>1</v>
      </c>
      <c r="P201">
        <f t="shared" si="29"/>
        <v>17.831374369485545</v>
      </c>
    </row>
    <row r="202" spans="3:16" x14ac:dyDescent="0.25">
      <c r="C202">
        <v>0.17399999999999999</v>
      </c>
      <c r="D202">
        <f t="shared" si="20"/>
        <v>-30.054404626506201</v>
      </c>
      <c r="E202">
        <f t="shared" si="21"/>
        <v>16.221091970778982</v>
      </c>
      <c r="F202">
        <f t="shared" si="24"/>
        <v>0.45031464665599774</v>
      </c>
      <c r="G202">
        <f t="shared" si="25"/>
        <v>1</v>
      </c>
      <c r="H202">
        <f t="shared" si="26"/>
        <v>10.885242861671692</v>
      </c>
      <c r="K202">
        <v>0.17399999999999999</v>
      </c>
      <c r="L202">
        <f t="shared" si="22"/>
        <v>-41.878404626506203</v>
      </c>
      <c r="M202">
        <f t="shared" si="23"/>
        <v>26.584142211012953</v>
      </c>
      <c r="N202">
        <f t="shared" si="27"/>
        <v>0.45170611431353136</v>
      </c>
      <c r="O202">
        <f t="shared" si="28"/>
        <v>1</v>
      </c>
      <c r="P202">
        <f t="shared" si="29"/>
        <v>17.866958807501323</v>
      </c>
    </row>
    <row r="203" spans="3:16" x14ac:dyDescent="0.25">
      <c r="C203">
        <v>0.17499999999999999</v>
      </c>
      <c r="D203">
        <f t="shared" si="20"/>
        <v>-30.017212046248122</v>
      </c>
      <c r="E203">
        <f t="shared" si="21"/>
        <v>16.213658958624571</v>
      </c>
      <c r="F203">
        <f t="shared" si="24"/>
        <v>0.45251614292211828</v>
      </c>
      <c r="G203">
        <f t="shared" si="25"/>
        <v>1</v>
      </c>
      <c r="H203">
        <f t="shared" si="26"/>
        <v>10.906818147818242</v>
      </c>
      <c r="K203">
        <v>0.17499999999999999</v>
      </c>
      <c r="L203">
        <f t="shared" si="22"/>
        <v>-41.817212046248123</v>
      </c>
      <c r="M203">
        <f t="shared" si="23"/>
        <v>26.57191275046835</v>
      </c>
      <c r="N203">
        <f t="shared" si="27"/>
        <v>0.45391279539867002</v>
      </c>
      <c r="O203">
        <f t="shared" si="28"/>
        <v>1</v>
      </c>
      <c r="P203">
        <f t="shared" si="29"/>
        <v>17.90230823624254</v>
      </c>
    </row>
    <row r="204" spans="3:16" x14ac:dyDescent="0.25">
      <c r="C204">
        <v>0.17599999999999999</v>
      </c>
      <c r="D204">
        <f t="shared" si="20"/>
        <v>-29.980019465990043</v>
      </c>
      <c r="E204">
        <f t="shared" si="21"/>
        <v>16.206225946470155</v>
      </c>
      <c r="F204">
        <f t="shared" si="24"/>
        <v>0.45471322182887264</v>
      </c>
      <c r="G204">
        <f t="shared" si="25"/>
        <v>1</v>
      </c>
      <c r="H204">
        <f t="shared" si="26"/>
        <v>10.928251489434569</v>
      </c>
      <c r="K204">
        <v>0.17599999999999999</v>
      </c>
      <c r="L204">
        <f t="shared" si="22"/>
        <v>-41.756019465990043</v>
      </c>
      <c r="M204">
        <f t="shared" si="23"/>
        <v>26.559683289923747</v>
      </c>
      <c r="N204">
        <f t="shared" si="27"/>
        <v>0.45611502698591055</v>
      </c>
      <c r="O204">
        <f t="shared" si="28"/>
        <v>1</v>
      </c>
      <c r="P204">
        <f t="shared" si="29"/>
        <v>17.937424342191608</v>
      </c>
    </row>
    <row r="205" spans="3:16" x14ac:dyDescent="0.25">
      <c r="C205">
        <v>0.17699999999999999</v>
      </c>
      <c r="D205">
        <f t="shared" si="20"/>
        <v>-29.942826885731964</v>
      </c>
      <c r="E205">
        <f t="shared" si="21"/>
        <v>16.198792934315744</v>
      </c>
      <c r="F205">
        <f t="shared" si="24"/>
        <v>0.4569058833762607</v>
      </c>
      <c r="G205">
        <f t="shared" si="25"/>
        <v>1</v>
      </c>
      <c r="H205">
        <f t="shared" si="26"/>
        <v>10.949543899158897</v>
      </c>
      <c r="K205">
        <v>0.17699999999999999</v>
      </c>
      <c r="L205">
        <f t="shared" si="22"/>
        <v>-41.694826885731963</v>
      </c>
      <c r="M205">
        <f t="shared" si="23"/>
        <v>26.54745382937914</v>
      </c>
      <c r="N205">
        <f t="shared" si="27"/>
        <v>0.45831280907525285</v>
      </c>
      <c r="O205">
        <f t="shared" si="28"/>
        <v>1</v>
      </c>
      <c r="P205">
        <f t="shared" si="29"/>
        <v>17.972308789296719</v>
      </c>
    </row>
    <row r="206" spans="3:16" x14ac:dyDescent="0.25">
      <c r="C206">
        <v>0.17799999999999999</v>
      </c>
      <c r="D206">
        <f t="shared" si="20"/>
        <v>-29.905634305473885</v>
      </c>
      <c r="E206">
        <f t="shared" si="21"/>
        <v>16.191359922161332</v>
      </c>
      <c r="F206">
        <f t="shared" si="24"/>
        <v>0.45909412756428247</v>
      </c>
      <c r="G206">
        <f t="shared" si="25"/>
        <v>1</v>
      </c>
      <c r="H206">
        <f t="shared" si="26"/>
        <v>10.97069637617704</v>
      </c>
      <c r="K206">
        <v>0.17799999999999999</v>
      </c>
      <c r="L206">
        <f t="shared" si="22"/>
        <v>-41.63363430547389</v>
      </c>
      <c r="M206">
        <f t="shared" si="23"/>
        <v>26.535224368834541</v>
      </c>
      <c r="N206">
        <f t="shared" si="27"/>
        <v>0.46050614166669679</v>
      </c>
      <c r="O206">
        <f t="shared" si="28"/>
        <v>1</v>
      </c>
      <c r="P206">
        <f t="shared" si="29"/>
        <v>18.006963219406419</v>
      </c>
    </row>
    <row r="207" spans="3:16" x14ac:dyDescent="0.25">
      <c r="C207">
        <v>0.17899999999999999</v>
      </c>
      <c r="D207">
        <f t="shared" si="20"/>
        <v>-29.86844172521581</v>
      </c>
      <c r="E207">
        <f t="shared" si="21"/>
        <v>16.183926910006917</v>
      </c>
      <c r="F207">
        <f t="shared" si="24"/>
        <v>0.46127795439293795</v>
      </c>
      <c r="G207">
        <f t="shared" si="25"/>
        <v>1</v>
      </c>
      <c r="H207">
        <f t="shared" si="26"/>
        <v>10.991709906480368</v>
      </c>
      <c r="K207">
        <v>0.17899999999999999</v>
      </c>
      <c r="L207">
        <f t="shared" si="22"/>
        <v>-41.57244172521581</v>
      </c>
      <c r="M207">
        <f t="shared" si="23"/>
        <v>26.522994908289935</v>
      </c>
      <c r="N207">
        <f t="shared" si="27"/>
        <v>0.46269502476024282</v>
      </c>
      <c r="O207">
        <f t="shared" si="28"/>
        <v>1</v>
      </c>
      <c r="P207">
        <f t="shared" si="29"/>
        <v>18.041389252693349</v>
      </c>
    </row>
    <row r="208" spans="3:16" x14ac:dyDescent="0.25">
      <c r="C208">
        <v>0.18</v>
      </c>
      <c r="D208">
        <f t="shared" si="20"/>
        <v>-29.831249144957731</v>
      </c>
      <c r="E208">
        <f t="shared" si="21"/>
        <v>16.176493897852506</v>
      </c>
      <c r="F208">
        <f t="shared" si="24"/>
        <v>0.46345736386222736</v>
      </c>
      <c r="G208">
        <f t="shared" si="25"/>
        <v>1</v>
      </c>
      <c r="H208">
        <f t="shared" si="26"/>
        <v>11.012585463117391</v>
      </c>
      <c r="K208">
        <v>0.18</v>
      </c>
      <c r="L208">
        <f t="shared" si="22"/>
        <v>-41.511249144957731</v>
      </c>
      <c r="M208">
        <f t="shared" si="23"/>
        <v>26.510765447745332</v>
      </c>
      <c r="N208">
        <f t="shared" si="27"/>
        <v>0.46487945835589073</v>
      </c>
      <c r="O208">
        <f t="shared" si="28"/>
        <v>1</v>
      </c>
      <c r="P208">
        <f t="shared" si="29"/>
        <v>18.075588488067471</v>
      </c>
    </row>
    <row r="209" spans="3:16" x14ac:dyDescent="0.25">
      <c r="C209">
        <v>0.18099999999999999</v>
      </c>
      <c r="D209">
        <f t="shared" si="20"/>
        <v>-29.794056564699652</v>
      </c>
      <c r="E209">
        <f t="shared" si="21"/>
        <v>16.169060885698094</v>
      </c>
      <c r="F209">
        <f t="shared" si="24"/>
        <v>0.46563235597215047</v>
      </c>
      <c r="G209">
        <f t="shared" si="25"/>
        <v>1</v>
      </c>
      <c r="H209">
        <f t="shared" si="26"/>
        <v>11.033324006439091</v>
      </c>
      <c r="K209">
        <v>0.18099999999999999</v>
      </c>
      <c r="L209">
        <f t="shared" si="22"/>
        <v>-41.450056564699651</v>
      </c>
      <c r="M209">
        <f t="shared" si="23"/>
        <v>26.498535987200729</v>
      </c>
      <c r="N209">
        <f t="shared" si="27"/>
        <v>0.46705944245364051</v>
      </c>
      <c r="O209">
        <f t="shared" si="28"/>
        <v>1</v>
      </c>
      <c r="P209">
        <f t="shared" si="29"/>
        <v>18.109562503579131</v>
      </c>
    </row>
    <row r="210" spans="3:16" x14ac:dyDescent="0.25">
      <c r="C210">
        <v>0.182</v>
      </c>
      <c r="D210">
        <f t="shared" si="20"/>
        <v>-29.756863984441573</v>
      </c>
      <c r="E210">
        <f t="shared" si="21"/>
        <v>16.161627873543679</v>
      </c>
      <c r="F210">
        <f t="shared" si="24"/>
        <v>0.46780293072270729</v>
      </c>
      <c r="G210">
        <f t="shared" si="25"/>
        <v>1</v>
      </c>
      <c r="H210">
        <f t="shared" si="26"/>
        <v>11.053926484338305</v>
      </c>
      <c r="K210">
        <v>0.182</v>
      </c>
      <c r="L210">
        <f t="shared" si="22"/>
        <v>-41.388863984441571</v>
      </c>
      <c r="M210">
        <f t="shared" si="23"/>
        <v>26.486306526656122</v>
      </c>
      <c r="N210">
        <f t="shared" si="27"/>
        <v>0.46923497705349204</v>
      </c>
      <c r="O210">
        <f t="shared" si="28"/>
        <v>1</v>
      </c>
      <c r="P210">
        <f t="shared" si="29"/>
        <v>18.143312856812244</v>
      </c>
    </row>
    <row r="211" spans="3:16" x14ac:dyDescent="0.25">
      <c r="C211">
        <v>0.183</v>
      </c>
      <c r="D211">
        <f t="shared" si="20"/>
        <v>-29.719671404183494</v>
      </c>
      <c r="E211">
        <f t="shared" si="21"/>
        <v>16.154194861389268</v>
      </c>
      <c r="F211">
        <f t="shared" si="24"/>
        <v>0.46996908811389793</v>
      </c>
      <c r="G211">
        <f t="shared" si="25"/>
        <v>1</v>
      </c>
      <c r="H211">
        <f t="shared" si="26"/>
        <v>11.074393832483249</v>
      </c>
      <c r="K211">
        <v>0.183</v>
      </c>
      <c r="L211">
        <f t="shared" si="22"/>
        <v>-41.327671404183491</v>
      </c>
      <c r="M211">
        <f t="shared" si="23"/>
        <v>26.474077066111519</v>
      </c>
      <c r="N211">
        <f t="shared" si="27"/>
        <v>0.47140606215544545</v>
      </c>
      <c r="O211">
        <f t="shared" si="28"/>
        <v>1</v>
      </c>
      <c r="P211">
        <f t="shared" si="29"/>
        <v>18.176841085267895</v>
      </c>
    </row>
    <row r="212" spans="3:16" x14ac:dyDescent="0.25">
      <c r="C212">
        <v>0.184</v>
      </c>
      <c r="D212">
        <f t="shared" si="20"/>
        <v>-29.682478823925415</v>
      </c>
      <c r="E212">
        <f t="shared" si="21"/>
        <v>16.146761849234856</v>
      </c>
      <c r="F212">
        <f t="shared" si="24"/>
        <v>0.47213082814572238</v>
      </c>
      <c r="G212">
        <f t="shared" si="25"/>
        <v>1</v>
      </c>
      <c r="H212">
        <f t="shared" si="26"/>
        <v>11.094726974545365</v>
      </c>
      <c r="K212">
        <v>0.184</v>
      </c>
      <c r="L212">
        <f t="shared" si="22"/>
        <v>-41.266478823925418</v>
      </c>
      <c r="M212">
        <f t="shared" si="23"/>
        <v>26.46184760556692</v>
      </c>
      <c r="N212">
        <f t="shared" si="27"/>
        <v>0.4735726977595005</v>
      </c>
      <c r="O212">
        <f t="shared" si="28"/>
        <v>1</v>
      </c>
      <c r="P212">
        <f t="shared" si="29"/>
        <v>18.210148706738646</v>
      </c>
    </row>
    <row r="213" spans="3:16" x14ac:dyDescent="0.25">
      <c r="C213">
        <v>0.185</v>
      </c>
      <c r="D213">
        <f t="shared" si="20"/>
        <v>-29.645286243667336</v>
      </c>
      <c r="E213">
        <f t="shared" si="21"/>
        <v>16.139328837080441</v>
      </c>
      <c r="F213">
        <f t="shared" si="24"/>
        <v>0.47428815081818054</v>
      </c>
      <c r="G213">
        <f t="shared" si="25"/>
        <v>1</v>
      </c>
      <c r="H213">
        <f t="shared" si="26"/>
        <v>11.114926822421697</v>
      </c>
      <c r="K213">
        <v>0.185</v>
      </c>
      <c r="L213">
        <f t="shared" si="22"/>
        <v>-41.205286243667338</v>
      </c>
      <c r="M213">
        <f t="shared" si="23"/>
        <v>26.449618145022313</v>
      </c>
      <c r="N213">
        <f t="shared" si="27"/>
        <v>0.47573488386565765</v>
      </c>
      <c r="O213">
        <f t="shared" si="28"/>
        <v>1</v>
      </c>
      <c r="P213">
        <f t="shared" si="29"/>
        <v>18.243237219673816</v>
      </c>
    </row>
    <row r="214" spans="3:16" x14ac:dyDescent="0.25">
      <c r="C214">
        <v>0.186</v>
      </c>
      <c r="D214">
        <f t="shared" si="20"/>
        <v>-29.608093663409257</v>
      </c>
      <c r="E214">
        <f t="shared" si="21"/>
        <v>16.13189582492603</v>
      </c>
      <c r="F214">
        <f t="shared" si="24"/>
        <v>0.47644105613127241</v>
      </c>
      <c r="G214">
        <f t="shared" si="25"/>
        <v>1</v>
      </c>
      <c r="H214">
        <f t="shared" si="26"/>
        <v>11.134994276451957</v>
      </c>
      <c r="K214">
        <v>0.186</v>
      </c>
      <c r="L214">
        <f t="shared" si="22"/>
        <v>-41.144093663409258</v>
      </c>
      <c r="M214">
        <f t="shared" si="23"/>
        <v>26.43738868447771</v>
      </c>
      <c r="N214">
        <f t="shared" si="27"/>
        <v>0.47789262047391656</v>
      </c>
      <c r="O214">
        <f t="shared" si="28"/>
        <v>1</v>
      </c>
      <c r="P214">
        <f t="shared" si="29"/>
        <v>18.276108103536007</v>
      </c>
    </row>
    <row r="215" spans="3:16" x14ac:dyDescent="0.25">
      <c r="C215">
        <v>0.187</v>
      </c>
      <c r="D215">
        <f t="shared" si="20"/>
        <v>-29.570901083151178</v>
      </c>
      <c r="E215">
        <f t="shared" si="21"/>
        <v>16.124462812771618</v>
      </c>
      <c r="F215">
        <f t="shared" si="24"/>
        <v>0.4785895440849981</v>
      </c>
      <c r="G215">
        <f t="shared" si="25"/>
        <v>1</v>
      </c>
      <c r="H215">
        <f t="shared" si="26"/>
        <v>11.154930225630359</v>
      </c>
      <c r="K215">
        <v>0.187</v>
      </c>
      <c r="L215">
        <f t="shared" si="22"/>
        <v>-41.082901083151178</v>
      </c>
      <c r="M215">
        <f t="shared" si="23"/>
        <v>26.425159223933107</v>
      </c>
      <c r="N215">
        <f t="shared" si="27"/>
        <v>0.48004590758427734</v>
      </c>
      <c r="O215">
        <f t="shared" si="28"/>
        <v>1</v>
      </c>
      <c r="P215">
        <f t="shared" si="29"/>
        <v>18.308762819149152</v>
      </c>
    </row>
    <row r="216" spans="3:16" x14ac:dyDescent="0.25">
      <c r="C216">
        <v>0.188</v>
      </c>
      <c r="D216">
        <f t="shared" si="20"/>
        <v>-29.533708502893102</v>
      </c>
      <c r="E216">
        <f t="shared" si="21"/>
        <v>16.117029800617207</v>
      </c>
      <c r="F216">
        <f t="shared" si="24"/>
        <v>0.48073361467935738</v>
      </c>
      <c r="G216">
        <f t="shared" si="25"/>
        <v>1</v>
      </c>
      <c r="H216">
        <f t="shared" si="26"/>
        <v>11.174735547812489</v>
      </c>
      <c r="K216">
        <v>0.188</v>
      </c>
      <c r="L216">
        <f t="shared" si="22"/>
        <v>-41.021708502893105</v>
      </c>
      <c r="M216">
        <f t="shared" si="23"/>
        <v>26.412929763388505</v>
      </c>
      <c r="N216">
        <f t="shared" si="27"/>
        <v>0.48219474519673977</v>
      </c>
      <c r="O216">
        <f t="shared" si="28"/>
        <v>1</v>
      </c>
      <c r="P216">
        <f t="shared" si="29"/>
        <v>18.341202809038275</v>
      </c>
    </row>
    <row r="217" spans="3:16" x14ac:dyDescent="0.25">
      <c r="C217">
        <v>0.189</v>
      </c>
      <c r="D217">
        <f t="shared" si="20"/>
        <v>-29.496515922635023</v>
      </c>
      <c r="E217">
        <f t="shared" si="21"/>
        <v>16.109596788462795</v>
      </c>
      <c r="F217">
        <f t="shared" si="24"/>
        <v>0.48287326791435059</v>
      </c>
      <c r="G217">
        <f t="shared" si="25"/>
        <v>1</v>
      </c>
      <c r="H217">
        <f t="shared" si="26"/>
        <v>11.194411109917269</v>
      </c>
      <c r="K217">
        <v>0.189</v>
      </c>
      <c r="L217">
        <f t="shared" si="22"/>
        <v>-40.960515922635025</v>
      </c>
      <c r="M217">
        <f t="shared" si="23"/>
        <v>26.400700302843902</v>
      </c>
      <c r="N217">
        <f t="shared" si="27"/>
        <v>0.48433913331130418</v>
      </c>
      <c r="O217">
        <f t="shared" si="28"/>
        <v>1</v>
      </c>
      <c r="P217">
        <f t="shared" si="29"/>
        <v>18.373429497761286</v>
      </c>
    </row>
    <row r="218" spans="3:16" x14ac:dyDescent="0.25">
      <c r="C218">
        <v>0.19</v>
      </c>
      <c r="D218">
        <f t="shared" si="20"/>
        <v>-29.459323342376944</v>
      </c>
      <c r="E218">
        <f t="shared" si="21"/>
        <v>16.10216377630838</v>
      </c>
      <c r="F218">
        <f t="shared" si="24"/>
        <v>0.48500850378997751</v>
      </c>
      <c r="G218">
        <f t="shared" si="25"/>
        <v>1</v>
      </c>
      <c r="H218">
        <f t="shared" si="26"/>
        <v>11.213957768124175</v>
      </c>
      <c r="K218">
        <v>0.19</v>
      </c>
      <c r="L218">
        <f t="shared" si="22"/>
        <v>-40.899323342376945</v>
      </c>
      <c r="M218">
        <f t="shared" si="23"/>
        <v>26.388470842299299</v>
      </c>
      <c r="N218">
        <f t="shared" si="27"/>
        <v>0.48647907192797057</v>
      </c>
      <c r="O218">
        <f t="shared" si="28"/>
        <v>1</v>
      </c>
      <c r="P218">
        <f t="shared" si="29"/>
        <v>18.40544429223295</v>
      </c>
    </row>
    <row r="219" spans="3:16" x14ac:dyDescent="0.25">
      <c r="C219">
        <v>0.191</v>
      </c>
      <c r="D219">
        <f t="shared" si="20"/>
        <v>-29.422130762118865</v>
      </c>
      <c r="E219">
        <f t="shared" si="21"/>
        <v>16.094730764153969</v>
      </c>
      <c r="F219">
        <f t="shared" si="24"/>
        <v>0.48713932230623813</v>
      </c>
      <c r="G219">
        <f t="shared" si="25"/>
        <v>1</v>
      </c>
      <c r="H219">
        <f t="shared" si="26"/>
        <v>11.233376368065889</v>
      </c>
      <c r="K219">
        <v>0.191</v>
      </c>
      <c r="L219">
        <f t="shared" si="22"/>
        <v>-40.838130762118865</v>
      </c>
      <c r="M219">
        <f t="shared" si="23"/>
        <v>26.376241381754696</v>
      </c>
      <c r="N219">
        <f t="shared" si="27"/>
        <v>0.48861456104673873</v>
      </c>
      <c r="O219">
        <f t="shared" si="28"/>
        <v>1</v>
      </c>
      <c r="P219">
        <f t="shared" si="29"/>
        <v>18.437248582041313</v>
      </c>
    </row>
    <row r="220" spans="3:16" x14ac:dyDescent="0.25">
      <c r="C220">
        <v>0.192</v>
      </c>
      <c r="D220">
        <f t="shared" ref="D220:D283" si="30">-$J$23+($J$15+$J$23)*C220</f>
        <v>-29.384938181860786</v>
      </c>
      <c r="E220">
        <f t="shared" ref="E220:E283" si="31">$J$12-$J$11*D220</f>
        <v>16.087297751999557</v>
      </c>
      <c r="F220">
        <f t="shared" si="24"/>
        <v>0.48926572346313268</v>
      </c>
      <c r="G220">
        <f t="shared" si="25"/>
        <v>1</v>
      </c>
      <c r="H220">
        <f t="shared" si="26"/>
        <v>11.25266774501644</v>
      </c>
      <c r="K220">
        <v>0.192</v>
      </c>
      <c r="L220">
        <f t="shared" ref="L220:L283" si="32">-$M$23+($M$15+$M$23)*K220</f>
        <v>-40.776938181860785</v>
      </c>
      <c r="M220">
        <f t="shared" ref="M220:M283" si="33">$J$12-$J$11*L220+$E$18</f>
        <v>26.364011921210093</v>
      </c>
      <c r="N220">
        <f t="shared" si="27"/>
        <v>0.49074560066760875</v>
      </c>
      <c r="O220">
        <f t="shared" si="28"/>
        <v>1</v>
      </c>
      <c r="P220">
        <f t="shared" si="29"/>
        <v>18.468843739756796</v>
      </c>
    </row>
    <row r="221" spans="3:16" x14ac:dyDescent="0.25">
      <c r="C221">
        <v>0.193</v>
      </c>
      <c r="D221">
        <f t="shared" si="30"/>
        <v>-29.347745601602707</v>
      </c>
      <c r="E221">
        <f t="shared" si="31"/>
        <v>16.079864739845142</v>
      </c>
      <c r="F221">
        <f t="shared" ref="F221:F284" si="34">IF(D221&lt;$J$20,MAX(1-(D221-$J$20)^2/$J$22^2,0),1)</f>
        <v>0.49138770726066094</v>
      </c>
      <c r="G221">
        <f t="shared" ref="G221:G284" si="35">IF(D221&gt;$J$17,MAX(1-(D221-$J$17)^2/($J$15-$J$17)^2,0),1)</f>
        <v>1</v>
      </c>
      <c r="H221">
        <f t="shared" ref="H221:H284" si="36">SQRT(E221^2*F221*G221)</f>
        <v>11.271832724075022</v>
      </c>
      <c r="K221">
        <v>0.193</v>
      </c>
      <c r="L221">
        <f t="shared" si="32"/>
        <v>-40.715745601602706</v>
      </c>
      <c r="M221">
        <f t="shared" si="33"/>
        <v>26.35178246066549</v>
      </c>
      <c r="N221">
        <f t="shared" ref="N221:N284" si="37">IF(L221&lt;$J$20,MAX(1-(L221-$J$20)^2/$M$22^2,0),1)</f>
        <v>0.49287219079058053</v>
      </c>
      <c r="O221">
        <f t="shared" ref="O221:O284" si="38">IF(L221&gt;$J$17,MAX(1-(L221-$J$17)^2/($M$15-$J$17)^2,0),1)</f>
        <v>1</v>
      </c>
      <c r="P221">
        <f t="shared" ref="P221:P284" si="39">SQRT(M221^2*N221*O221)</f>
        <v>18.500231121234165</v>
      </c>
    </row>
    <row r="222" spans="3:16" x14ac:dyDescent="0.25">
      <c r="C222">
        <v>0.19400000000000001</v>
      </c>
      <c r="D222">
        <f t="shared" si="30"/>
        <v>-29.310553021344631</v>
      </c>
      <c r="E222">
        <f t="shared" si="31"/>
        <v>16.072431727690731</v>
      </c>
      <c r="F222">
        <f t="shared" si="34"/>
        <v>0.49350527369882269</v>
      </c>
      <c r="G222">
        <f t="shared" si="35"/>
        <v>1</v>
      </c>
      <c r="H222">
        <f t="shared" si="36"/>
        <v>11.2908721203456</v>
      </c>
      <c r="K222">
        <v>0.19400000000000001</v>
      </c>
      <c r="L222">
        <f t="shared" si="32"/>
        <v>-40.654553021344626</v>
      </c>
      <c r="M222">
        <f t="shared" si="33"/>
        <v>26.339553000120887</v>
      </c>
      <c r="N222">
        <f t="shared" si="37"/>
        <v>0.4949943314156543</v>
      </c>
      <c r="O222">
        <f t="shared" si="38"/>
        <v>1</v>
      </c>
      <c r="P222">
        <f t="shared" si="39"/>
        <v>18.531412065907521</v>
      </c>
    </row>
    <row r="223" spans="3:16" x14ac:dyDescent="0.25">
      <c r="C223">
        <v>0.19500000000000001</v>
      </c>
      <c r="D223">
        <f t="shared" si="30"/>
        <v>-29.273360441086552</v>
      </c>
      <c r="E223">
        <f t="shared" si="31"/>
        <v>16.064998715536319</v>
      </c>
      <c r="F223">
        <f t="shared" si="34"/>
        <v>0.49561842277761847</v>
      </c>
      <c r="G223">
        <f t="shared" si="35"/>
        <v>1</v>
      </c>
      <c r="H223">
        <f t="shared" si="36"/>
        <v>11.309786739112401</v>
      </c>
      <c r="K223">
        <v>0.19500000000000001</v>
      </c>
      <c r="L223">
        <f t="shared" si="32"/>
        <v>-40.593360441086553</v>
      </c>
      <c r="M223">
        <f t="shared" si="33"/>
        <v>26.327323539576284</v>
      </c>
      <c r="N223">
        <f t="shared" si="37"/>
        <v>0.4971120225428296</v>
      </c>
      <c r="O223">
        <f t="shared" si="38"/>
        <v>1</v>
      </c>
      <c r="P223">
        <f t="shared" si="39"/>
        <v>18.562387897078587</v>
      </c>
    </row>
    <row r="224" spans="3:16" x14ac:dyDescent="0.25">
      <c r="C224">
        <v>0.19600000000000001</v>
      </c>
      <c r="D224">
        <f t="shared" si="30"/>
        <v>-29.236167860828473</v>
      </c>
      <c r="E224">
        <f t="shared" si="31"/>
        <v>16.057565703381904</v>
      </c>
      <c r="F224">
        <f t="shared" si="34"/>
        <v>0.49772715449704796</v>
      </c>
      <c r="G224">
        <f t="shared" si="35"/>
        <v>1</v>
      </c>
      <c r="H224">
        <f t="shared" si="36"/>
        <v>11.328577376011395</v>
      </c>
      <c r="K224">
        <v>0.19600000000000001</v>
      </c>
      <c r="L224">
        <f t="shared" si="32"/>
        <v>-40.532167860828473</v>
      </c>
      <c r="M224">
        <f t="shared" si="33"/>
        <v>26.315094079031681</v>
      </c>
      <c r="N224">
        <f t="shared" si="37"/>
        <v>0.499225264172107</v>
      </c>
      <c r="O224">
        <f t="shared" si="38"/>
        <v>1</v>
      </c>
      <c r="P224">
        <f t="shared" si="39"/>
        <v>18.593159922198463</v>
      </c>
    </row>
    <row r="225" spans="3:16" x14ac:dyDescent="0.25">
      <c r="C225">
        <v>0.19700000000000001</v>
      </c>
      <c r="D225">
        <f t="shared" si="30"/>
        <v>-29.198975280570394</v>
      </c>
      <c r="E225">
        <f t="shared" si="31"/>
        <v>16.050132691227493</v>
      </c>
      <c r="F225">
        <f t="shared" si="34"/>
        <v>0.49983146885711127</v>
      </c>
      <c r="G225">
        <f t="shared" si="35"/>
        <v>1</v>
      </c>
      <c r="H225">
        <f t="shared" si="36"/>
        <v>11.34724481719797</v>
      </c>
      <c r="K225">
        <v>0.19700000000000001</v>
      </c>
      <c r="L225">
        <f t="shared" si="32"/>
        <v>-40.470975280570393</v>
      </c>
      <c r="M225">
        <f t="shared" si="33"/>
        <v>26.302864618487078</v>
      </c>
      <c r="N225">
        <f t="shared" si="37"/>
        <v>0.50133405630348626</v>
      </c>
      <c r="O225">
        <f t="shared" si="38"/>
        <v>1</v>
      </c>
      <c r="P225">
        <f t="shared" si="39"/>
        <v>18.623729433142952</v>
      </c>
    </row>
    <row r="226" spans="3:16" x14ac:dyDescent="0.25">
      <c r="C226">
        <v>0.19800000000000001</v>
      </c>
      <c r="D226">
        <f t="shared" si="30"/>
        <v>-29.161782700312315</v>
      </c>
      <c r="E226">
        <f t="shared" si="31"/>
        <v>16.042699679073081</v>
      </c>
      <c r="F226">
        <f t="shared" si="34"/>
        <v>0.50193136585780818</v>
      </c>
      <c r="G226">
        <f t="shared" si="35"/>
        <v>1</v>
      </c>
      <c r="H226">
        <f t="shared" si="36"/>
        <v>11.365789839510734</v>
      </c>
      <c r="K226">
        <v>0.19800000000000001</v>
      </c>
      <c r="L226">
        <f t="shared" si="32"/>
        <v>-40.409782700312313</v>
      </c>
      <c r="M226">
        <f t="shared" si="33"/>
        <v>26.290635157942472</v>
      </c>
      <c r="N226">
        <f t="shared" si="37"/>
        <v>0.50343839893696729</v>
      </c>
      <c r="O226">
        <f t="shared" si="38"/>
        <v>1</v>
      </c>
      <c r="P226">
        <f t="shared" si="39"/>
        <v>18.654097706481739</v>
      </c>
    </row>
    <row r="227" spans="3:16" x14ac:dyDescent="0.25">
      <c r="C227">
        <v>0.19900000000000001</v>
      </c>
      <c r="D227">
        <f t="shared" si="30"/>
        <v>-29.124590120054236</v>
      </c>
      <c r="E227">
        <f t="shared" si="31"/>
        <v>16.035266666918666</v>
      </c>
      <c r="F227">
        <f t="shared" si="34"/>
        <v>0.50402684549913901</v>
      </c>
      <c r="G227">
        <f t="shared" si="35"/>
        <v>1</v>
      </c>
      <c r="H227">
        <f t="shared" si="36"/>
        <v>11.384213210631748</v>
      </c>
      <c r="K227">
        <v>0.19900000000000001</v>
      </c>
      <c r="L227">
        <f t="shared" si="32"/>
        <v>-40.34859012005424</v>
      </c>
      <c r="M227">
        <f t="shared" si="33"/>
        <v>26.278405697397872</v>
      </c>
      <c r="N227">
        <f t="shared" si="37"/>
        <v>0.50553829207254997</v>
      </c>
      <c r="O227">
        <f t="shared" si="38"/>
        <v>1</v>
      </c>
      <c r="P227">
        <f t="shared" si="39"/>
        <v>18.684266003741563</v>
      </c>
    </row>
    <row r="228" spans="3:16" x14ac:dyDescent="0.25">
      <c r="C228">
        <v>0.2</v>
      </c>
      <c r="D228">
        <f t="shared" si="30"/>
        <v>-29.087397539796157</v>
      </c>
      <c r="E228">
        <f t="shared" si="31"/>
        <v>16.027833654764255</v>
      </c>
      <c r="F228">
        <f t="shared" si="34"/>
        <v>0.50611790778110355</v>
      </c>
      <c r="G228">
        <f t="shared" si="35"/>
        <v>1</v>
      </c>
      <c r="H228">
        <f t="shared" si="36"/>
        <v>11.402515689243137</v>
      </c>
      <c r="K228">
        <v>0.2</v>
      </c>
      <c r="L228">
        <f t="shared" si="32"/>
        <v>-40.28739753979616</v>
      </c>
      <c r="M228">
        <f t="shared" si="33"/>
        <v>26.266176236853269</v>
      </c>
      <c r="N228">
        <f t="shared" si="37"/>
        <v>0.50763373571023473</v>
      </c>
      <c r="O228">
        <f t="shared" si="38"/>
        <v>1</v>
      </c>
      <c r="P228">
        <f t="shared" si="39"/>
        <v>18.714235571663469</v>
      </c>
    </row>
    <row r="229" spans="3:16" x14ac:dyDescent="0.25">
      <c r="C229">
        <v>0.20100000000000001</v>
      </c>
      <c r="D229">
        <f t="shared" si="30"/>
        <v>-29.050204959538078</v>
      </c>
      <c r="E229">
        <f t="shared" si="31"/>
        <v>16.020400642609843</v>
      </c>
      <c r="F229">
        <f t="shared" si="34"/>
        <v>0.50820455270370191</v>
      </c>
      <c r="G229">
        <f t="shared" si="35"/>
        <v>1</v>
      </c>
      <c r="H229">
        <f t="shared" si="36"/>
        <v>11.420698025180238</v>
      </c>
      <c r="K229">
        <v>0.20100000000000001</v>
      </c>
      <c r="L229">
        <f t="shared" si="32"/>
        <v>-40.22620495953808</v>
      </c>
      <c r="M229">
        <f t="shared" si="33"/>
        <v>26.253946776308663</v>
      </c>
      <c r="N229">
        <f t="shared" si="37"/>
        <v>0.50972472985002137</v>
      </c>
      <c r="O229">
        <f t="shared" si="38"/>
        <v>1</v>
      </c>
      <c r="P229">
        <f t="shared" si="39"/>
        <v>18.744007642454413</v>
      </c>
    </row>
    <row r="230" spans="3:16" x14ac:dyDescent="0.25">
      <c r="C230">
        <v>0.20200000000000001</v>
      </c>
      <c r="D230">
        <f t="shared" si="30"/>
        <v>-29.013012379279999</v>
      </c>
      <c r="E230">
        <f t="shared" si="31"/>
        <v>16.012967630455428</v>
      </c>
      <c r="F230">
        <f t="shared" si="34"/>
        <v>0.51028678026693397</v>
      </c>
      <c r="G230">
        <f t="shared" si="35"/>
        <v>1</v>
      </c>
      <c r="H230">
        <f t="shared" si="36"/>
        <v>11.438760959581394</v>
      </c>
      <c r="K230">
        <v>0.20200000000000001</v>
      </c>
      <c r="L230">
        <f t="shared" si="32"/>
        <v>-40.16501237928</v>
      </c>
      <c r="M230">
        <f t="shared" si="33"/>
        <v>26.24171731576406</v>
      </c>
      <c r="N230">
        <f t="shared" si="37"/>
        <v>0.51181127449190988</v>
      </c>
      <c r="O230">
        <f t="shared" si="38"/>
        <v>1</v>
      </c>
      <c r="P230">
        <f t="shared" si="39"/>
        <v>18.773583434033309</v>
      </c>
    </row>
    <row r="231" spans="3:16" x14ac:dyDescent="0.25">
      <c r="C231">
        <v>0.20300000000000001</v>
      </c>
      <c r="D231">
        <f t="shared" si="30"/>
        <v>-28.975819799021924</v>
      </c>
      <c r="E231">
        <f t="shared" si="31"/>
        <v>16.00553461830102</v>
      </c>
      <c r="F231">
        <f t="shared" si="34"/>
        <v>0.51236459047079963</v>
      </c>
      <c r="G231">
        <f t="shared" si="35"/>
        <v>1</v>
      </c>
      <c r="H231">
        <f t="shared" si="36"/>
        <v>11.456705225034446</v>
      </c>
      <c r="K231">
        <v>0.20300000000000001</v>
      </c>
      <c r="L231">
        <f t="shared" si="32"/>
        <v>-40.10381979902192</v>
      </c>
      <c r="M231">
        <f t="shared" si="33"/>
        <v>26.229487855219457</v>
      </c>
      <c r="N231">
        <f t="shared" si="37"/>
        <v>0.51389336963590027</v>
      </c>
      <c r="O231">
        <f t="shared" si="38"/>
        <v>1</v>
      </c>
      <c r="P231">
        <f t="shared" si="39"/>
        <v>18.802964150271677</v>
      </c>
    </row>
    <row r="232" spans="3:16" x14ac:dyDescent="0.25">
      <c r="C232">
        <v>0.20399999999999999</v>
      </c>
      <c r="D232">
        <f t="shared" si="30"/>
        <v>-28.938627218763845</v>
      </c>
      <c r="E232">
        <f t="shared" si="31"/>
        <v>15.998101606146605</v>
      </c>
      <c r="F232">
        <f t="shared" si="34"/>
        <v>0.51443798331529922</v>
      </c>
      <c r="G232">
        <f t="shared" si="35"/>
        <v>1</v>
      </c>
      <c r="H232">
        <f t="shared" si="36"/>
        <v>11.474531545720023</v>
      </c>
      <c r="K232">
        <v>0.20399999999999999</v>
      </c>
      <c r="L232">
        <f t="shared" si="32"/>
        <v>-40.042627218763847</v>
      </c>
      <c r="M232">
        <f t="shared" si="33"/>
        <v>26.217258394674854</v>
      </c>
      <c r="N232">
        <f t="shared" si="37"/>
        <v>0.51597101528199207</v>
      </c>
      <c r="O232">
        <f t="shared" si="38"/>
        <v>1</v>
      </c>
      <c r="P232">
        <f t="shared" si="39"/>
        <v>18.832150981229042</v>
      </c>
    </row>
    <row r="233" spans="3:16" x14ac:dyDescent="0.25">
      <c r="C233">
        <v>0.20499999999999999</v>
      </c>
      <c r="D233">
        <f t="shared" si="30"/>
        <v>-28.901434638505766</v>
      </c>
      <c r="E233">
        <f t="shared" si="31"/>
        <v>15.990668593992194</v>
      </c>
      <c r="F233">
        <f t="shared" si="34"/>
        <v>0.51650695880043251</v>
      </c>
      <c r="G233">
        <f t="shared" si="35"/>
        <v>1</v>
      </c>
      <c r="H233">
        <f t="shared" si="36"/>
        <v>11.492240637551753</v>
      </c>
      <c r="K233">
        <v>0.20499999999999999</v>
      </c>
      <c r="L233">
        <f t="shared" si="32"/>
        <v>-39.981434638505768</v>
      </c>
      <c r="M233">
        <f t="shared" si="33"/>
        <v>26.205028934130251</v>
      </c>
      <c r="N233">
        <f t="shared" si="37"/>
        <v>0.5180442114301862</v>
      </c>
      <c r="O233">
        <f t="shared" si="38"/>
        <v>1</v>
      </c>
      <c r="P233">
        <f t="shared" si="39"/>
        <v>18.86114510338324</v>
      </c>
    </row>
    <row r="234" spans="3:16" x14ac:dyDescent="0.25">
      <c r="C234">
        <v>0.20599999999999999</v>
      </c>
      <c r="D234">
        <f t="shared" si="30"/>
        <v>-28.864242058247687</v>
      </c>
      <c r="E234">
        <f t="shared" si="31"/>
        <v>15.98323558183778</v>
      </c>
      <c r="F234">
        <f t="shared" si="34"/>
        <v>0.51857151692619952</v>
      </c>
      <c r="G234">
        <f t="shared" si="35"/>
        <v>1</v>
      </c>
      <c r="H234">
        <f t="shared" si="36"/>
        <v>11.509833208313401</v>
      </c>
      <c r="K234">
        <v>0.20599999999999999</v>
      </c>
      <c r="L234">
        <f t="shared" si="32"/>
        <v>-39.920242058247688</v>
      </c>
      <c r="M234">
        <f t="shared" si="33"/>
        <v>26.192799473585648</v>
      </c>
      <c r="N234">
        <f t="shared" si="37"/>
        <v>0.52011295808048197</v>
      </c>
      <c r="O234">
        <f t="shared" si="38"/>
        <v>1</v>
      </c>
      <c r="P234">
        <f t="shared" si="39"/>
        <v>18.889947679855702</v>
      </c>
    </row>
    <row r="235" spans="3:16" x14ac:dyDescent="0.25">
      <c r="C235">
        <v>0.20699999999999999</v>
      </c>
      <c r="D235">
        <f t="shared" si="30"/>
        <v>-28.827049477989611</v>
      </c>
      <c r="E235">
        <f t="shared" si="31"/>
        <v>15.975802569683369</v>
      </c>
      <c r="F235">
        <f t="shared" si="34"/>
        <v>0.52063165769260022</v>
      </c>
      <c r="G235">
        <f t="shared" si="35"/>
        <v>1</v>
      </c>
      <c r="H235">
        <f t="shared" si="36"/>
        <v>11.527309957793102</v>
      </c>
      <c r="K235">
        <v>0.20699999999999999</v>
      </c>
      <c r="L235">
        <f t="shared" si="32"/>
        <v>-39.859049477989608</v>
      </c>
      <c r="M235">
        <f t="shared" si="33"/>
        <v>26.180570013041041</v>
      </c>
      <c r="N235">
        <f t="shared" si="37"/>
        <v>0.52217725523287961</v>
      </c>
      <c r="O235">
        <f t="shared" si="38"/>
        <v>1</v>
      </c>
      <c r="P235">
        <f t="shared" si="39"/>
        <v>18.918559860631959</v>
      </c>
    </row>
    <row r="236" spans="3:16" x14ac:dyDescent="0.25">
      <c r="C236">
        <v>0.20799999999999999</v>
      </c>
      <c r="D236">
        <f t="shared" si="30"/>
        <v>-28.789856897731532</v>
      </c>
      <c r="E236">
        <f t="shared" si="31"/>
        <v>15.968369557528955</v>
      </c>
      <c r="F236">
        <f t="shared" si="34"/>
        <v>0.52268738109963486</v>
      </c>
      <c r="G236">
        <f t="shared" si="35"/>
        <v>1</v>
      </c>
      <c r="H236">
        <f t="shared" si="36"/>
        <v>11.544671577914686</v>
      </c>
      <c r="K236">
        <v>0.20799999999999999</v>
      </c>
      <c r="L236">
        <f t="shared" si="32"/>
        <v>-39.797856897731535</v>
      </c>
      <c r="M236">
        <f t="shared" si="33"/>
        <v>26.168340552496442</v>
      </c>
      <c r="N236">
        <f t="shared" si="37"/>
        <v>0.5242371028873789</v>
      </c>
      <c r="O236">
        <f t="shared" si="38"/>
        <v>1</v>
      </c>
      <c r="P236">
        <f t="shared" si="39"/>
        <v>18.946982782777379</v>
      </c>
    </row>
    <row r="237" spans="3:16" x14ac:dyDescent="0.25">
      <c r="C237">
        <v>0.20899999999999999</v>
      </c>
      <c r="D237">
        <f t="shared" si="30"/>
        <v>-28.752664317473453</v>
      </c>
      <c r="E237">
        <f t="shared" si="31"/>
        <v>15.960936545374544</v>
      </c>
      <c r="F237">
        <f t="shared" si="34"/>
        <v>0.52473868714730321</v>
      </c>
      <c r="G237">
        <f t="shared" si="35"/>
        <v>1</v>
      </c>
      <c r="H237">
        <f t="shared" si="36"/>
        <v>11.561918752866239</v>
      </c>
      <c r="K237">
        <v>0.20899999999999999</v>
      </c>
      <c r="L237">
        <f t="shared" si="32"/>
        <v>-39.736664317473455</v>
      </c>
      <c r="M237">
        <f t="shared" si="33"/>
        <v>26.156111091951836</v>
      </c>
      <c r="N237">
        <f t="shared" si="37"/>
        <v>0.52629250104398029</v>
      </c>
      <c r="O237">
        <f t="shared" si="38"/>
        <v>1</v>
      </c>
      <c r="P237">
        <f t="shared" si="39"/>
        <v>18.975217570648354</v>
      </c>
    </row>
    <row r="238" spans="3:16" x14ac:dyDescent="0.25">
      <c r="C238">
        <v>0.21</v>
      </c>
      <c r="D238">
        <f t="shared" si="30"/>
        <v>-28.715471737215374</v>
      </c>
      <c r="E238">
        <f t="shared" si="31"/>
        <v>15.953503533220131</v>
      </c>
      <c r="F238">
        <f t="shared" si="34"/>
        <v>0.52678557583560526</v>
      </c>
      <c r="G238">
        <f t="shared" si="35"/>
        <v>1</v>
      </c>
      <c r="H238">
        <f t="shared" si="36"/>
        <v>11.579052159225906</v>
      </c>
      <c r="K238">
        <v>0.21</v>
      </c>
      <c r="L238">
        <f t="shared" si="32"/>
        <v>-39.675471737215375</v>
      </c>
      <c r="M238">
        <f t="shared" si="33"/>
        <v>26.143881631407233</v>
      </c>
      <c r="N238">
        <f t="shared" si="37"/>
        <v>0.52834344970268354</v>
      </c>
      <c r="O238">
        <f t="shared" si="38"/>
        <v>1</v>
      </c>
      <c r="P238">
        <f t="shared" si="39"/>
        <v>19.003265336098959</v>
      </c>
    </row>
    <row r="239" spans="3:16" x14ac:dyDescent="0.25">
      <c r="C239">
        <v>0.21099999999999999</v>
      </c>
      <c r="D239">
        <f t="shared" si="30"/>
        <v>-28.678279156957295</v>
      </c>
      <c r="E239">
        <f t="shared" si="31"/>
        <v>15.946070521065717</v>
      </c>
      <c r="F239">
        <f t="shared" si="34"/>
        <v>0.52882804716454124</v>
      </c>
      <c r="G239">
        <f t="shared" si="35"/>
        <v>1</v>
      </c>
      <c r="H239">
        <f t="shared" si="36"/>
        <v>11.596072466085094</v>
      </c>
      <c r="K239">
        <v>0.21099999999999999</v>
      </c>
      <c r="L239">
        <f t="shared" si="32"/>
        <v>-39.614279156957295</v>
      </c>
      <c r="M239">
        <f t="shared" si="33"/>
        <v>26.13165217086263</v>
      </c>
      <c r="N239">
        <f t="shared" si="37"/>
        <v>0.53038994886348856</v>
      </c>
      <c r="O239">
        <f t="shared" si="38"/>
        <v>1</v>
      </c>
      <c r="P239">
        <f t="shared" si="39"/>
        <v>19.03112717868332</v>
      </c>
    </row>
    <row r="240" spans="3:16" x14ac:dyDescent="0.25">
      <c r="C240">
        <v>0.21199999999999999</v>
      </c>
      <c r="D240">
        <f t="shared" si="30"/>
        <v>-28.641086576699216</v>
      </c>
      <c r="E240">
        <f t="shared" si="31"/>
        <v>15.938637508911306</v>
      </c>
      <c r="F240">
        <f t="shared" si="34"/>
        <v>0.53086610113411092</v>
      </c>
      <c r="G240">
        <f t="shared" si="35"/>
        <v>1</v>
      </c>
      <c r="H240">
        <f t="shared" si="36"/>
        <v>11.61298033516902</v>
      </c>
      <c r="K240">
        <v>0.21199999999999999</v>
      </c>
      <c r="L240">
        <f t="shared" si="32"/>
        <v>-39.553086576699215</v>
      </c>
      <c r="M240">
        <f t="shared" si="33"/>
        <v>26.119422710318027</v>
      </c>
      <c r="N240">
        <f t="shared" si="37"/>
        <v>0.53243199852639544</v>
      </c>
      <c r="O240">
        <f t="shared" si="38"/>
        <v>1</v>
      </c>
      <c r="P240">
        <f t="shared" si="39"/>
        <v>19.058804185853681</v>
      </c>
    </row>
    <row r="241" spans="3:16" x14ac:dyDescent="0.25">
      <c r="C241">
        <v>0.21299999999999999</v>
      </c>
      <c r="D241">
        <f t="shared" si="30"/>
        <v>-28.603893996441137</v>
      </c>
      <c r="E241">
        <f t="shared" si="31"/>
        <v>15.931204496756893</v>
      </c>
      <c r="F241">
        <f t="shared" si="34"/>
        <v>0.53289973774431432</v>
      </c>
      <c r="G241">
        <f t="shared" si="35"/>
        <v>1</v>
      </c>
      <c r="H241">
        <f t="shared" si="36"/>
        <v>11.62977642095481</v>
      </c>
      <c r="K241">
        <v>0.21299999999999999</v>
      </c>
      <c r="L241">
        <f t="shared" si="32"/>
        <v>-39.491893996441135</v>
      </c>
      <c r="M241">
        <f t="shared" si="33"/>
        <v>26.107193249773424</v>
      </c>
      <c r="N241">
        <f t="shared" si="37"/>
        <v>0.53446959869140431</v>
      </c>
      <c r="O241">
        <f t="shared" si="38"/>
        <v>1</v>
      </c>
      <c r="P241">
        <f t="shared" si="39"/>
        <v>19.086297433154378</v>
      </c>
    </row>
    <row r="242" spans="3:16" x14ac:dyDescent="0.25">
      <c r="C242">
        <v>0.214</v>
      </c>
      <c r="D242">
        <f t="shared" si="30"/>
        <v>-28.566701416183058</v>
      </c>
      <c r="E242">
        <f t="shared" si="31"/>
        <v>15.923771484602479</v>
      </c>
      <c r="F242">
        <f t="shared" si="34"/>
        <v>0.53492895699515142</v>
      </c>
      <c r="G242">
        <f t="shared" si="35"/>
        <v>1</v>
      </c>
      <c r="H242">
        <f t="shared" si="36"/>
        <v>11.646461370787101</v>
      </c>
      <c r="K242">
        <v>0.214</v>
      </c>
      <c r="L242">
        <f t="shared" si="32"/>
        <v>-39.430701416183055</v>
      </c>
      <c r="M242">
        <f t="shared" si="33"/>
        <v>26.094963789228821</v>
      </c>
      <c r="N242">
        <f t="shared" si="37"/>
        <v>0.53650274935851483</v>
      </c>
      <c r="O242">
        <f t="shared" si="38"/>
        <v>1</v>
      </c>
      <c r="P242">
        <f t="shared" si="39"/>
        <v>19.113607984411743</v>
      </c>
    </row>
    <row r="243" spans="3:16" x14ac:dyDescent="0.25">
      <c r="C243">
        <v>0.215</v>
      </c>
      <c r="D243">
        <f t="shared" si="30"/>
        <v>-28.529508835924979</v>
      </c>
      <c r="E243">
        <f t="shared" si="31"/>
        <v>15.916338472448068</v>
      </c>
      <c r="F243">
        <f t="shared" si="34"/>
        <v>0.53695375888662245</v>
      </c>
      <c r="G243">
        <f t="shared" si="35"/>
        <v>1</v>
      </c>
      <c r="H243">
        <f t="shared" si="36"/>
        <v>11.663035824991272</v>
      </c>
      <c r="K243">
        <v>0.215</v>
      </c>
      <c r="L243">
        <f t="shared" si="32"/>
        <v>-39.369508835924982</v>
      </c>
      <c r="M243">
        <f t="shared" si="33"/>
        <v>26.082734328684218</v>
      </c>
      <c r="N243">
        <f t="shared" si="37"/>
        <v>0.53853145052772711</v>
      </c>
      <c r="O243">
        <f t="shared" si="38"/>
        <v>1</v>
      </c>
      <c r="P243">
        <f t="shared" si="39"/>
        <v>19.140736891920117</v>
      </c>
    </row>
    <row r="244" spans="3:16" x14ac:dyDescent="0.25">
      <c r="C244">
        <v>0.216</v>
      </c>
      <c r="D244">
        <f t="shared" si="30"/>
        <v>-28.4923162556669</v>
      </c>
      <c r="E244">
        <f t="shared" si="31"/>
        <v>15.908905460293655</v>
      </c>
      <c r="F244">
        <f t="shared" si="34"/>
        <v>0.53897414341872696</v>
      </c>
      <c r="G244">
        <f t="shared" si="35"/>
        <v>1</v>
      </c>
      <c r="H244">
        <f t="shared" si="36"/>
        <v>11.679500416984322</v>
      </c>
      <c r="K244">
        <v>0.216</v>
      </c>
      <c r="L244">
        <f t="shared" si="32"/>
        <v>-39.308316255666902</v>
      </c>
      <c r="M244">
        <f t="shared" si="33"/>
        <v>26.070504868139615</v>
      </c>
      <c r="N244">
        <f t="shared" si="37"/>
        <v>0.54055570219904137</v>
      </c>
      <c r="O244">
        <f t="shared" si="38"/>
        <v>1</v>
      </c>
      <c r="P244">
        <f t="shared" si="39"/>
        <v>19.167685196624021</v>
      </c>
    </row>
    <row r="245" spans="3:16" x14ac:dyDescent="0.25">
      <c r="C245">
        <v>0.217</v>
      </c>
      <c r="D245">
        <f t="shared" si="30"/>
        <v>-28.455123675408824</v>
      </c>
      <c r="E245">
        <f t="shared" si="31"/>
        <v>15.901472448139243</v>
      </c>
      <c r="F245">
        <f t="shared" si="34"/>
        <v>0.54099011059146518</v>
      </c>
      <c r="G245">
        <f t="shared" si="35"/>
        <v>1</v>
      </c>
      <c r="H245">
        <f t="shared" si="36"/>
        <v>11.695855773383519</v>
      </c>
      <c r="K245">
        <v>0.217</v>
      </c>
      <c r="L245">
        <f t="shared" si="32"/>
        <v>-39.247123675408822</v>
      </c>
      <c r="M245">
        <f t="shared" si="33"/>
        <v>26.058275407595012</v>
      </c>
      <c r="N245">
        <f t="shared" si="37"/>
        <v>0.5425755043724575</v>
      </c>
      <c r="O245">
        <f t="shared" si="38"/>
        <v>1</v>
      </c>
      <c r="P245">
        <f t="shared" si="39"/>
        <v>19.194453928296568</v>
      </c>
    </row>
    <row r="246" spans="3:16" x14ac:dyDescent="0.25">
      <c r="C246">
        <v>0.218</v>
      </c>
      <c r="D246">
        <f t="shared" si="30"/>
        <v>-28.417931095150745</v>
      </c>
      <c r="E246">
        <f t="shared" si="31"/>
        <v>15.89403943598483</v>
      </c>
      <c r="F246">
        <f t="shared" si="34"/>
        <v>0.54300166040483755</v>
      </c>
      <c r="G246">
        <f t="shared" si="35"/>
        <v>1</v>
      </c>
      <c r="H246">
        <f t="shared" si="36"/>
        <v>11.712102514112786</v>
      </c>
      <c r="K246">
        <v>0.218</v>
      </c>
      <c r="L246">
        <f t="shared" si="32"/>
        <v>-39.18593109515075</v>
      </c>
      <c r="M246">
        <f t="shared" si="33"/>
        <v>26.046045947050409</v>
      </c>
      <c r="N246">
        <f t="shared" si="37"/>
        <v>0.54459085704797516</v>
      </c>
      <c r="O246">
        <f t="shared" si="38"/>
        <v>1</v>
      </c>
      <c r="P246">
        <f t="shared" si="39"/>
        <v>19.221044105714288</v>
      </c>
    </row>
    <row r="247" spans="3:16" x14ac:dyDescent="0.25">
      <c r="C247">
        <v>0.219</v>
      </c>
      <c r="D247">
        <f t="shared" si="30"/>
        <v>-28.380738514892666</v>
      </c>
      <c r="E247">
        <f t="shared" si="31"/>
        <v>15.886606423830418</v>
      </c>
      <c r="F247">
        <f t="shared" si="34"/>
        <v>0.5450087928588434</v>
      </c>
      <c r="G247">
        <f t="shared" si="35"/>
        <v>1</v>
      </c>
      <c r="H247">
        <f t="shared" si="36"/>
        <v>11.728241252506947</v>
      </c>
      <c r="K247">
        <v>0.219</v>
      </c>
      <c r="L247">
        <f t="shared" si="32"/>
        <v>-39.12473851489267</v>
      </c>
      <c r="M247">
        <f t="shared" si="33"/>
        <v>26.033816486505806</v>
      </c>
      <c r="N247">
        <f t="shared" si="37"/>
        <v>0.54660176022559503</v>
      </c>
      <c r="O247">
        <f t="shared" si="38"/>
        <v>1</v>
      </c>
      <c r="P247">
        <f t="shared" si="39"/>
        <v>19.247456736828379</v>
      </c>
    </row>
    <row r="248" spans="3:16" x14ac:dyDescent="0.25">
      <c r="C248">
        <v>0.22</v>
      </c>
      <c r="D248">
        <f t="shared" si="30"/>
        <v>-28.343545934634587</v>
      </c>
      <c r="E248">
        <f t="shared" si="31"/>
        <v>15.879173411676005</v>
      </c>
      <c r="F248">
        <f t="shared" si="34"/>
        <v>0.54701150795348319</v>
      </c>
      <c r="G248">
        <f t="shared" si="35"/>
        <v>1</v>
      </c>
      <c r="H248">
        <f t="shared" si="36"/>
        <v>11.744272595413884</v>
      </c>
      <c r="K248">
        <v>0.22</v>
      </c>
      <c r="L248">
        <f t="shared" si="32"/>
        <v>-39.06354593463459</v>
      </c>
      <c r="M248">
        <f t="shared" si="33"/>
        <v>26.021587025961203</v>
      </c>
      <c r="N248">
        <f t="shared" si="37"/>
        <v>0.54860821390531678</v>
      </c>
      <c r="O248">
        <f t="shared" si="38"/>
        <v>1</v>
      </c>
      <c r="P248">
        <f t="shared" si="39"/>
        <v>19.273692818932471</v>
      </c>
    </row>
    <row r="249" spans="3:16" x14ac:dyDescent="0.25">
      <c r="C249">
        <v>0.221</v>
      </c>
      <c r="D249">
        <f t="shared" si="30"/>
        <v>-28.306353354376512</v>
      </c>
      <c r="E249">
        <f t="shared" si="31"/>
        <v>15.871740399521594</v>
      </c>
      <c r="F249">
        <f t="shared" si="34"/>
        <v>0.54900980568875646</v>
      </c>
      <c r="G249">
        <f t="shared" si="35"/>
        <v>1</v>
      </c>
      <c r="H249">
        <f t="shared" si="36"/>
        <v>11.76019714329461</v>
      </c>
      <c r="K249">
        <v>0.221</v>
      </c>
      <c r="L249">
        <f t="shared" si="32"/>
        <v>-39.00235335437651</v>
      </c>
      <c r="M249">
        <f t="shared" si="33"/>
        <v>26.009357565416597</v>
      </c>
      <c r="N249">
        <f t="shared" si="37"/>
        <v>0.55061021808714028</v>
      </c>
      <c r="O249">
        <f t="shared" si="38"/>
        <v>1</v>
      </c>
      <c r="P249">
        <f t="shared" si="39"/>
        <v>19.29975333882706</v>
      </c>
    </row>
    <row r="250" spans="3:16" x14ac:dyDescent="0.25">
      <c r="C250">
        <v>0.222</v>
      </c>
      <c r="D250">
        <f t="shared" si="30"/>
        <v>-28.269160774118433</v>
      </c>
      <c r="E250">
        <f t="shared" si="31"/>
        <v>15.86430738736718</v>
      </c>
      <c r="F250">
        <f t="shared" si="34"/>
        <v>0.55100368606466366</v>
      </c>
      <c r="G250">
        <f t="shared" si="35"/>
        <v>1</v>
      </c>
      <c r="H250">
        <f t="shared" si="36"/>
        <v>11.776015490321361</v>
      </c>
      <c r="K250">
        <v>0.222</v>
      </c>
      <c r="L250">
        <f t="shared" si="32"/>
        <v>-38.94116077411843</v>
      </c>
      <c r="M250">
        <f t="shared" si="33"/>
        <v>25.997128104871994</v>
      </c>
      <c r="N250">
        <f t="shared" si="37"/>
        <v>0.55260777277106565</v>
      </c>
      <c r="O250">
        <f t="shared" si="38"/>
        <v>1</v>
      </c>
      <c r="P250">
        <f t="shared" si="39"/>
        <v>19.325639272980649</v>
      </c>
    </row>
    <row r="251" spans="3:16" x14ac:dyDescent="0.25">
      <c r="C251">
        <v>0.223</v>
      </c>
      <c r="D251">
        <f t="shared" si="30"/>
        <v>-28.231968193860354</v>
      </c>
      <c r="E251">
        <f t="shared" si="31"/>
        <v>15.856874375212769</v>
      </c>
      <c r="F251">
        <f t="shared" si="34"/>
        <v>0.55299314908120456</v>
      </c>
      <c r="G251">
        <f t="shared" si="35"/>
        <v>1</v>
      </c>
      <c r="H251">
        <f t="shared" si="36"/>
        <v>11.791728224473722</v>
      </c>
      <c r="K251">
        <v>0.223</v>
      </c>
      <c r="L251">
        <f t="shared" si="32"/>
        <v>-38.87996819386035</v>
      </c>
      <c r="M251">
        <f t="shared" si="33"/>
        <v>25.984898644327391</v>
      </c>
      <c r="N251">
        <f t="shared" si="37"/>
        <v>0.55460087795709279</v>
      </c>
      <c r="O251">
        <f t="shared" si="38"/>
        <v>1</v>
      </c>
      <c r="P251">
        <f t="shared" si="39"/>
        <v>19.351351587687635</v>
      </c>
    </row>
    <row r="252" spans="3:16" x14ac:dyDescent="0.25">
      <c r="C252">
        <v>0.224</v>
      </c>
      <c r="D252">
        <f t="shared" si="30"/>
        <v>-28.194775613602275</v>
      </c>
      <c r="E252">
        <f t="shared" si="31"/>
        <v>15.849441363058355</v>
      </c>
      <c r="F252">
        <f t="shared" si="34"/>
        <v>0.55497819473837939</v>
      </c>
      <c r="G252">
        <f t="shared" si="35"/>
        <v>1</v>
      </c>
      <c r="H252">
        <f t="shared" si="36"/>
        <v>11.807335927632849</v>
      </c>
      <c r="K252">
        <v>0.224</v>
      </c>
      <c r="L252">
        <f t="shared" si="32"/>
        <v>-38.81877561360227</v>
      </c>
      <c r="M252">
        <f t="shared" si="33"/>
        <v>25.972669183782788</v>
      </c>
      <c r="N252">
        <f t="shared" si="37"/>
        <v>0.5565895336452219</v>
      </c>
      <c r="O252">
        <f t="shared" si="38"/>
        <v>1</v>
      </c>
      <c r="P252">
        <f t="shared" si="39"/>
        <v>19.376891239223113</v>
      </c>
    </row>
    <row r="253" spans="3:16" x14ac:dyDescent="0.25">
      <c r="C253">
        <v>0.22500000000000001</v>
      </c>
      <c r="D253">
        <f t="shared" si="30"/>
        <v>-28.157583033344196</v>
      </c>
      <c r="E253">
        <f t="shared" si="31"/>
        <v>15.842008350903942</v>
      </c>
      <c r="F253">
        <f t="shared" si="34"/>
        <v>0.55695882303618793</v>
      </c>
      <c r="G253">
        <f t="shared" si="35"/>
        <v>1</v>
      </c>
      <c r="H253">
        <f t="shared" si="36"/>
        <v>11.822839175673829</v>
      </c>
      <c r="K253">
        <v>0.22500000000000001</v>
      </c>
      <c r="L253">
        <f t="shared" si="32"/>
        <v>-38.757583033344197</v>
      </c>
      <c r="M253">
        <f t="shared" si="33"/>
        <v>25.960439723238185</v>
      </c>
      <c r="N253">
        <f t="shared" si="37"/>
        <v>0.55857373983545255</v>
      </c>
      <c r="O253">
        <f t="shared" si="38"/>
        <v>1</v>
      </c>
      <c r="P253">
        <f t="shared" si="39"/>
        <v>19.402259173994587</v>
      </c>
    </row>
    <row r="254" spans="3:16" x14ac:dyDescent="0.25">
      <c r="C254">
        <v>0.22600000000000001</v>
      </c>
      <c r="D254">
        <f t="shared" si="30"/>
        <v>-28.120390453086117</v>
      </c>
      <c r="E254">
        <f t="shared" si="31"/>
        <v>15.834575338749531</v>
      </c>
      <c r="F254">
        <f t="shared" si="34"/>
        <v>0.55893503397463018</v>
      </c>
      <c r="G254">
        <f t="shared" si="35"/>
        <v>1</v>
      </c>
      <c r="H254">
        <f t="shared" si="36"/>
        <v>11.838238538556231</v>
      </c>
      <c r="K254">
        <v>0.22600000000000001</v>
      </c>
      <c r="L254">
        <f t="shared" si="32"/>
        <v>-38.696390453086117</v>
      </c>
      <c r="M254">
        <f t="shared" si="33"/>
        <v>25.948210262693582</v>
      </c>
      <c r="N254">
        <f t="shared" si="37"/>
        <v>0.5605534965277853</v>
      </c>
      <c r="O254">
        <f t="shared" si="38"/>
        <v>1</v>
      </c>
      <c r="P254">
        <f t="shared" si="39"/>
        <v>19.427456328690738</v>
      </c>
    </row>
    <row r="255" spans="3:16" x14ac:dyDescent="0.25">
      <c r="C255">
        <v>0.22700000000000001</v>
      </c>
      <c r="D255">
        <f t="shared" si="30"/>
        <v>-28.083197872828038</v>
      </c>
      <c r="E255">
        <f t="shared" si="31"/>
        <v>15.827142326595117</v>
      </c>
      <c r="F255">
        <f t="shared" si="34"/>
        <v>0.56090682755370613</v>
      </c>
      <c r="G255">
        <f t="shared" si="35"/>
        <v>1</v>
      </c>
      <c r="H255">
        <f t="shared" si="36"/>
        <v>11.853534580412878</v>
      </c>
      <c r="K255">
        <v>0.22700000000000001</v>
      </c>
      <c r="L255">
        <f t="shared" si="32"/>
        <v>-38.635197872828037</v>
      </c>
      <c r="M255">
        <f t="shared" si="33"/>
        <v>25.935980802148979</v>
      </c>
      <c r="N255">
        <f t="shared" si="37"/>
        <v>0.56252880372221981</v>
      </c>
      <c r="O255">
        <f t="shared" si="38"/>
        <v>1</v>
      </c>
      <c r="P255">
        <f t="shared" si="39"/>
        <v>19.452483630427238</v>
      </c>
    </row>
    <row r="256" spans="3:16" x14ac:dyDescent="0.25">
      <c r="C256">
        <v>0.22800000000000001</v>
      </c>
      <c r="D256">
        <f t="shared" si="30"/>
        <v>-28.046005292569959</v>
      </c>
      <c r="E256">
        <f t="shared" si="31"/>
        <v>15.819709314440704</v>
      </c>
      <c r="F256">
        <f t="shared" si="34"/>
        <v>0.56287420377341602</v>
      </c>
      <c r="G256">
        <f t="shared" si="35"/>
        <v>1</v>
      </c>
      <c r="H256">
        <f t="shared" si="36"/>
        <v>11.868727859636898</v>
      </c>
      <c r="K256">
        <v>0.22800000000000001</v>
      </c>
      <c r="L256">
        <f t="shared" si="32"/>
        <v>-38.574005292569957</v>
      </c>
      <c r="M256">
        <f t="shared" si="33"/>
        <v>25.923751341604373</v>
      </c>
      <c r="N256">
        <f t="shared" si="37"/>
        <v>0.56449966141875629</v>
      </c>
      <c r="O256">
        <f t="shared" si="38"/>
        <v>1</v>
      </c>
      <c r="P256">
        <f t="shared" si="39"/>
        <v>19.477341996889749</v>
      </c>
    </row>
    <row r="257" spans="3:16" x14ac:dyDescent="0.25">
      <c r="C257">
        <v>0.22900000000000001</v>
      </c>
      <c r="D257">
        <f t="shared" si="30"/>
        <v>-28.00881271231188</v>
      </c>
      <c r="E257">
        <f t="shared" si="31"/>
        <v>15.812276302286293</v>
      </c>
      <c r="F257">
        <f t="shared" si="34"/>
        <v>0.5648371626337596</v>
      </c>
      <c r="G257">
        <f t="shared" si="35"/>
        <v>1</v>
      </c>
      <c r="H257">
        <f t="shared" si="36"/>
        <v>11.88381892896707</v>
      </c>
      <c r="K257">
        <v>0.22900000000000001</v>
      </c>
      <c r="L257">
        <f t="shared" si="32"/>
        <v>-38.512812712311884</v>
      </c>
      <c r="M257">
        <f t="shared" si="33"/>
        <v>25.911521881059773</v>
      </c>
      <c r="N257">
        <f t="shared" si="37"/>
        <v>0.56646606961739443</v>
      </c>
      <c r="O257">
        <f t="shared" si="38"/>
        <v>1</v>
      </c>
      <c r="P257">
        <f t="shared" si="39"/>
        <v>19.502032336474148</v>
      </c>
    </row>
    <row r="258" spans="3:16" x14ac:dyDescent="0.25">
      <c r="C258">
        <v>0.23</v>
      </c>
      <c r="D258">
        <f t="shared" si="30"/>
        <v>-27.9716201320538</v>
      </c>
      <c r="E258">
        <f t="shared" si="31"/>
        <v>15.804843290131879</v>
      </c>
      <c r="F258">
        <f t="shared" si="34"/>
        <v>0.5667957041347369</v>
      </c>
      <c r="G258">
        <f t="shared" si="35"/>
        <v>1</v>
      </c>
      <c r="H258">
        <f t="shared" si="36"/>
        <v>11.898808335571537</v>
      </c>
      <c r="K258">
        <v>0.23</v>
      </c>
      <c r="L258">
        <f t="shared" si="32"/>
        <v>-38.451620132053804</v>
      </c>
      <c r="M258">
        <f t="shared" si="33"/>
        <v>25.89929242051517</v>
      </c>
      <c r="N258">
        <f t="shared" si="37"/>
        <v>0.56842802831813444</v>
      </c>
      <c r="O258">
        <f t="shared" si="38"/>
        <v>1</v>
      </c>
      <c r="P258">
        <f t="shared" si="39"/>
        <v>19.526555548424032</v>
      </c>
    </row>
    <row r="259" spans="3:16" x14ac:dyDescent="0.25">
      <c r="C259">
        <v>0.23100000000000001</v>
      </c>
      <c r="D259">
        <f t="shared" si="30"/>
        <v>-27.934427551795721</v>
      </c>
      <c r="E259">
        <f t="shared" si="31"/>
        <v>15.797410277977466</v>
      </c>
      <c r="F259">
        <f t="shared" si="34"/>
        <v>0.5687498282763479</v>
      </c>
      <c r="G259">
        <f t="shared" si="35"/>
        <v>1</v>
      </c>
      <c r="H259">
        <f t="shared" si="36"/>
        <v>11.913696621129915</v>
      </c>
      <c r="K259">
        <v>0.23100000000000001</v>
      </c>
      <c r="L259">
        <f t="shared" si="32"/>
        <v>-38.390427551795725</v>
      </c>
      <c r="M259">
        <f t="shared" si="33"/>
        <v>25.887062959970564</v>
      </c>
      <c r="N259">
        <f t="shared" si="37"/>
        <v>0.57038553752097643</v>
      </c>
      <c r="O259">
        <f t="shared" si="38"/>
        <v>1</v>
      </c>
      <c r="P259">
        <f t="shared" si="39"/>
        <v>19.5509125229656</v>
      </c>
    </row>
    <row r="260" spans="3:16" x14ac:dyDescent="0.25">
      <c r="C260">
        <v>0.23200000000000001</v>
      </c>
      <c r="D260">
        <f t="shared" si="30"/>
        <v>-27.897234971537646</v>
      </c>
      <c r="E260">
        <f t="shared" si="31"/>
        <v>15.789977265823055</v>
      </c>
      <c r="F260">
        <f t="shared" si="34"/>
        <v>0.5706995350585925</v>
      </c>
      <c r="G260">
        <f t="shared" si="35"/>
        <v>1</v>
      </c>
      <c r="H260">
        <f t="shared" si="36"/>
        <v>11.928484321913809</v>
      </c>
      <c r="K260">
        <v>0.23200000000000001</v>
      </c>
      <c r="L260">
        <f t="shared" si="32"/>
        <v>-38.329234971537645</v>
      </c>
      <c r="M260">
        <f t="shared" si="33"/>
        <v>25.874833499425961</v>
      </c>
      <c r="N260">
        <f t="shared" si="37"/>
        <v>0.57233859722592029</v>
      </c>
      <c r="O260">
        <f t="shared" si="38"/>
        <v>1</v>
      </c>
      <c r="P260">
        <f t="shared" si="39"/>
        <v>19.57510414143994</v>
      </c>
    </row>
    <row r="261" spans="3:16" x14ac:dyDescent="0.25">
      <c r="C261">
        <v>0.23300000000000001</v>
      </c>
      <c r="D261">
        <f t="shared" si="30"/>
        <v>-27.860042391279567</v>
      </c>
      <c r="E261">
        <f t="shared" si="31"/>
        <v>15.782544253668643</v>
      </c>
      <c r="F261">
        <f t="shared" si="34"/>
        <v>0.57264482448147103</v>
      </c>
      <c r="G261">
        <f t="shared" si="35"/>
        <v>1</v>
      </c>
      <c r="H261">
        <f t="shared" si="36"/>
        <v>11.943171968865817</v>
      </c>
      <c r="K261">
        <v>0.23300000000000001</v>
      </c>
      <c r="L261">
        <f t="shared" si="32"/>
        <v>-38.268042391279565</v>
      </c>
      <c r="M261">
        <f t="shared" si="33"/>
        <v>25.862604038881358</v>
      </c>
      <c r="N261">
        <f t="shared" si="37"/>
        <v>0.57428720743296591</v>
      </c>
      <c r="O261">
        <f t="shared" si="38"/>
        <v>1</v>
      </c>
      <c r="P261">
        <f t="shared" si="39"/>
        <v>19.599131276432779</v>
      </c>
    </row>
    <row r="262" spans="3:16" x14ac:dyDescent="0.25">
      <c r="C262">
        <v>0.23400000000000001</v>
      </c>
      <c r="D262">
        <f t="shared" si="30"/>
        <v>-27.822849811021488</v>
      </c>
      <c r="E262">
        <f t="shared" si="31"/>
        <v>15.77511124151423</v>
      </c>
      <c r="F262">
        <f t="shared" si="34"/>
        <v>0.57458569654498337</v>
      </c>
      <c r="G262">
        <f t="shared" si="35"/>
        <v>1</v>
      </c>
      <c r="H262">
        <f t="shared" si="36"/>
        <v>11.957760087677018</v>
      </c>
      <c r="K262">
        <v>0.23400000000000001</v>
      </c>
      <c r="L262">
        <f t="shared" si="32"/>
        <v>-38.206849811021485</v>
      </c>
      <c r="M262">
        <f t="shared" si="33"/>
        <v>25.850374578336755</v>
      </c>
      <c r="N262">
        <f t="shared" si="37"/>
        <v>0.5762313681421134</v>
      </c>
      <c r="O262">
        <f t="shared" si="38"/>
        <v>1</v>
      </c>
      <c r="P262">
        <f t="shared" si="39"/>
        <v>19.622994791901814</v>
      </c>
    </row>
    <row r="263" spans="3:16" x14ac:dyDescent="0.25">
      <c r="C263">
        <v>0.23499999999999999</v>
      </c>
      <c r="D263">
        <f t="shared" si="30"/>
        <v>-27.785657230763412</v>
      </c>
      <c r="E263">
        <f t="shared" si="31"/>
        <v>15.767678229359818</v>
      </c>
      <c r="F263">
        <f t="shared" si="34"/>
        <v>0.57652215124912931</v>
      </c>
      <c r="G263">
        <f t="shared" si="35"/>
        <v>1</v>
      </c>
      <c r="H263">
        <f t="shared" si="36"/>
        <v>11.972249198863004</v>
      </c>
      <c r="K263">
        <v>0.23499999999999999</v>
      </c>
      <c r="L263">
        <f t="shared" si="32"/>
        <v>-38.145657230763412</v>
      </c>
      <c r="M263">
        <f t="shared" si="33"/>
        <v>25.838145117792152</v>
      </c>
      <c r="N263">
        <f t="shared" si="37"/>
        <v>0.57817107935336243</v>
      </c>
      <c r="O263">
        <f t="shared" si="38"/>
        <v>1</v>
      </c>
      <c r="P263">
        <f t="shared" si="39"/>
        <v>19.646695543301593</v>
      </c>
    </row>
    <row r="264" spans="3:16" x14ac:dyDescent="0.25">
      <c r="C264">
        <v>0.23599999999999999</v>
      </c>
      <c r="D264">
        <f t="shared" si="30"/>
        <v>-27.748464650505333</v>
      </c>
      <c r="E264">
        <f t="shared" si="31"/>
        <v>15.760245217205405</v>
      </c>
      <c r="F264">
        <f t="shared" si="34"/>
        <v>0.57845418859390918</v>
      </c>
      <c r="G264">
        <f t="shared" si="35"/>
        <v>1</v>
      </c>
      <c r="H264">
        <f t="shared" si="36"/>
        <v>11.986639817838487</v>
      </c>
      <c r="K264">
        <v>0.23599999999999999</v>
      </c>
      <c r="L264">
        <f t="shared" si="32"/>
        <v>-38.084464650505332</v>
      </c>
      <c r="M264">
        <f t="shared" si="33"/>
        <v>25.825915657247549</v>
      </c>
      <c r="N264">
        <f t="shared" si="37"/>
        <v>0.58010634106671366</v>
      </c>
      <c r="O264">
        <f t="shared" si="38"/>
        <v>1</v>
      </c>
      <c r="P264">
        <f t="shared" si="39"/>
        <v>19.670234377706102</v>
      </c>
    </row>
    <row r="265" spans="3:16" x14ac:dyDescent="0.25">
      <c r="C265">
        <v>0.23699999999999999</v>
      </c>
      <c r="D265">
        <f t="shared" si="30"/>
        <v>-27.711272070247254</v>
      </c>
      <c r="E265">
        <f t="shared" si="31"/>
        <v>15.752812205050994</v>
      </c>
      <c r="F265">
        <f t="shared" si="34"/>
        <v>0.58038180857932276</v>
      </c>
      <c r="G265">
        <f t="shared" si="35"/>
        <v>1</v>
      </c>
      <c r="H265">
        <f t="shared" si="36"/>
        <v>12.000932454990501</v>
      </c>
      <c r="K265">
        <v>0.23699999999999999</v>
      </c>
      <c r="L265">
        <f t="shared" si="32"/>
        <v>-38.023272070247252</v>
      </c>
      <c r="M265">
        <f t="shared" si="33"/>
        <v>25.813686196702946</v>
      </c>
      <c r="N265">
        <f t="shared" si="37"/>
        <v>0.58203715328216665</v>
      </c>
      <c r="O265">
        <f t="shared" si="38"/>
        <v>1</v>
      </c>
      <c r="P265">
        <f t="shared" si="39"/>
        <v>19.693612133928973</v>
      </c>
    </row>
    <row r="266" spans="3:16" x14ac:dyDescent="0.25">
      <c r="C266">
        <v>0.23799999999999999</v>
      </c>
      <c r="D266">
        <f t="shared" si="30"/>
        <v>-27.674079489989175</v>
      </c>
      <c r="E266">
        <f t="shared" si="31"/>
        <v>15.74537919289658</v>
      </c>
      <c r="F266">
        <f t="shared" si="34"/>
        <v>0.58230501120537015</v>
      </c>
      <c r="G266">
        <f t="shared" si="35"/>
        <v>1</v>
      </c>
      <c r="H266">
        <f t="shared" si="36"/>
        <v>12.015127615750236</v>
      </c>
      <c r="K266">
        <v>0.23799999999999999</v>
      </c>
      <c r="L266">
        <f t="shared" si="32"/>
        <v>-37.962079489989179</v>
      </c>
      <c r="M266">
        <f t="shared" si="33"/>
        <v>25.801456736158343</v>
      </c>
      <c r="N266">
        <f t="shared" si="37"/>
        <v>0.58396351599972141</v>
      </c>
      <c r="O266">
        <f t="shared" si="38"/>
        <v>1</v>
      </c>
      <c r="P266">
        <f t="shared" si="39"/>
        <v>19.716829642641528</v>
      </c>
    </row>
    <row r="267" spans="3:16" x14ac:dyDescent="0.25">
      <c r="C267">
        <v>0.23899999999999999</v>
      </c>
      <c r="D267">
        <f t="shared" si="30"/>
        <v>-27.636886909731096</v>
      </c>
      <c r="E267">
        <f t="shared" si="31"/>
        <v>15.737946180742167</v>
      </c>
      <c r="F267">
        <f t="shared" si="34"/>
        <v>0.58422379647205125</v>
      </c>
      <c r="G267">
        <f t="shared" si="35"/>
        <v>1</v>
      </c>
      <c r="H267">
        <f t="shared" si="36"/>
        <v>12.029225800663554</v>
      </c>
      <c r="K267">
        <v>0.23899999999999999</v>
      </c>
      <c r="L267">
        <f t="shared" si="32"/>
        <v>-37.900886909731099</v>
      </c>
      <c r="M267">
        <f t="shared" si="33"/>
        <v>25.78922727561374</v>
      </c>
      <c r="N267">
        <f t="shared" si="37"/>
        <v>0.58588542921937803</v>
      </c>
      <c r="O267">
        <f t="shared" si="38"/>
        <v>1</v>
      </c>
      <c r="P267">
        <f t="shared" si="39"/>
        <v>19.739887726488622</v>
      </c>
    </row>
    <row r="268" spans="3:16" x14ac:dyDescent="0.25">
      <c r="C268">
        <v>0.24</v>
      </c>
      <c r="D268">
        <f t="shared" si="30"/>
        <v>-27.599694329473017</v>
      </c>
      <c r="E268">
        <f t="shared" si="31"/>
        <v>15.730513168587756</v>
      </c>
      <c r="F268">
        <f t="shared" si="34"/>
        <v>0.58613816437936617</v>
      </c>
      <c r="G268">
        <f t="shared" si="35"/>
        <v>1</v>
      </c>
      <c r="H268">
        <f t="shared" si="36"/>
        <v>12.043227505460182</v>
      </c>
      <c r="K268">
        <v>0.24</v>
      </c>
      <c r="L268">
        <f t="shared" si="32"/>
        <v>-37.839694329473019</v>
      </c>
      <c r="M268">
        <f t="shared" si="33"/>
        <v>25.776997815069137</v>
      </c>
      <c r="N268">
        <f t="shared" si="37"/>
        <v>0.58780289294113663</v>
      </c>
      <c r="O268">
        <f t="shared" si="38"/>
        <v>1</v>
      </c>
      <c r="P268">
        <f t="shared" si="39"/>
        <v>19.762787200202279</v>
      </c>
    </row>
    <row r="269" spans="3:16" x14ac:dyDescent="0.25">
      <c r="C269">
        <v>0.24099999999999999</v>
      </c>
      <c r="D269">
        <f t="shared" si="30"/>
        <v>-27.562501749214938</v>
      </c>
      <c r="E269">
        <f t="shared" si="31"/>
        <v>15.723080156433342</v>
      </c>
      <c r="F269">
        <f t="shared" si="34"/>
        <v>0.5880481149273149</v>
      </c>
      <c r="G269">
        <f t="shared" si="35"/>
        <v>1</v>
      </c>
      <c r="H269">
        <f t="shared" si="36"/>
        <v>12.057133221121642</v>
      </c>
      <c r="K269">
        <v>0.24099999999999999</v>
      </c>
      <c r="L269">
        <f t="shared" si="32"/>
        <v>-37.778501749214939</v>
      </c>
      <c r="M269">
        <f t="shared" si="33"/>
        <v>25.764768354524534</v>
      </c>
      <c r="N269">
        <f t="shared" si="37"/>
        <v>0.58971590716499711</v>
      </c>
      <c r="O269">
        <f t="shared" si="38"/>
        <v>1</v>
      </c>
      <c r="P269">
        <f t="shared" si="39"/>
        <v>19.785528870713325</v>
      </c>
    </row>
    <row r="270" spans="3:16" x14ac:dyDescent="0.25">
      <c r="C270">
        <v>0.24199999999999999</v>
      </c>
      <c r="D270">
        <f t="shared" si="30"/>
        <v>-27.525309168956859</v>
      </c>
      <c r="E270">
        <f t="shared" si="31"/>
        <v>15.715647144278929</v>
      </c>
      <c r="F270">
        <f t="shared" si="34"/>
        <v>0.58995364811589723</v>
      </c>
      <c r="G270">
        <f t="shared" si="35"/>
        <v>1</v>
      </c>
      <c r="H270">
        <f t="shared" si="36"/>
        <v>12.070943433947932</v>
      </c>
      <c r="K270">
        <v>0.24199999999999999</v>
      </c>
      <c r="L270">
        <f t="shared" si="32"/>
        <v>-37.717309168956859</v>
      </c>
      <c r="M270">
        <f t="shared" si="33"/>
        <v>25.752538893979931</v>
      </c>
      <c r="N270">
        <f t="shared" si="37"/>
        <v>0.59162447189095924</v>
      </c>
      <c r="O270">
        <f t="shared" si="38"/>
        <v>1</v>
      </c>
      <c r="P270">
        <f t="shared" si="39"/>
        <v>19.808113537260898</v>
      </c>
    </row>
    <row r="271" spans="3:16" x14ac:dyDescent="0.25">
      <c r="C271">
        <v>0.24299999999999999</v>
      </c>
      <c r="D271">
        <f t="shared" si="30"/>
        <v>-27.48811658869878</v>
      </c>
      <c r="E271">
        <f t="shared" si="31"/>
        <v>15.708214132124517</v>
      </c>
      <c r="F271">
        <f t="shared" si="34"/>
        <v>0.59185476394511349</v>
      </c>
      <c r="G271">
        <f t="shared" si="35"/>
        <v>1</v>
      </c>
      <c r="H271">
        <f t="shared" si="36"/>
        <v>12.084658625623</v>
      </c>
      <c r="K271">
        <v>0.24299999999999999</v>
      </c>
      <c r="L271">
        <f t="shared" si="32"/>
        <v>-37.656116588698779</v>
      </c>
      <c r="M271">
        <f t="shared" si="33"/>
        <v>25.740309433435325</v>
      </c>
      <c r="N271">
        <f t="shared" si="37"/>
        <v>0.59352858711902334</v>
      </c>
      <c r="O271">
        <f t="shared" si="38"/>
        <v>1</v>
      </c>
      <c r="P271">
        <f t="shared" si="39"/>
        <v>19.830541991500034</v>
      </c>
    </row>
    <row r="272" spans="3:16" x14ac:dyDescent="0.25">
      <c r="C272">
        <v>0.24399999999999999</v>
      </c>
      <c r="D272">
        <f t="shared" si="30"/>
        <v>-27.450924008440701</v>
      </c>
      <c r="E272">
        <f t="shared" si="31"/>
        <v>15.700781119970104</v>
      </c>
      <c r="F272">
        <f t="shared" si="34"/>
        <v>0.59375146241496335</v>
      </c>
      <c r="G272">
        <f t="shared" si="35"/>
        <v>1</v>
      </c>
      <c r="H272">
        <f t="shared" si="36"/>
        <v>12.098279273279005</v>
      </c>
      <c r="K272">
        <v>0.24399999999999999</v>
      </c>
      <c r="L272">
        <f t="shared" si="32"/>
        <v>-37.594924008440699</v>
      </c>
      <c r="M272">
        <f t="shared" si="33"/>
        <v>25.728079972890722</v>
      </c>
      <c r="N272">
        <f t="shared" si="37"/>
        <v>0.59542825284918932</v>
      </c>
      <c r="O272">
        <f t="shared" si="38"/>
        <v>1</v>
      </c>
      <c r="P272">
        <f t="shared" si="39"/>
        <v>19.852815017607217</v>
      </c>
    </row>
    <row r="273" spans="3:16" x14ac:dyDescent="0.25">
      <c r="C273">
        <v>0.245</v>
      </c>
      <c r="D273">
        <f t="shared" si="30"/>
        <v>-27.413731428182626</v>
      </c>
      <c r="E273">
        <f t="shared" si="31"/>
        <v>15.693348107815693</v>
      </c>
      <c r="F273">
        <f t="shared" si="34"/>
        <v>0.5956437435254468</v>
      </c>
      <c r="G273">
        <f t="shared" si="35"/>
        <v>1</v>
      </c>
      <c r="H273">
        <f t="shared" si="36"/>
        <v>12.111805849559438</v>
      </c>
      <c r="K273">
        <v>0.245</v>
      </c>
      <c r="L273">
        <f t="shared" si="32"/>
        <v>-37.533731428182627</v>
      </c>
      <c r="M273">
        <f t="shared" si="33"/>
        <v>25.715850512346119</v>
      </c>
      <c r="N273">
        <f t="shared" si="37"/>
        <v>0.59732346908145695</v>
      </c>
      <c r="O273">
        <f t="shared" si="38"/>
        <v>1</v>
      </c>
      <c r="P273">
        <f t="shared" si="39"/>
        <v>19.874933392384065</v>
      </c>
    </row>
    <row r="274" spans="3:16" x14ac:dyDescent="0.25">
      <c r="C274">
        <v>0.246</v>
      </c>
      <c r="D274">
        <f t="shared" si="30"/>
        <v>-27.376538847924547</v>
      </c>
      <c r="E274">
        <f t="shared" si="31"/>
        <v>15.685915095661279</v>
      </c>
      <c r="F274">
        <f t="shared" si="34"/>
        <v>0.59753160727656429</v>
      </c>
      <c r="G274">
        <f t="shared" si="35"/>
        <v>1</v>
      </c>
      <c r="H274">
        <f t="shared" si="36"/>
        <v>12.125238822681101</v>
      </c>
      <c r="K274">
        <v>0.246</v>
      </c>
      <c r="L274">
        <f t="shared" si="32"/>
        <v>-37.472538847924547</v>
      </c>
      <c r="M274">
        <f t="shared" si="33"/>
        <v>25.703621051801516</v>
      </c>
      <c r="N274">
        <f t="shared" si="37"/>
        <v>0.59921423581582656</v>
      </c>
      <c r="O274">
        <f t="shared" si="38"/>
        <v>1</v>
      </c>
      <c r="P274">
        <f t="shared" si="39"/>
        <v>19.896897885359166</v>
      </c>
    </row>
    <row r="275" spans="3:16" x14ac:dyDescent="0.25">
      <c r="C275">
        <v>0.247</v>
      </c>
      <c r="D275">
        <f t="shared" si="30"/>
        <v>-27.339346267666468</v>
      </c>
      <c r="E275">
        <f t="shared" si="31"/>
        <v>15.678482083506868</v>
      </c>
      <c r="F275">
        <f t="shared" si="34"/>
        <v>0.59941505366831549</v>
      </c>
      <c r="G275">
        <f t="shared" si="35"/>
        <v>1</v>
      </c>
      <c r="H275">
        <f t="shared" si="36"/>
        <v>12.138578656494948</v>
      </c>
      <c r="K275">
        <v>0.247</v>
      </c>
      <c r="L275">
        <f t="shared" si="32"/>
        <v>-37.411346267666467</v>
      </c>
      <c r="M275">
        <f t="shared" si="33"/>
        <v>25.691391591256913</v>
      </c>
      <c r="N275">
        <f t="shared" si="37"/>
        <v>0.60110055305229804</v>
      </c>
      <c r="O275">
        <f t="shared" si="38"/>
        <v>1</v>
      </c>
      <c r="P275">
        <f t="shared" si="39"/>
        <v>19.918709258888033</v>
      </c>
    </row>
    <row r="276" spans="3:16" x14ac:dyDescent="0.25">
      <c r="C276">
        <v>0.248</v>
      </c>
      <c r="D276">
        <f t="shared" si="30"/>
        <v>-27.302153687408389</v>
      </c>
      <c r="E276">
        <f t="shared" si="31"/>
        <v>15.671049071352455</v>
      </c>
      <c r="F276">
        <f t="shared" si="34"/>
        <v>0.60129408270070039</v>
      </c>
      <c r="G276">
        <f t="shared" si="35"/>
        <v>1</v>
      </c>
      <c r="H276">
        <f t="shared" si="36"/>
        <v>12.151825810545875</v>
      </c>
      <c r="K276">
        <v>0.248</v>
      </c>
      <c r="L276">
        <f t="shared" si="32"/>
        <v>-37.350153687408387</v>
      </c>
      <c r="M276">
        <f t="shared" si="33"/>
        <v>25.67916213071231</v>
      </c>
      <c r="N276">
        <f t="shared" si="37"/>
        <v>0.60298242079087139</v>
      </c>
      <c r="O276">
        <f t="shared" si="38"/>
        <v>1</v>
      </c>
      <c r="P276">
        <f t="shared" si="39"/>
        <v>19.940368268251287</v>
      </c>
    </row>
    <row r="277" spans="3:16" x14ac:dyDescent="0.25">
      <c r="C277">
        <v>0.249</v>
      </c>
      <c r="D277">
        <f t="shared" si="30"/>
        <v>-27.264961107150313</v>
      </c>
      <c r="E277">
        <f t="shared" si="31"/>
        <v>15.663616059198041</v>
      </c>
      <c r="F277">
        <f t="shared" si="34"/>
        <v>0.60316869437371889</v>
      </c>
      <c r="G277">
        <f t="shared" si="35"/>
        <v>1</v>
      </c>
      <c r="H277">
        <f t="shared" si="36"/>
        <v>12.164980740131416</v>
      </c>
      <c r="K277">
        <v>0.249</v>
      </c>
      <c r="L277">
        <f t="shared" si="32"/>
        <v>-37.288961107150314</v>
      </c>
      <c r="M277">
        <f t="shared" si="33"/>
        <v>25.666932670167707</v>
      </c>
      <c r="N277">
        <f t="shared" si="37"/>
        <v>0.60485983903154628</v>
      </c>
      <c r="O277">
        <f t="shared" si="38"/>
        <v>1</v>
      </c>
      <c r="P277">
        <f t="shared" si="39"/>
        <v>19.96187566175114</v>
      </c>
    </row>
    <row r="278" spans="3:16" x14ac:dyDescent="0.25">
      <c r="C278">
        <v>0.25</v>
      </c>
      <c r="D278">
        <f t="shared" si="30"/>
        <v>-27.227768526892234</v>
      </c>
      <c r="E278">
        <f t="shared" si="31"/>
        <v>15.65618304704363</v>
      </c>
      <c r="F278">
        <f t="shared" si="34"/>
        <v>0.60503888868737143</v>
      </c>
      <c r="G278">
        <f t="shared" si="35"/>
        <v>1</v>
      </c>
      <c r="H278">
        <f t="shared" si="36"/>
        <v>12.178043896359432</v>
      </c>
      <c r="K278">
        <v>0.25</v>
      </c>
      <c r="L278">
        <f t="shared" si="32"/>
        <v>-37.227768526892234</v>
      </c>
      <c r="M278">
        <f t="shared" si="33"/>
        <v>25.654703209623104</v>
      </c>
      <c r="N278">
        <f t="shared" si="37"/>
        <v>0.60673280777432326</v>
      </c>
      <c r="O278">
        <f t="shared" si="38"/>
        <v>1</v>
      </c>
      <c r="P278">
        <f t="shared" si="39"/>
        <v>19.983232180806102</v>
      </c>
    </row>
    <row r="279" spans="3:16" x14ac:dyDescent="0.25">
      <c r="C279">
        <v>0.251</v>
      </c>
      <c r="D279">
        <f t="shared" si="30"/>
        <v>-27.190575946634155</v>
      </c>
      <c r="E279">
        <f t="shared" si="31"/>
        <v>15.648750034889218</v>
      </c>
      <c r="F279">
        <f t="shared" si="34"/>
        <v>0.60690466564165768</v>
      </c>
      <c r="G279">
        <f t="shared" si="35"/>
        <v>1</v>
      </c>
      <c r="H279">
        <f t="shared" si="36"/>
        <v>12.191015726204727</v>
      </c>
      <c r="K279">
        <v>0.251</v>
      </c>
      <c r="L279">
        <f t="shared" si="32"/>
        <v>-37.166575946634154</v>
      </c>
      <c r="M279">
        <f t="shared" si="33"/>
        <v>25.642473749078501</v>
      </c>
      <c r="N279">
        <f t="shared" si="37"/>
        <v>0.60860132701920211</v>
      </c>
      <c r="O279">
        <f t="shared" si="38"/>
        <v>1</v>
      </c>
      <c r="P279">
        <f t="shared" si="39"/>
        <v>20.004438560044051</v>
      </c>
    </row>
    <row r="280" spans="3:16" x14ac:dyDescent="0.25">
      <c r="C280">
        <v>0.252</v>
      </c>
      <c r="D280">
        <f t="shared" si="30"/>
        <v>-27.153383366376076</v>
      </c>
      <c r="E280">
        <f t="shared" si="31"/>
        <v>15.641317022734805</v>
      </c>
      <c r="F280">
        <f t="shared" si="34"/>
        <v>0.60876602523657763</v>
      </c>
      <c r="G280">
        <f t="shared" si="35"/>
        <v>1</v>
      </c>
      <c r="H280">
        <f t="shared" si="36"/>
        <v>12.203896672564714</v>
      </c>
      <c r="K280">
        <v>0.252</v>
      </c>
      <c r="L280">
        <f t="shared" si="32"/>
        <v>-37.105383366376074</v>
      </c>
      <c r="M280">
        <f t="shared" si="33"/>
        <v>25.630244288533895</v>
      </c>
      <c r="N280">
        <f t="shared" si="37"/>
        <v>0.61046539676618283</v>
      </c>
      <c r="O280">
        <f t="shared" si="38"/>
        <v>1</v>
      </c>
      <c r="P280">
        <f t="shared" si="39"/>
        <v>20.025495527393637</v>
      </c>
    </row>
    <row r="281" spans="3:16" x14ac:dyDescent="0.25">
      <c r="C281">
        <v>0.253</v>
      </c>
      <c r="D281">
        <f t="shared" si="30"/>
        <v>-27.116190786117997</v>
      </c>
      <c r="E281">
        <f t="shared" si="31"/>
        <v>15.633884010580392</v>
      </c>
      <c r="F281">
        <f t="shared" si="34"/>
        <v>0.61062296747213141</v>
      </c>
      <c r="G281">
        <f t="shared" si="35"/>
        <v>1</v>
      </c>
      <c r="H281">
        <f t="shared" si="36"/>
        <v>12.216687174314112</v>
      </c>
      <c r="K281">
        <v>0.253</v>
      </c>
      <c r="L281">
        <f t="shared" si="32"/>
        <v>-37.044190786117994</v>
      </c>
      <c r="M281">
        <f t="shared" si="33"/>
        <v>25.618014827989292</v>
      </c>
      <c r="N281">
        <f t="shared" si="37"/>
        <v>0.61232501701526543</v>
      </c>
      <c r="O281">
        <f t="shared" si="38"/>
        <v>1</v>
      </c>
      <c r="P281">
        <f t="shared" si="39"/>
        <v>20.046403804174147</v>
      </c>
    </row>
    <row r="282" spans="3:16" x14ac:dyDescent="0.25">
      <c r="C282">
        <v>0.254</v>
      </c>
      <c r="D282">
        <f t="shared" si="30"/>
        <v>-27.078998205859918</v>
      </c>
      <c r="E282">
        <f t="shared" si="31"/>
        <v>15.62645099842598</v>
      </c>
      <c r="F282">
        <f t="shared" si="34"/>
        <v>0.61247549234831888</v>
      </c>
      <c r="G282">
        <f t="shared" si="35"/>
        <v>1</v>
      </c>
      <c r="H282">
        <f t="shared" si="36"/>
        <v>12.229387666358633</v>
      </c>
      <c r="K282">
        <v>0.254</v>
      </c>
      <c r="L282">
        <f t="shared" si="32"/>
        <v>-36.982998205859914</v>
      </c>
      <c r="M282">
        <f t="shared" si="33"/>
        <v>25.605785367444689</v>
      </c>
      <c r="N282">
        <f t="shared" si="37"/>
        <v>0.61418018776644978</v>
      </c>
      <c r="O282">
        <f t="shared" si="38"/>
        <v>1</v>
      </c>
      <c r="P282">
        <f t="shared" si="39"/>
        <v>20.067164105183725</v>
      </c>
    </row>
    <row r="283" spans="3:16" x14ac:dyDescent="0.25">
      <c r="C283">
        <v>0.255</v>
      </c>
      <c r="D283">
        <f t="shared" si="30"/>
        <v>-27.041805625601839</v>
      </c>
      <c r="E283">
        <f t="shared" si="31"/>
        <v>15.619017986271567</v>
      </c>
      <c r="F283">
        <f t="shared" si="34"/>
        <v>0.61432359986514018</v>
      </c>
      <c r="G283">
        <f t="shared" si="35"/>
        <v>1</v>
      </c>
      <c r="H283">
        <f t="shared" si="36"/>
        <v>12.241998579687793</v>
      </c>
      <c r="K283">
        <v>0.255</v>
      </c>
      <c r="L283">
        <f t="shared" si="32"/>
        <v>-36.921805625601841</v>
      </c>
      <c r="M283">
        <f t="shared" si="33"/>
        <v>25.593555906900086</v>
      </c>
      <c r="N283">
        <f t="shared" si="37"/>
        <v>0.61603090901973578</v>
      </c>
      <c r="O283">
        <f t="shared" si="38"/>
        <v>1</v>
      </c>
      <c r="P283">
        <f t="shared" si="39"/>
        <v>20.087777138786088</v>
      </c>
    </row>
    <row r="284" spans="3:16" x14ac:dyDescent="0.25">
      <c r="C284">
        <v>0.25600000000000001</v>
      </c>
      <c r="D284">
        <f t="shared" ref="D284:D347" si="40">-$J$23+($J$15+$J$23)*C284</f>
        <v>-27.00461304534376</v>
      </c>
      <c r="E284">
        <f t="shared" ref="E284:E347" si="41">$J$12-$J$11*D284</f>
        <v>15.611584974117154</v>
      </c>
      <c r="F284">
        <f t="shared" si="34"/>
        <v>0.61616729002259518</v>
      </c>
      <c r="G284">
        <f t="shared" si="35"/>
        <v>1</v>
      </c>
      <c r="H284">
        <f t="shared" si="36"/>
        <v>12.254520341426781</v>
      </c>
      <c r="K284">
        <v>0.25600000000000001</v>
      </c>
      <c r="L284">
        <f t="shared" ref="L284:L347" si="42">-$M$23+($M$15+$M$23)*K284</f>
        <v>-36.860613045343761</v>
      </c>
      <c r="M284">
        <f t="shared" ref="M284:M347" si="43">$J$12-$J$11*L284+$E$18</f>
        <v>25.581326446355483</v>
      </c>
      <c r="N284">
        <f t="shared" si="37"/>
        <v>0.61787718077512377</v>
      </c>
      <c r="O284">
        <f t="shared" si="38"/>
        <v>1</v>
      </c>
      <c r="P284">
        <f t="shared" si="39"/>
        <v>20.108243606995782</v>
      </c>
    </row>
    <row r="285" spans="3:16" x14ac:dyDescent="0.25">
      <c r="C285">
        <v>0.25700000000000001</v>
      </c>
      <c r="D285">
        <f t="shared" si="40"/>
        <v>-26.967420465085681</v>
      </c>
      <c r="E285">
        <f t="shared" si="41"/>
        <v>15.604151961962742</v>
      </c>
      <c r="F285">
        <f t="shared" ref="F285:F348" si="44">IF(D285&lt;$J$20,MAX(1-(D285-$J$20)^2/$J$22^2,0),1)</f>
        <v>0.618006562820684</v>
      </c>
      <c r="G285">
        <f t="shared" ref="G285:G348" si="45">IF(D285&gt;$J$17,MAX(1-(D285-$J$17)^2/($J$15-$J$17)^2,0),1)</f>
        <v>1</v>
      </c>
      <c r="H285">
        <f t="shared" ref="H285:H348" si="46">SQRT(E285^2*F285*G285)</f>
        <v>12.266953374887443</v>
      </c>
      <c r="K285">
        <v>0.25700000000000001</v>
      </c>
      <c r="L285">
        <f t="shared" si="42"/>
        <v>-36.799420465085682</v>
      </c>
      <c r="M285">
        <f t="shared" si="43"/>
        <v>25.56909698581088</v>
      </c>
      <c r="N285">
        <f t="shared" ref="N285:N348" si="47">IF(L285&lt;$J$20,MAX(1-(L285-$J$20)^2/$M$22^2,0),1)</f>
        <v>0.61971900303261385</v>
      </c>
      <c r="O285">
        <f t="shared" ref="O285:O348" si="48">IF(L285&gt;$J$17,MAX(1-(L285-$J$17)^2/($M$15-$J$17)^2,0),1)</f>
        <v>1</v>
      </c>
      <c r="P285">
        <f t="shared" ref="P285:P348" si="49">SQRT(M285^2*N285*O285)</f>
        <v>20.128564205561908</v>
      </c>
    </row>
    <row r="286" spans="3:16" x14ac:dyDescent="0.25">
      <c r="C286">
        <v>0.25800000000000001</v>
      </c>
      <c r="D286">
        <f t="shared" si="40"/>
        <v>-26.930227884827602</v>
      </c>
      <c r="E286">
        <f t="shared" si="41"/>
        <v>15.596718949808329</v>
      </c>
      <c r="F286">
        <f t="shared" si="44"/>
        <v>0.61984141825940653</v>
      </c>
      <c r="G286">
        <f t="shared" si="45"/>
        <v>1</v>
      </c>
      <c r="H286">
        <f t="shared" si="46"/>
        <v>12.279298099618375</v>
      </c>
      <c r="K286">
        <v>0.25800000000000001</v>
      </c>
      <c r="L286">
        <f t="shared" si="42"/>
        <v>-36.738227884827602</v>
      </c>
      <c r="M286">
        <f t="shared" si="43"/>
        <v>25.556867525266277</v>
      </c>
      <c r="N286">
        <f t="shared" si="47"/>
        <v>0.62155637579220557</v>
      </c>
      <c r="O286">
        <f t="shared" si="48"/>
        <v>1</v>
      </c>
      <c r="P286">
        <f t="shared" si="49"/>
        <v>20.148739624050425</v>
      </c>
    </row>
    <row r="287" spans="3:16" x14ac:dyDescent="0.25">
      <c r="C287">
        <v>0.25900000000000001</v>
      </c>
      <c r="D287">
        <f t="shared" si="40"/>
        <v>-26.893035304569523</v>
      </c>
      <c r="E287">
        <f t="shared" si="41"/>
        <v>15.589285937653916</v>
      </c>
      <c r="F287">
        <f t="shared" si="44"/>
        <v>0.62167185633876287</v>
      </c>
      <c r="G287">
        <f t="shared" si="45"/>
        <v>1</v>
      </c>
      <c r="H287">
        <f t="shared" si="46"/>
        <v>12.291554931454185</v>
      </c>
      <c r="K287">
        <v>0.25900000000000001</v>
      </c>
      <c r="L287">
        <f t="shared" si="42"/>
        <v>-36.677035304569529</v>
      </c>
      <c r="M287">
        <f t="shared" si="43"/>
        <v>25.544638064721674</v>
      </c>
      <c r="N287">
        <f t="shared" si="47"/>
        <v>0.62338929905389895</v>
      </c>
      <c r="O287">
        <f t="shared" si="48"/>
        <v>1</v>
      </c>
      <c r="P287">
        <f t="shared" si="49"/>
        <v>20.168770545925074</v>
      </c>
    </row>
    <row r="288" spans="3:16" x14ac:dyDescent="0.25">
      <c r="C288">
        <v>0.26</v>
      </c>
      <c r="D288">
        <f t="shared" si="40"/>
        <v>-26.855842724311447</v>
      </c>
      <c r="E288">
        <f t="shared" si="41"/>
        <v>15.581852925499504</v>
      </c>
      <c r="F288">
        <f t="shared" si="44"/>
        <v>0.6234978770587527</v>
      </c>
      <c r="G288">
        <f t="shared" si="45"/>
        <v>1</v>
      </c>
      <c r="H288">
        <f t="shared" si="46"/>
        <v>12.303724282563893</v>
      </c>
      <c r="K288">
        <v>0.26</v>
      </c>
      <c r="L288">
        <f t="shared" si="42"/>
        <v>-36.615842724311449</v>
      </c>
      <c r="M288">
        <f t="shared" si="43"/>
        <v>25.532408604177071</v>
      </c>
      <c r="N288">
        <f t="shared" si="47"/>
        <v>0.62521777281769442</v>
      </c>
      <c r="O288">
        <f t="shared" si="48"/>
        <v>1</v>
      </c>
      <c r="P288">
        <f t="shared" si="49"/>
        <v>20.188657648626901</v>
      </c>
    </row>
    <row r="289" spans="3:16" x14ac:dyDescent="0.25">
      <c r="C289">
        <v>0.26100000000000001</v>
      </c>
      <c r="D289">
        <f t="shared" si="40"/>
        <v>-26.818650144053368</v>
      </c>
      <c r="E289">
        <f t="shared" si="41"/>
        <v>15.574419913345093</v>
      </c>
      <c r="F289">
        <f t="shared" si="44"/>
        <v>0.62531948041937657</v>
      </c>
      <c r="G289">
        <f t="shared" si="45"/>
        <v>1</v>
      </c>
      <c r="H289">
        <f t="shared" si="46"/>
        <v>12.315806561498526</v>
      </c>
      <c r="K289">
        <v>0.26100000000000001</v>
      </c>
      <c r="L289">
        <f t="shared" si="42"/>
        <v>-36.554650144053369</v>
      </c>
      <c r="M289">
        <f t="shared" si="43"/>
        <v>25.520179143632468</v>
      </c>
      <c r="N289">
        <f t="shared" si="47"/>
        <v>0.62704179708359176</v>
      </c>
      <c r="O289">
        <f t="shared" si="48"/>
        <v>1</v>
      </c>
      <c r="P289">
        <f t="shared" si="49"/>
        <v>20.208401603652426</v>
      </c>
    </row>
    <row r="290" spans="3:16" x14ac:dyDescent="0.25">
      <c r="C290">
        <v>0.26200000000000001</v>
      </c>
      <c r="D290">
        <f t="shared" si="40"/>
        <v>-26.781457563795289</v>
      </c>
      <c r="E290">
        <f t="shared" si="41"/>
        <v>15.566986901190679</v>
      </c>
      <c r="F290">
        <f t="shared" si="44"/>
        <v>0.62713666642063415</v>
      </c>
      <c r="G290">
        <f t="shared" si="45"/>
        <v>1</v>
      </c>
      <c r="H290">
        <f t="shared" si="46"/>
        <v>12.327802173237879</v>
      </c>
      <c r="K290">
        <v>0.26200000000000001</v>
      </c>
      <c r="L290">
        <f t="shared" si="42"/>
        <v>-36.493457563795289</v>
      </c>
      <c r="M290">
        <f t="shared" si="43"/>
        <v>25.507949683087865</v>
      </c>
      <c r="N290">
        <f t="shared" si="47"/>
        <v>0.62886137185159086</v>
      </c>
      <c r="O290">
        <f t="shared" si="48"/>
        <v>1</v>
      </c>
      <c r="P290">
        <f t="shared" si="49"/>
        <v>20.22800307663049</v>
      </c>
    </row>
    <row r="291" spans="3:16" x14ac:dyDescent="0.25">
      <c r="C291">
        <v>0.26300000000000001</v>
      </c>
      <c r="D291">
        <f t="shared" si="40"/>
        <v>-26.74426498353721</v>
      </c>
      <c r="E291">
        <f t="shared" si="41"/>
        <v>15.559553889036266</v>
      </c>
      <c r="F291">
        <f t="shared" si="44"/>
        <v>0.62894943506252554</v>
      </c>
      <c r="G291">
        <f t="shared" si="45"/>
        <v>1</v>
      </c>
      <c r="H291">
        <f t="shared" si="46"/>
        <v>12.339711519236539</v>
      </c>
      <c r="K291">
        <v>0.26300000000000001</v>
      </c>
      <c r="L291">
        <f t="shared" si="42"/>
        <v>-36.432264983537209</v>
      </c>
      <c r="M291">
        <f t="shared" si="43"/>
        <v>25.495720222543262</v>
      </c>
      <c r="N291">
        <f t="shared" si="47"/>
        <v>0.63067649712169183</v>
      </c>
      <c r="O291">
        <f t="shared" si="48"/>
        <v>1</v>
      </c>
      <c r="P291">
        <f t="shared" si="49"/>
        <v>20.247462727397831</v>
      </c>
    </row>
    <row r="292" spans="3:16" x14ac:dyDescent="0.25">
      <c r="C292">
        <v>0.26400000000000001</v>
      </c>
      <c r="D292">
        <f t="shared" si="40"/>
        <v>-26.707072403279135</v>
      </c>
      <c r="E292">
        <f t="shared" si="41"/>
        <v>15.552120876881855</v>
      </c>
      <c r="F292">
        <f t="shared" si="44"/>
        <v>0.63075778634505042</v>
      </c>
      <c r="G292">
        <f t="shared" si="45"/>
        <v>1</v>
      </c>
      <c r="H292">
        <f t="shared" si="46"/>
        <v>12.351534997469082</v>
      </c>
      <c r="K292">
        <v>0.26400000000000001</v>
      </c>
      <c r="L292">
        <f t="shared" si="42"/>
        <v>-36.371072403279129</v>
      </c>
      <c r="M292">
        <f t="shared" si="43"/>
        <v>25.483490761998656</v>
      </c>
      <c r="N292">
        <f t="shared" si="47"/>
        <v>0.63248717289389467</v>
      </c>
      <c r="O292">
        <f t="shared" si="48"/>
        <v>1</v>
      </c>
      <c r="P292">
        <f t="shared" si="49"/>
        <v>20.266781210073365</v>
      </c>
    </row>
    <row r="293" spans="3:16" x14ac:dyDescent="0.25">
      <c r="C293">
        <v>0.26500000000000001</v>
      </c>
      <c r="D293">
        <f t="shared" si="40"/>
        <v>-26.669879823021056</v>
      </c>
      <c r="E293">
        <f t="shared" si="41"/>
        <v>15.544687864727443</v>
      </c>
      <c r="F293">
        <f t="shared" si="44"/>
        <v>0.63256172026820923</v>
      </c>
      <c r="G293">
        <f t="shared" si="45"/>
        <v>1</v>
      </c>
      <c r="H293">
        <f t="shared" si="46"/>
        <v>12.363273002474559</v>
      </c>
      <c r="K293">
        <v>0.26500000000000001</v>
      </c>
      <c r="L293">
        <f t="shared" si="42"/>
        <v>-36.309879823021049</v>
      </c>
      <c r="M293">
        <f t="shared" si="43"/>
        <v>25.471261301454053</v>
      </c>
      <c r="N293">
        <f t="shared" si="47"/>
        <v>0.63429339916819938</v>
      </c>
      <c r="O293">
        <f t="shared" si="48"/>
        <v>1</v>
      </c>
      <c r="P293">
        <f t="shared" si="49"/>
        <v>20.28595917313125</v>
      </c>
    </row>
    <row r="294" spans="3:16" x14ac:dyDescent="0.25">
      <c r="C294">
        <v>0.26600000000000001</v>
      </c>
      <c r="D294">
        <f t="shared" si="40"/>
        <v>-26.632687242762977</v>
      </c>
      <c r="E294">
        <f t="shared" si="41"/>
        <v>15.537254852573028</v>
      </c>
      <c r="F294">
        <f t="shared" si="44"/>
        <v>0.63436123683200196</v>
      </c>
      <c r="G294">
        <f t="shared" si="45"/>
        <v>1</v>
      </c>
      <c r="H294">
        <f t="shared" si="46"/>
        <v>12.374925925400204</v>
      </c>
      <c r="K294">
        <v>0.26600000000000001</v>
      </c>
      <c r="L294">
        <f t="shared" si="42"/>
        <v>-36.248687242762976</v>
      </c>
      <c r="M294">
        <f t="shared" si="43"/>
        <v>25.45903184090945</v>
      </c>
      <c r="N294">
        <f t="shared" si="47"/>
        <v>0.63609517594460563</v>
      </c>
      <c r="O294">
        <f t="shared" si="48"/>
        <v>1</v>
      </c>
      <c r="P294">
        <f t="shared" si="49"/>
        <v>20.304997259472692</v>
      </c>
    </row>
    <row r="295" spans="3:16" x14ac:dyDescent="0.25">
      <c r="C295">
        <v>0.26700000000000002</v>
      </c>
      <c r="D295">
        <f t="shared" si="40"/>
        <v>-26.595494662504898</v>
      </c>
      <c r="E295">
        <f t="shared" si="41"/>
        <v>15.529821840418617</v>
      </c>
      <c r="F295">
        <f t="shared" si="44"/>
        <v>0.63615633603642818</v>
      </c>
      <c r="G295">
        <f t="shared" si="45"/>
        <v>1</v>
      </c>
      <c r="H295">
        <f t="shared" si="46"/>
        <v>12.386494154044449</v>
      </c>
      <c r="K295">
        <v>0.26700000000000002</v>
      </c>
      <c r="L295">
        <f t="shared" si="42"/>
        <v>-36.187494662504896</v>
      </c>
      <c r="M295">
        <f t="shared" si="43"/>
        <v>25.446802380364847</v>
      </c>
      <c r="N295">
        <f t="shared" si="47"/>
        <v>0.63789250322311408</v>
      </c>
      <c r="O295">
        <f t="shared" si="48"/>
        <v>1</v>
      </c>
      <c r="P295">
        <f t="shared" si="49"/>
        <v>20.323896106496626</v>
      </c>
    </row>
    <row r="296" spans="3:16" x14ac:dyDescent="0.25">
      <c r="C296">
        <v>0.26800000000000002</v>
      </c>
      <c r="D296">
        <f t="shared" si="40"/>
        <v>-26.558302082246819</v>
      </c>
      <c r="E296">
        <f t="shared" si="41"/>
        <v>15.522388828264205</v>
      </c>
      <c r="F296">
        <f t="shared" si="44"/>
        <v>0.63794701788148833</v>
      </c>
      <c r="G296">
        <f t="shared" si="45"/>
        <v>1</v>
      </c>
      <c r="H296">
        <f t="shared" si="46"/>
        <v>12.397978072899214</v>
      </c>
      <c r="K296">
        <v>0.26800000000000002</v>
      </c>
      <c r="L296">
        <f t="shared" si="42"/>
        <v>-36.126302082246816</v>
      </c>
      <c r="M296">
        <f t="shared" si="43"/>
        <v>25.434572919820244</v>
      </c>
      <c r="N296">
        <f t="shared" si="47"/>
        <v>0.63968538100372418</v>
      </c>
      <c r="O296">
        <f t="shared" si="48"/>
        <v>1</v>
      </c>
      <c r="P296">
        <f t="shared" si="49"/>
        <v>20.342656346169161</v>
      </c>
    </row>
    <row r="297" spans="3:16" x14ac:dyDescent="0.25">
      <c r="C297">
        <v>0.26900000000000002</v>
      </c>
      <c r="D297">
        <f t="shared" si="40"/>
        <v>-26.52110950198874</v>
      </c>
      <c r="E297">
        <f t="shared" si="41"/>
        <v>15.514955816109792</v>
      </c>
      <c r="F297">
        <f t="shared" si="44"/>
        <v>0.6397332823671823</v>
      </c>
      <c r="G297">
        <f t="shared" si="45"/>
        <v>1</v>
      </c>
      <c r="H297">
        <f t="shared" si="46"/>
        <v>12.409378063191488</v>
      </c>
      <c r="K297">
        <v>0.26900000000000002</v>
      </c>
      <c r="L297">
        <f t="shared" si="42"/>
        <v>-36.065109501988744</v>
      </c>
      <c r="M297">
        <f t="shared" si="43"/>
        <v>25.422343459275641</v>
      </c>
      <c r="N297">
        <f t="shared" si="47"/>
        <v>0.64147380928643605</v>
      </c>
      <c r="O297">
        <f t="shared" si="48"/>
        <v>1</v>
      </c>
      <c r="P297">
        <f t="shared" si="49"/>
        <v>20.361278605091918</v>
      </c>
    </row>
    <row r="298" spans="3:16" x14ac:dyDescent="0.25">
      <c r="C298">
        <v>0.27</v>
      </c>
      <c r="D298">
        <f t="shared" si="40"/>
        <v>-26.48391692173066</v>
      </c>
      <c r="E298">
        <f t="shared" si="41"/>
        <v>15.507522803955379</v>
      </c>
      <c r="F298">
        <f t="shared" si="44"/>
        <v>0.64151512949350997</v>
      </c>
      <c r="G298">
        <f t="shared" si="45"/>
        <v>1</v>
      </c>
      <c r="H298">
        <f t="shared" si="46"/>
        <v>12.420694502924258</v>
      </c>
      <c r="K298">
        <v>0.27</v>
      </c>
      <c r="L298">
        <f t="shared" si="42"/>
        <v>-36.003916921730664</v>
      </c>
      <c r="M298">
        <f t="shared" si="43"/>
        <v>25.410113998731038</v>
      </c>
      <c r="N298">
        <f t="shared" si="47"/>
        <v>0.64325778807125</v>
      </c>
      <c r="O298">
        <f t="shared" si="48"/>
        <v>1</v>
      </c>
      <c r="P298">
        <f t="shared" si="49"/>
        <v>20.379763504569269</v>
      </c>
    </row>
    <row r="299" spans="3:16" x14ac:dyDescent="0.25">
      <c r="C299">
        <v>0.27100000000000002</v>
      </c>
      <c r="D299">
        <f t="shared" si="40"/>
        <v>-26.446724341472581</v>
      </c>
      <c r="E299">
        <f t="shared" si="41"/>
        <v>15.500089791800967</v>
      </c>
      <c r="F299">
        <f t="shared" si="44"/>
        <v>0.64329255926047124</v>
      </c>
      <c r="G299">
        <f t="shared" si="45"/>
        <v>1</v>
      </c>
      <c r="H299">
        <f t="shared" si="46"/>
        <v>12.431927766916747</v>
      </c>
      <c r="K299">
        <v>0.27100000000000002</v>
      </c>
      <c r="L299">
        <f t="shared" si="42"/>
        <v>-35.942724341472584</v>
      </c>
      <c r="M299">
        <f t="shared" si="43"/>
        <v>25.397884538186435</v>
      </c>
      <c r="N299">
        <f t="shared" si="47"/>
        <v>0.64503731735816572</v>
      </c>
      <c r="O299">
        <f t="shared" si="48"/>
        <v>1</v>
      </c>
      <c r="P299">
        <f t="shared" si="49"/>
        <v>20.398111660674402</v>
      </c>
    </row>
    <row r="300" spans="3:16" x14ac:dyDescent="0.25">
      <c r="C300">
        <v>0.27200000000000002</v>
      </c>
      <c r="D300">
        <f t="shared" si="40"/>
        <v>-26.409531761214502</v>
      </c>
      <c r="E300">
        <f t="shared" si="41"/>
        <v>15.492656779646554</v>
      </c>
      <c r="F300">
        <f t="shared" si="44"/>
        <v>0.64506557166806644</v>
      </c>
      <c r="G300">
        <f t="shared" si="45"/>
        <v>1</v>
      </c>
      <c r="H300">
        <f t="shared" si="46"/>
        <v>12.443078226843996</v>
      </c>
      <c r="K300">
        <v>0.27200000000000002</v>
      </c>
      <c r="L300">
        <f t="shared" si="42"/>
        <v>-35.881531761214504</v>
      </c>
      <c r="M300">
        <f t="shared" si="43"/>
        <v>25.385655077641832</v>
      </c>
      <c r="N300">
        <f t="shared" si="47"/>
        <v>0.6468123971471833</v>
      </c>
      <c r="O300">
        <f t="shared" si="48"/>
        <v>1</v>
      </c>
      <c r="P300">
        <f t="shared" si="49"/>
        <v>20.416323684314413</v>
      </c>
    </row>
    <row r="301" spans="3:16" x14ac:dyDescent="0.25">
      <c r="C301">
        <v>0.27300000000000002</v>
      </c>
      <c r="D301">
        <f t="shared" si="40"/>
        <v>-26.372339180956423</v>
      </c>
      <c r="E301">
        <f t="shared" si="41"/>
        <v>15.48522376749214</v>
      </c>
      <c r="F301">
        <f t="shared" si="44"/>
        <v>0.64683416671629534</v>
      </c>
      <c r="G301">
        <f t="shared" si="45"/>
        <v>1</v>
      </c>
      <c r="H301">
        <f t="shared" si="46"/>
        <v>12.454146251275823</v>
      </c>
      <c r="K301">
        <v>0.27300000000000002</v>
      </c>
      <c r="L301">
        <f t="shared" si="42"/>
        <v>-35.820339180956424</v>
      </c>
      <c r="M301">
        <f t="shared" si="43"/>
        <v>25.373425617097226</v>
      </c>
      <c r="N301">
        <f t="shared" si="47"/>
        <v>0.64858302743830276</v>
      </c>
      <c r="O301">
        <f t="shared" si="48"/>
        <v>1</v>
      </c>
      <c r="P301">
        <f t="shared" si="49"/>
        <v>20.434400181294244</v>
      </c>
    </row>
    <row r="302" spans="3:16" x14ac:dyDescent="0.25">
      <c r="C302">
        <v>0.27400000000000002</v>
      </c>
      <c r="D302">
        <f t="shared" si="40"/>
        <v>-26.335146600698344</v>
      </c>
      <c r="E302">
        <f t="shared" si="41"/>
        <v>15.477790755337729</v>
      </c>
      <c r="F302">
        <f t="shared" si="44"/>
        <v>0.64859834440515807</v>
      </c>
      <c r="G302">
        <f t="shared" si="45"/>
        <v>1</v>
      </c>
      <c r="H302">
        <f t="shared" si="46"/>
        <v>12.465132205715138</v>
      </c>
      <c r="K302">
        <v>0.27400000000000002</v>
      </c>
      <c r="L302">
        <f t="shared" si="42"/>
        <v>-35.759146600698344</v>
      </c>
      <c r="M302">
        <f t="shared" si="43"/>
        <v>25.361196156552623</v>
      </c>
      <c r="N302">
        <f t="shared" si="47"/>
        <v>0.65034920823152409</v>
      </c>
      <c r="O302">
        <f t="shared" si="48"/>
        <v>1</v>
      </c>
      <c r="P302">
        <f t="shared" si="49"/>
        <v>20.452341752379663</v>
      </c>
    </row>
    <row r="303" spans="3:16" x14ac:dyDescent="0.25">
      <c r="C303">
        <v>0.27500000000000002</v>
      </c>
      <c r="D303">
        <f t="shared" si="40"/>
        <v>-26.297954020440269</v>
      </c>
      <c r="E303">
        <f t="shared" si="41"/>
        <v>15.470357743183317</v>
      </c>
      <c r="F303">
        <f t="shared" si="44"/>
        <v>0.65035810473465427</v>
      </c>
      <c r="G303">
        <f t="shared" si="45"/>
        <v>1</v>
      </c>
      <c r="H303">
        <f t="shared" si="46"/>
        <v>12.476036452635634</v>
      </c>
      <c r="K303">
        <v>0.27500000000000002</v>
      </c>
      <c r="L303">
        <f t="shared" si="42"/>
        <v>-35.697954020440264</v>
      </c>
      <c r="M303">
        <f t="shared" si="43"/>
        <v>25.34896669600802</v>
      </c>
      <c r="N303">
        <f t="shared" si="47"/>
        <v>0.65211093952684718</v>
      </c>
      <c r="O303">
        <f t="shared" si="48"/>
        <v>1</v>
      </c>
      <c r="P303">
        <f t="shared" si="49"/>
        <v>20.470148993359185</v>
      </c>
    </row>
    <row r="304" spans="3:16" x14ac:dyDescent="0.25">
      <c r="C304">
        <v>0.27600000000000002</v>
      </c>
      <c r="D304">
        <f t="shared" si="40"/>
        <v>-26.26076144018219</v>
      </c>
      <c r="E304">
        <f t="shared" si="41"/>
        <v>15.462924731028904</v>
      </c>
      <c r="F304">
        <f t="shared" si="44"/>
        <v>0.65211344770478452</v>
      </c>
      <c r="G304">
        <f t="shared" si="45"/>
        <v>1</v>
      </c>
      <c r="H304">
        <f t="shared" si="46"/>
        <v>12.486859351518902</v>
      </c>
      <c r="K304">
        <v>0.27600000000000002</v>
      </c>
      <c r="L304">
        <f t="shared" si="42"/>
        <v>-35.636761440182184</v>
      </c>
      <c r="M304">
        <f t="shared" si="43"/>
        <v>25.336737235463417</v>
      </c>
      <c r="N304">
        <f t="shared" si="47"/>
        <v>0.65386822132427214</v>
      </c>
      <c r="O304">
        <f t="shared" si="48"/>
        <v>1</v>
      </c>
      <c r="P304">
        <f t="shared" si="49"/>
        <v>20.487822495105032</v>
      </c>
    </row>
    <row r="305" spans="3:16" x14ac:dyDescent="0.25">
      <c r="C305">
        <v>0.27700000000000002</v>
      </c>
      <c r="D305">
        <f t="shared" si="40"/>
        <v>-26.223568859924111</v>
      </c>
      <c r="E305">
        <f t="shared" si="41"/>
        <v>15.455491718874491</v>
      </c>
      <c r="F305">
        <f t="shared" si="44"/>
        <v>0.65386437331554847</v>
      </c>
      <c r="G305">
        <f t="shared" si="45"/>
        <v>1</v>
      </c>
      <c r="H305">
        <f t="shared" si="46"/>
        <v>12.497601258890919</v>
      </c>
      <c r="K305">
        <v>0.27700000000000002</v>
      </c>
      <c r="L305">
        <f t="shared" si="42"/>
        <v>-35.575568859924111</v>
      </c>
      <c r="M305">
        <f t="shared" si="43"/>
        <v>25.324507774918814</v>
      </c>
      <c r="N305">
        <f t="shared" si="47"/>
        <v>0.65562105362379874</v>
      </c>
      <c r="O305">
        <f t="shared" si="48"/>
        <v>1</v>
      </c>
      <c r="P305">
        <f t="shared" si="49"/>
        <v>20.505362843633076</v>
      </c>
    </row>
    <row r="306" spans="3:16" x14ac:dyDescent="0.25">
      <c r="C306">
        <v>0.27800000000000002</v>
      </c>
      <c r="D306">
        <f t="shared" si="40"/>
        <v>-26.186376279666032</v>
      </c>
      <c r="E306">
        <f t="shared" si="41"/>
        <v>15.448058706720079</v>
      </c>
      <c r="F306">
        <f t="shared" si="44"/>
        <v>0.65561088156694614</v>
      </c>
      <c r="G306">
        <f t="shared" si="45"/>
        <v>1</v>
      </c>
      <c r="H306">
        <f t="shared" si="46"/>
        <v>12.50826252835798</v>
      </c>
      <c r="K306">
        <v>0.27800000000000002</v>
      </c>
      <c r="L306">
        <f t="shared" si="42"/>
        <v>-35.514376279666031</v>
      </c>
      <c r="M306">
        <f t="shared" si="43"/>
        <v>25.312278314374211</v>
      </c>
      <c r="N306">
        <f t="shared" si="47"/>
        <v>0.65736943642542744</v>
      </c>
      <c r="O306">
        <f t="shared" si="48"/>
        <v>1</v>
      </c>
      <c r="P306">
        <f t="shared" si="49"/>
        <v>20.522770620161893</v>
      </c>
    </row>
    <row r="307" spans="3:16" x14ac:dyDescent="0.25">
      <c r="C307">
        <v>0.27900000000000003</v>
      </c>
      <c r="D307">
        <f t="shared" si="40"/>
        <v>-26.149183699407956</v>
      </c>
      <c r="E307">
        <f t="shared" si="41"/>
        <v>15.440625694565668</v>
      </c>
      <c r="F307">
        <f t="shared" si="44"/>
        <v>0.6573529724589775</v>
      </c>
      <c r="G307">
        <f t="shared" si="45"/>
        <v>1</v>
      </c>
      <c r="H307">
        <f t="shared" si="46"/>
        <v>12.518843510642048</v>
      </c>
      <c r="K307">
        <v>0.27900000000000003</v>
      </c>
      <c r="L307">
        <f t="shared" si="42"/>
        <v>-35.453183699407958</v>
      </c>
      <c r="M307">
        <f t="shared" si="43"/>
        <v>25.300048853829608</v>
      </c>
      <c r="N307">
        <f t="shared" si="47"/>
        <v>0.65911336972915779</v>
      </c>
      <c r="O307">
        <f t="shared" si="48"/>
        <v>1</v>
      </c>
      <c r="P307">
        <f t="shared" si="49"/>
        <v>20.540046401170809</v>
      </c>
    </row>
    <row r="308" spans="3:16" x14ac:dyDescent="0.25">
      <c r="C308">
        <v>0.28000000000000003</v>
      </c>
      <c r="D308">
        <f t="shared" si="40"/>
        <v>-26.111991119149877</v>
      </c>
      <c r="E308">
        <f t="shared" si="41"/>
        <v>15.433192682411253</v>
      </c>
      <c r="F308">
        <f t="shared" si="44"/>
        <v>0.6590906459916428</v>
      </c>
      <c r="G308">
        <f t="shared" si="45"/>
        <v>1</v>
      </c>
      <c r="H308">
        <f t="shared" si="46"/>
        <v>12.529344553615553</v>
      </c>
      <c r="K308">
        <v>0.28000000000000003</v>
      </c>
      <c r="L308">
        <f t="shared" si="42"/>
        <v>-35.391991119149878</v>
      </c>
      <c r="M308">
        <f t="shared" si="43"/>
        <v>25.287819393285005</v>
      </c>
      <c r="N308">
        <f t="shared" si="47"/>
        <v>0.66085285353499001</v>
      </c>
      <c r="O308">
        <f t="shared" si="48"/>
        <v>1</v>
      </c>
      <c r="P308">
        <f t="shared" si="49"/>
        <v>20.557190758457079</v>
      </c>
    </row>
    <row r="309" spans="3:16" x14ac:dyDescent="0.25">
      <c r="C309">
        <v>0.28100000000000003</v>
      </c>
      <c r="D309">
        <f t="shared" si="40"/>
        <v>-26.074798538891798</v>
      </c>
      <c r="E309">
        <f t="shared" si="41"/>
        <v>15.425759670256841</v>
      </c>
      <c r="F309">
        <f t="shared" si="44"/>
        <v>0.6608239021649418</v>
      </c>
      <c r="G309">
        <f t="shared" si="45"/>
        <v>1</v>
      </c>
      <c r="H309">
        <f t="shared" si="46"/>
        <v>12.539766002335638</v>
      </c>
      <c r="K309">
        <v>0.28100000000000003</v>
      </c>
      <c r="L309">
        <f t="shared" si="42"/>
        <v>-35.330798538891798</v>
      </c>
      <c r="M309">
        <f t="shared" si="43"/>
        <v>25.275589932740402</v>
      </c>
      <c r="N309">
        <f t="shared" si="47"/>
        <v>0.66258788784292433</v>
      </c>
      <c r="O309">
        <f t="shared" si="48"/>
        <v>1</v>
      </c>
      <c r="P309">
        <f t="shared" si="49"/>
        <v>20.574204259192154</v>
      </c>
    </row>
    <row r="310" spans="3:16" x14ac:dyDescent="0.25">
      <c r="C310">
        <v>0.28199999999999997</v>
      </c>
      <c r="D310">
        <f t="shared" si="40"/>
        <v>-26.037605958633719</v>
      </c>
      <c r="E310">
        <f t="shared" si="41"/>
        <v>15.41832665810243</v>
      </c>
      <c r="F310">
        <f t="shared" si="44"/>
        <v>0.66255274097887451</v>
      </c>
      <c r="G310">
        <f t="shared" si="45"/>
        <v>1</v>
      </c>
      <c r="H310">
        <f t="shared" si="46"/>
        <v>12.550108199077863</v>
      </c>
      <c r="K310">
        <v>0.28199999999999997</v>
      </c>
      <c r="L310">
        <f t="shared" si="42"/>
        <v>-35.269605958633719</v>
      </c>
      <c r="M310">
        <f t="shared" si="43"/>
        <v>25.263360472195799</v>
      </c>
      <c r="N310">
        <f t="shared" si="47"/>
        <v>0.66431847265296029</v>
      </c>
      <c r="O310">
        <f t="shared" si="48"/>
        <v>1</v>
      </c>
      <c r="P310">
        <f t="shared" si="49"/>
        <v>20.591087465977036</v>
      </c>
    </row>
    <row r="311" spans="3:16" x14ac:dyDescent="0.25">
      <c r="C311">
        <v>0.28299999999999997</v>
      </c>
      <c r="D311">
        <f t="shared" si="40"/>
        <v>-26.00041337837564</v>
      </c>
      <c r="E311">
        <f t="shared" si="41"/>
        <v>15.410893645948017</v>
      </c>
      <c r="F311">
        <f t="shared" si="44"/>
        <v>0.66427716243344104</v>
      </c>
      <c r="G311">
        <f t="shared" si="45"/>
        <v>1</v>
      </c>
      <c r="H311">
        <f t="shared" si="46"/>
        <v>12.560371483369392</v>
      </c>
      <c r="K311">
        <v>0.28299999999999997</v>
      </c>
      <c r="L311">
        <f t="shared" si="42"/>
        <v>-35.208413378375639</v>
      </c>
      <c r="M311">
        <f t="shared" si="43"/>
        <v>25.251131011651196</v>
      </c>
      <c r="N311">
        <f t="shared" si="47"/>
        <v>0.66604460796509812</v>
      </c>
      <c r="O311">
        <f t="shared" si="48"/>
        <v>1</v>
      </c>
      <c r="P311">
        <f t="shared" si="49"/>
        <v>20.607840936896832</v>
      </c>
    </row>
    <row r="312" spans="3:16" x14ac:dyDescent="0.25">
      <c r="C312">
        <v>0.28399999999999997</v>
      </c>
      <c r="D312">
        <f t="shared" si="40"/>
        <v>-25.963220798117561</v>
      </c>
      <c r="E312">
        <f t="shared" si="41"/>
        <v>15.403460633793603</v>
      </c>
      <c r="F312">
        <f t="shared" si="44"/>
        <v>0.66599716652864127</v>
      </c>
      <c r="G312">
        <f t="shared" si="45"/>
        <v>1</v>
      </c>
      <c r="H312">
        <f t="shared" si="46"/>
        <v>12.570556192021664</v>
      </c>
      <c r="K312">
        <v>0.28399999999999997</v>
      </c>
      <c r="L312">
        <f t="shared" si="42"/>
        <v>-35.147220798117559</v>
      </c>
      <c r="M312">
        <f t="shared" si="43"/>
        <v>25.238901551106594</v>
      </c>
      <c r="N312">
        <f t="shared" si="47"/>
        <v>0.66776629377933794</v>
      </c>
      <c r="O312">
        <f t="shared" si="48"/>
        <v>1</v>
      </c>
      <c r="P312">
        <f t="shared" si="49"/>
        <v>20.624465225574383</v>
      </c>
    </row>
    <row r="313" spans="3:16" x14ac:dyDescent="0.25">
      <c r="C313">
        <v>0.28499999999999998</v>
      </c>
      <c r="D313">
        <f t="shared" si="40"/>
        <v>-25.926028217859482</v>
      </c>
      <c r="E313">
        <f t="shared" si="41"/>
        <v>15.396027621639192</v>
      </c>
      <c r="F313">
        <f t="shared" si="44"/>
        <v>0.66771275326447532</v>
      </c>
      <c r="G313">
        <f t="shared" si="45"/>
        <v>1</v>
      </c>
      <c r="H313">
        <f t="shared" si="46"/>
        <v>12.580662659162551</v>
      </c>
      <c r="K313">
        <v>0.28499999999999998</v>
      </c>
      <c r="L313">
        <f t="shared" si="42"/>
        <v>-35.086028217859486</v>
      </c>
      <c r="M313">
        <f t="shared" si="43"/>
        <v>25.226672090561991</v>
      </c>
      <c r="N313">
        <f t="shared" si="47"/>
        <v>0.66948353009567929</v>
      </c>
      <c r="O313">
        <f t="shared" si="48"/>
        <v>1</v>
      </c>
      <c r="P313">
        <f t="shared" si="49"/>
        <v>20.640960881223108</v>
      </c>
    </row>
    <row r="314" spans="3:16" x14ac:dyDescent="0.25">
      <c r="C314">
        <v>0.28599999999999998</v>
      </c>
      <c r="D314">
        <f t="shared" si="40"/>
        <v>-25.888835637601407</v>
      </c>
      <c r="E314">
        <f t="shared" si="41"/>
        <v>15.38859460948478</v>
      </c>
      <c r="F314">
        <f t="shared" si="44"/>
        <v>0.66942392264094297</v>
      </c>
      <c r="G314">
        <f t="shared" si="45"/>
        <v>1</v>
      </c>
      <c r="H314">
        <f t="shared" si="46"/>
        <v>12.590691216268006</v>
      </c>
      <c r="K314">
        <v>0.28599999999999998</v>
      </c>
      <c r="L314">
        <f t="shared" si="42"/>
        <v>-35.024835637601406</v>
      </c>
      <c r="M314">
        <f t="shared" si="43"/>
        <v>25.214442630017388</v>
      </c>
      <c r="N314">
        <f t="shared" si="47"/>
        <v>0.67119631691412274</v>
      </c>
      <c r="O314">
        <f t="shared" si="48"/>
        <v>1</v>
      </c>
      <c r="P314">
        <f t="shared" si="49"/>
        <v>20.657328448699047</v>
      </c>
    </row>
    <row r="315" spans="3:16" x14ac:dyDescent="0.25">
      <c r="C315">
        <v>0.28699999999999998</v>
      </c>
      <c r="D315">
        <f t="shared" si="40"/>
        <v>-25.851643057343328</v>
      </c>
      <c r="E315">
        <f t="shared" si="41"/>
        <v>15.381161597330365</v>
      </c>
      <c r="F315">
        <f t="shared" si="44"/>
        <v>0.67113067465804455</v>
      </c>
      <c r="G315">
        <f t="shared" si="45"/>
        <v>1</v>
      </c>
      <c r="H315">
        <f t="shared" si="46"/>
        <v>12.600642192193256</v>
      </c>
      <c r="K315">
        <v>0.28699999999999998</v>
      </c>
      <c r="L315">
        <f t="shared" si="42"/>
        <v>-34.963643057343333</v>
      </c>
      <c r="M315">
        <f t="shared" si="43"/>
        <v>25.202213169472785</v>
      </c>
      <c r="N315">
        <f t="shared" si="47"/>
        <v>0.67290465423466783</v>
      </c>
      <c r="O315">
        <f t="shared" si="48"/>
        <v>1</v>
      </c>
      <c r="P315">
        <f t="shared" si="49"/>
        <v>20.673568468552023</v>
      </c>
    </row>
    <row r="316" spans="3:16" x14ac:dyDescent="0.25">
      <c r="C316">
        <v>0.28799999999999998</v>
      </c>
      <c r="D316">
        <f t="shared" si="40"/>
        <v>-25.814450477085249</v>
      </c>
      <c r="E316">
        <f t="shared" si="41"/>
        <v>15.373728585175954</v>
      </c>
      <c r="F316">
        <f t="shared" si="44"/>
        <v>0.67283300931577983</v>
      </c>
      <c r="G316">
        <f t="shared" si="45"/>
        <v>1</v>
      </c>
      <c r="H316">
        <f t="shared" si="46"/>
        <v>12.610515913203491</v>
      </c>
      <c r="K316">
        <v>0.28799999999999998</v>
      </c>
      <c r="L316">
        <f t="shared" si="42"/>
        <v>-34.902450477085253</v>
      </c>
      <c r="M316">
        <f t="shared" si="43"/>
        <v>25.189983708928182</v>
      </c>
      <c r="N316">
        <f t="shared" si="47"/>
        <v>0.67460854205731491</v>
      </c>
      <c r="O316">
        <f t="shared" si="48"/>
        <v>1</v>
      </c>
      <c r="P316">
        <f t="shared" si="49"/>
        <v>20.689681477076117</v>
      </c>
    </row>
    <row r="317" spans="3:16" x14ac:dyDescent="0.25">
      <c r="C317">
        <v>0.28899999999999998</v>
      </c>
      <c r="D317">
        <f t="shared" si="40"/>
        <v>-25.777257896827173</v>
      </c>
      <c r="E317">
        <f t="shared" si="41"/>
        <v>15.366295573021542</v>
      </c>
      <c r="F317">
        <f t="shared" si="44"/>
        <v>0.67453092661414871</v>
      </c>
      <c r="G317">
        <f t="shared" si="45"/>
        <v>1</v>
      </c>
      <c r="H317">
        <f t="shared" si="46"/>
        <v>12.620312703004084</v>
      </c>
      <c r="K317">
        <v>0.28899999999999998</v>
      </c>
      <c r="L317">
        <f t="shared" si="42"/>
        <v>-34.841257896827173</v>
      </c>
      <c r="M317">
        <f t="shared" si="43"/>
        <v>25.177754248383579</v>
      </c>
      <c r="N317">
        <f t="shared" si="47"/>
        <v>0.67630798038206386</v>
      </c>
      <c r="O317">
        <f t="shared" si="48"/>
        <v>1</v>
      </c>
      <c r="P317">
        <f t="shared" si="49"/>
        <v>20.705668006359303</v>
      </c>
    </row>
    <row r="318" spans="3:16" x14ac:dyDescent="0.25">
      <c r="C318">
        <v>0.28999999999999998</v>
      </c>
      <c r="D318">
        <f t="shared" si="40"/>
        <v>-25.740065316569094</v>
      </c>
      <c r="E318">
        <f t="shared" si="41"/>
        <v>15.358862560867129</v>
      </c>
      <c r="F318">
        <f t="shared" si="44"/>
        <v>0.67622442655315151</v>
      </c>
      <c r="G318">
        <f t="shared" si="45"/>
        <v>1</v>
      </c>
      <c r="H318">
        <f t="shared" si="46"/>
        <v>12.63003288277036</v>
      </c>
      <c r="K318">
        <v>0.28999999999999998</v>
      </c>
      <c r="L318">
        <f t="shared" si="42"/>
        <v>-34.780065316569093</v>
      </c>
      <c r="M318">
        <f t="shared" si="43"/>
        <v>25.165524787838972</v>
      </c>
      <c r="N318">
        <f t="shared" si="47"/>
        <v>0.67800296920891467</v>
      </c>
      <c r="O318">
        <f t="shared" si="48"/>
        <v>1</v>
      </c>
      <c r="P318">
        <f t="shared" si="49"/>
        <v>20.72152858433234</v>
      </c>
    </row>
    <row r="319" spans="3:16" x14ac:dyDescent="0.25">
      <c r="C319">
        <v>0.29099999999999998</v>
      </c>
      <c r="D319">
        <f t="shared" si="40"/>
        <v>-25.702872736311015</v>
      </c>
      <c r="E319">
        <f t="shared" si="41"/>
        <v>15.351429548712716</v>
      </c>
      <c r="F319">
        <f t="shared" si="44"/>
        <v>0.67791350913278814</v>
      </c>
      <c r="G319">
        <f t="shared" si="45"/>
        <v>1</v>
      </c>
      <c r="H319">
        <f t="shared" si="46"/>
        <v>12.639676771176916</v>
      </c>
      <c r="K319">
        <v>0.29099999999999998</v>
      </c>
      <c r="L319">
        <f t="shared" si="42"/>
        <v>-34.718872736311013</v>
      </c>
      <c r="M319">
        <f t="shared" si="43"/>
        <v>25.153295327294369</v>
      </c>
      <c r="N319">
        <f t="shared" si="47"/>
        <v>0.67969350853786725</v>
      </c>
      <c r="O319">
        <f t="shared" si="48"/>
        <v>1</v>
      </c>
      <c r="P319">
        <f t="shared" si="49"/>
        <v>20.737263734816953</v>
      </c>
    </row>
    <row r="320" spans="3:16" x14ac:dyDescent="0.25">
      <c r="C320">
        <v>0.29199999999999998</v>
      </c>
      <c r="D320">
        <f t="shared" si="40"/>
        <v>-25.665680156052936</v>
      </c>
      <c r="E320">
        <f t="shared" si="41"/>
        <v>15.343996536558304</v>
      </c>
      <c r="F320">
        <f t="shared" si="44"/>
        <v>0.67959817435305847</v>
      </c>
      <c r="G320">
        <f t="shared" si="45"/>
        <v>1</v>
      </c>
      <c r="H320">
        <f t="shared" si="46"/>
        <v>12.649244684426476</v>
      </c>
      <c r="K320">
        <v>0.29199999999999998</v>
      </c>
      <c r="L320">
        <f t="shared" si="42"/>
        <v>-34.657680156052933</v>
      </c>
      <c r="M320">
        <f t="shared" si="43"/>
        <v>25.141065866749766</v>
      </c>
      <c r="N320">
        <f t="shared" si="47"/>
        <v>0.6813795983689217</v>
      </c>
      <c r="O320">
        <f t="shared" si="48"/>
        <v>1</v>
      </c>
      <c r="P320">
        <f t="shared" si="49"/>
        <v>20.752873977573238</v>
      </c>
    </row>
    <row r="321" spans="3:16" x14ac:dyDescent="0.25">
      <c r="C321">
        <v>0.29299999999999998</v>
      </c>
      <c r="D321">
        <f t="shared" si="40"/>
        <v>-25.628487575794857</v>
      </c>
      <c r="E321">
        <f t="shared" si="41"/>
        <v>15.336563524403893</v>
      </c>
      <c r="F321">
        <f t="shared" si="44"/>
        <v>0.68127842221396251</v>
      </c>
      <c r="G321">
        <f t="shared" si="45"/>
        <v>1</v>
      </c>
      <c r="H321">
        <f t="shared" si="46"/>
        <v>12.658736936278332</v>
      </c>
      <c r="K321">
        <v>0.29299999999999998</v>
      </c>
      <c r="L321">
        <f t="shared" si="42"/>
        <v>-34.596487575794853</v>
      </c>
      <c r="M321">
        <f t="shared" si="43"/>
        <v>25.128836406205163</v>
      </c>
      <c r="N321">
        <f t="shared" si="47"/>
        <v>0.68306123870207813</v>
      </c>
      <c r="O321">
        <f t="shared" si="48"/>
        <v>1</v>
      </c>
      <c r="P321">
        <f t="shared" si="49"/>
        <v>20.768359828346394</v>
      </c>
    </row>
    <row r="322" spans="3:16" x14ac:dyDescent="0.25">
      <c r="C322">
        <v>0.29399999999999998</v>
      </c>
      <c r="D322">
        <f t="shared" si="40"/>
        <v>-25.591294995536778</v>
      </c>
      <c r="E322">
        <f t="shared" si="41"/>
        <v>15.329130512249478</v>
      </c>
      <c r="F322">
        <f t="shared" si="44"/>
        <v>0.68295425271550037</v>
      </c>
      <c r="G322">
        <f t="shared" si="45"/>
        <v>1</v>
      </c>
      <c r="H322">
        <f t="shared" si="46"/>
        <v>12.668153838076352</v>
      </c>
      <c r="K322">
        <v>0.29399999999999998</v>
      </c>
      <c r="L322">
        <f t="shared" si="42"/>
        <v>-34.535294995536773</v>
      </c>
      <c r="M322">
        <f t="shared" si="43"/>
        <v>25.116606945660561</v>
      </c>
      <c r="N322">
        <f t="shared" si="47"/>
        <v>0.68473842953733621</v>
      </c>
      <c r="O322">
        <f t="shared" si="48"/>
        <v>1</v>
      </c>
      <c r="P322">
        <f t="shared" si="49"/>
        <v>20.783721798912705</v>
      </c>
    </row>
    <row r="323" spans="3:16" x14ac:dyDescent="0.25">
      <c r="C323">
        <v>0.29499999999999998</v>
      </c>
      <c r="D323">
        <f t="shared" si="40"/>
        <v>-25.554102415278699</v>
      </c>
      <c r="E323">
        <f t="shared" si="41"/>
        <v>15.321697500095066</v>
      </c>
      <c r="F323">
        <f t="shared" si="44"/>
        <v>0.68462566585767193</v>
      </c>
      <c r="G323">
        <f t="shared" si="45"/>
        <v>1</v>
      </c>
      <c r="H323">
        <f t="shared" si="46"/>
        <v>12.677495698776568</v>
      </c>
      <c r="K323">
        <v>0.29499999999999998</v>
      </c>
      <c r="L323">
        <f t="shared" si="42"/>
        <v>-34.474102415278701</v>
      </c>
      <c r="M323">
        <f t="shared" si="43"/>
        <v>25.104377485115958</v>
      </c>
      <c r="N323">
        <f t="shared" si="47"/>
        <v>0.68641117087469605</v>
      </c>
      <c r="O323">
        <f t="shared" si="48"/>
        <v>1</v>
      </c>
      <c r="P323">
        <f t="shared" si="49"/>
        <v>20.798960397124887</v>
      </c>
    </row>
    <row r="324" spans="3:16" x14ac:dyDescent="0.25">
      <c r="C324">
        <v>0.29599999999999999</v>
      </c>
      <c r="D324">
        <f t="shared" si="40"/>
        <v>-25.51690983502062</v>
      </c>
      <c r="E324">
        <f t="shared" si="41"/>
        <v>15.314264487940655</v>
      </c>
      <c r="F324">
        <f t="shared" si="44"/>
        <v>0.68629266164047742</v>
      </c>
      <c r="G324">
        <f t="shared" si="45"/>
        <v>1</v>
      </c>
      <c r="H324">
        <f t="shared" si="46"/>
        <v>12.686762824974341</v>
      </c>
      <c r="K324">
        <v>0.29599999999999999</v>
      </c>
      <c r="L324">
        <f t="shared" si="42"/>
        <v>-34.412909835020621</v>
      </c>
      <c r="M324">
        <f t="shared" si="43"/>
        <v>25.092148024571355</v>
      </c>
      <c r="N324">
        <f t="shared" si="47"/>
        <v>0.68807946271415799</v>
      </c>
      <c r="O324">
        <f t="shared" si="48"/>
        <v>1</v>
      </c>
      <c r="P324">
        <f t="shared" si="49"/>
        <v>20.814076126956731</v>
      </c>
    </row>
    <row r="325" spans="3:16" x14ac:dyDescent="0.25">
      <c r="C325">
        <v>0.29699999999999999</v>
      </c>
      <c r="D325">
        <f t="shared" si="40"/>
        <v>-25.479717254762541</v>
      </c>
      <c r="E325">
        <f t="shared" si="41"/>
        <v>15.30683147578624</v>
      </c>
      <c r="F325">
        <f t="shared" si="44"/>
        <v>0.68795524006391662</v>
      </c>
      <c r="G325">
        <f t="shared" si="45"/>
        <v>1</v>
      </c>
      <c r="H325">
        <f t="shared" si="46"/>
        <v>12.695955520931133</v>
      </c>
      <c r="K325">
        <v>0.29699999999999999</v>
      </c>
      <c r="L325">
        <f t="shared" si="42"/>
        <v>-34.351717254762541</v>
      </c>
      <c r="M325">
        <f t="shared" si="43"/>
        <v>25.079918564026748</v>
      </c>
      <c r="N325">
        <f t="shared" si="47"/>
        <v>0.68974330505572157</v>
      </c>
      <c r="O325">
        <f t="shared" si="48"/>
        <v>1</v>
      </c>
      <c r="P325">
        <f t="shared" si="49"/>
        <v>20.829069488547049</v>
      </c>
    </row>
    <row r="326" spans="3:16" x14ac:dyDescent="0.25">
      <c r="C326">
        <v>0.29799999999999999</v>
      </c>
      <c r="D326">
        <f t="shared" si="40"/>
        <v>-25.442524674504462</v>
      </c>
      <c r="E326">
        <f t="shared" si="41"/>
        <v>15.299398463631828</v>
      </c>
      <c r="F326">
        <f t="shared" si="44"/>
        <v>0.68961340112798941</v>
      </c>
      <c r="G326">
        <f t="shared" si="45"/>
        <v>1</v>
      </c>
      <c r="H326">
        <f t="shared" si="46"/>
        <v>12.70507408860089</v>
      </c>
      <c r="K326">
        <v>0.29799999999999999</v>
      </c>
      <c r="L326">
        <f t="shared" si="42"/>
        <v>-34.290524674504468</v>
      </c>
      <c r="M326">
        <f t="shared" si="43"/>
        <v>25.067689103482149</v>
      </c>
      <c r="N326">
        <f t="shared" si="47"/>
        <v>0.69140269789938702</v>
      </c>
      <c r="O326">
        <f t="shared" si="48"/>
        <v>1</v>
      </c>
      <c r="P326">
        <f t="shared" si="49"/>
        <v>20.843940978243054</v>
      </c>
    </row>
    <row r="327" spans="3:16" x14ac:dyDescent="0.25">
      <c r="C327">
        <v>0.29899999999999999</v>
      </c>
      <c r="D327">
        <f t="shared" si="40"/>
        <v>-25.405332094246383</v>
      </c>
      <c r="E327">
        <f t="shared" si="41"/>
        <v>15.291965451477417</v>
      </c>
      <c r="F327">
        <f t="shared" si="44"/>
        <v>0.69126714483269613</v>
      </c>
      <c r="G327">
        <f t="shared" si="45"/>
        <v>1</v>
      </c>
      <c r="H327">
        <f t="shared" si="46"/>
        <v>12.714118827656018</v>
      </c>
      <c r="K327">
        <v>0.29899999999999999</v>
      </c>
      <c r="L327">
        <f t="shared" si="42"/>
        <v>-34.229332094246388</v>
      </c>
      <c r="M327">
        <f t="shared" si="43"/>
        <v>25.055459642937542</v>
      </c>
      <c r="N327">
        <f t="shared" si="47"/>
        <v>0.69305764124515445</v>
      </c>
      <c r="O327">
        <f t="shared" si="48"/>
        <v>1</v>
      </c>
      <c r="P327">
        <f t="shared" si="49"/>
        <v>20.858691088642995</v>
      </c>
    </row>
    <row r="328" spans="3:16" x14ac:dyDescent="0.25">
      <c r="C328">
        <v>0.3</v>
      </c>
      <c r="D328">
        <f t="shared" si="40"/>
        <v>-25.368139513988304</v>
      </c>
      <c r="E328">
        <f t="shared" si="41"/>
        <v>15.284532439323003</v>
      </c>
      <c r="F328">
        <f t="shared" si="44"/>
        <v>0.69291647117803645</v>
      </c>
      <c r="G328">
        <f t="shared" si="45"/>
        <v>1</v>
      </c>
      <c r="H328">
        <f t="shared" si="46"/>
        <v>12.723090035512978</v>
      </c>
      <c r="K328">
        <v>0.3</v>
      </c>
      <c r="L328">
        <f t="shared" si="42"/>
        <v>-34.168139513988308</v>
      </c>
      <c r="M328">
        <f t="shared" si="43"/>
        <v>25.043230182392939</v>
      </c>
      <c r="N328">
        <f t="shared" si="47"/>
        <v>0.69470813509302365</v>
      </c>
      <c r="O328">
        <f t="shared" si="48"/>
        <v>1</v>
      </c>
      <c r="P328">
        <f t="shared" si="49"/>
        <v>20.873320308638259</v>
      </c>
    </row>
    <row r="329" spans="3:16" x14ac:dyDescent="0.25">
      <c r="C329">
        <v>0.30099999999999999</v>
      </c>
      <c r="D329">
        <f t="shared" si="40"/>
        <v>-25.330946933730228</v>
      </c>
      <c r="E329">
        <f t="shared" si="41"/>
        <v>15.27709942716859</v>
      </c>
      <c r="F329">
        <f t="shared" si="44"/>
        <v>0.69456138016401048</v>
      </c>
      <c r="G329">
        <f t="shared" si="45"/>
        <v>1</v>
      </c>
      <c r="H329">
        <f t="shared" si="46"/>
        <v>12.731988007357524</v>
      </c>
      <c r="K329">
        <v>0.30099999999999999</v>
      </c>
      <c r="L329">
        <f t="shared" si="42"/>
        <v>-34.106946933730228</v>
      </c>
      <c r="M329">
        <f t="shared" si="43"/>
        <v>25.031000721848336</v>
      </c>
      <c r="N329">
        <f t="shared" si="47"/>
        <v>0.69635417944299483</v>
      </c>
      <c r="O329">
        <f t="shared" si="48"/>
        <v>1</v>
      </c>
      <c r="P329">
        <f t="shared" si="49"/>
        <v>20.887829123454779</v>
      </c>
    </row>
    <row r="330" spans="3:16" x14ac:dyDescent="0.25">
      <c r="C330">
        <v>0.30199999999999999</v>
      </c>
      <c r="D330">
        <f t="shared" si="40"/>
        <v>-25.293754353472149</v>
      </c>
      <c r="E330">
        <f t="shared" si="41"/>
        <v>15.269666415014179</v>
      </c>
      <c r="F330">
        <f t="shared" si="44"/>
        <v>0.69620187179061843</v>
      </c>
      <c r="G330">
        <f t="shared" si="45"/>
        <v>1</v>
      </c>
      <c r="H330">
        <f t="shared" si="46"/>
        <v>12.74081303616955</v>
      </c>
      <c r="K330">
        <v>0.30199999999999999</v>
      </c>
      <c r="L330">
        <f t="shared" si="42"/>
        <v>-34.045754353472148</v>
      </c>
      <c r="M330">
        <f t="shared" si="43"/>
        <v>25.018771261303733</v>
      </c>
      <c r="N330">
        <f t="shared" si="47"/>
        <v>0.69799577429506776</v>
      </c>
      <c r="O330">
        <f t="shared" si="48"/>
        <v>1</v>
      </c>
      <c r="P330">
        <f t="shared" si="49"/>
        <v>20.902218014693879</v>
      </c>
    </row>
    <row r="331" spans="3:16" x14ac:dyDescent="0.25">
      <c r="C331">
        <v>0.30299999999999999</v>
      </c>
      <c r="D331">
        <f t="shared" si="40"/>
        <v>-25.25656177321407</v>
      </c>
      <c r="E331">
        <f t="shared" si="41"/>
        <v>15.262233402859767</v>
      </c>
      <c r="F331">
        <f t="shared" si="44"/>
        <v>0.69783794605786009</v>
      </c>
      <c r="G331">
        <f t="shared" si="45"/>
        <v>1</v>
      </c>
      <c r="H331">
        <f t="shared" si="46"/>
        <v>12.749565412747586</v>
      </c>
      <c r="K331">
        <v>0.30299999999999999</v>
      </c>
      <c r="L331">
        <f t="shared" si="42"/>
        <v>-33.984561773214068</v>
      </c>
      <c r="M331">
        <f t="shared" si="43"/>
        <v>25.00654180075913</v>
      </c>
      <c r="N331">
        <f t="shared" si="47"/>
        <v>0.69963291964924246</v>
      </c>
      <c r="O331">
        <f t="shared" si="48"/>
        <v>1</v>
      </c>
      <c r="P331">
        <f t="shared" si="49"/>
        <v>20.916487460372526</v>
      </c>
    </row>
    <row r="332" spans="3:16" x14ac:dyDescent="0.25">
      <c r="C332">
        <v>0.30399999999999999</v>
      </c>
      <c r="D332">
        <f t="shared" si="40"/>
        <v>-25.219369192955991</v>
      </c>
      <c r="E332">
        <f t="shared" si="41"/>
        <v>15.254800390705352</v>
      </c>
      <c r="F332">
        <f t="shared" si="44"/>
        <v>0.69946960296573546</v>
      </c>
      <c r="G332">
        <f t="shared" si="45"/>
        <v>1</v>
      </c>
      <c r="H332">
        <f t="shared" si="46"/>
        <v>12.758245425732925</v>
      </c>
      <c r="K332">
        <v>0.30399999999999999</v>
      </c>
      <c r="L332">
        <f t="shared" si="42"/>
        <v>-33.923369192955988</v>
      </c>
      <c r="M332">
        <f t="shared" si="43"/>
        <v>24.994312340214528</v>
      </c>
      <c r="N332">
        <f t="shared" si="47"/>
        <v>0.70126561550551902</v>
      </c>
      <c r="O332">
        <f t="shared" si="48"/>
        <v>1</v>
      </c>
      <c r="P332">
        <f t="shared" si="49"/>
        <v>20.930637934962967</v>
      </c>
    </row>
    <row r="333" spans="3:16" x14ac:dyDescent="0.25">
      <c r="C333">
        <v>0.30499999999999999</v>
      </c>
      <c r="D333">
        <f t="shared" si="40"/>
        <v>-25.182176612697916</v>
      </c>
      <c r="E333">
        <f t="shared" si="41"/>
        <v>15.24736737855094</v>
      </c>
      <c r="F333">
        <f t="shared" si="44"/>
        <v>0.70109684251424453</v>
      </c>
      <c r="G333">
        <f t="shared" si="45"/>
        <v>1</v>
      </c>
      <c r="H333">
        <f t="shared" si="46"/>
        <v>12.766853361633437</v>
      </c>
      <c r="K333">
        <v>0.30499999999999999</v>
      </c>
      <c r="L333">
        <f t="shared" si="42"/>
        <v>-33.862176612697915</v>
      </c>
      <c r="M333">
        <f t="shared" si="43"/>
        <v>24.982082879669925</v>
      </c>
      <c r="N333">
        <f t="shared" si="47"/>
        <v>0.70289386186389735</v>
      </c>
      <c r="O333">
        <f t="shared" si="48"/>
        <v>1</v>
      </c>
      <c r="P333">
        <f t="shared" si="49"/>
        <v>20.944669909431827</v>
      </c>
    </row>
    <row r="334" spans="3:16" x14ac:dyDescent="0.25">
      <c r="C334">
        <v>0.30599999999999999</v>
      </c>
      <c r="D334">
        <f t="shared" si="40"/>
        <v>-25.144984032439837</v>
      </c>
      <c r="E334">
        <f t="shared" si="41"/>
        <v>15.239934366396529</v>
      </c>
      <c r="F334">
        <f t="shared" si="44"/>
        <v>0.70271966470338754</v>
      </c>
      <c r="G334">
        <f t="shared" si="45"/>
        <v>1</v>
      </c>
      <c r="H334">
        <f t="shared" si="46"/>
        <v>12.775389504846984</v>
      </c>
      <c r="K334">
        <v>0.30599999999999999</v>
      </c>
      <c r="L334">
        <f t="shared" si="42"/>
        <v>-33.800984032439835</v>
      </c>
      <c r="M334">
        <f t="shared" si="43"/>
        <v>24.969853419125322</v>
      </c>
      <c r="N334">
        <f t="shared" si="47"/>
        <v>0.70451765872437766</v>
      </c>
      <c r="O334">
        <f t="shared" si="48"/>
        <v>1</v>
      </c>
      <c r="P334">
        <f t="shared" si="49"/>
        <v>20.958583851278604</v>
      </c>
    </row>
    <row r="335" spans="3:16" x14ac:dyDescent="0.25">
      <c r="C335">
        <v>0.307</v>
      </c>
      <c r="D335">
        <f t="shared" si="40"/>
        <v>-25.107791452181758</v>
      </c>
      <c r="E335">
        <f t="shared" si="41"/>
        <v>15.232501354242116</v>
      </c>
      <c r="F335">
        <f t="shared" si="44"/>
        <v>0.70433806953316425</v>
      </c>
      <c r="G335">
        <f t="shared" si="45"/>
        <v>1</v>
      </c>
      <c r="H335">
        <f t="shared" si="46"/>
        <v>12.783854137684543</v>
      </c>
      <c r="K335">
        <v>0.307</v>
      </c>
      <c r="L335">
        <f t="shared" si="42"/>
        <v>-33.739791452181755</v>
      </c>
      <c r="M335">
        <f t="shared" si="43"/>
        <v>24.957623958580719</v>
      </c>
      <c r="N335">
        <f t="shared" si="47"/>
        <v>0.70613700608695984</v>
      </c>
      <c r="O335">
        <f t="shared" si="48"/>
        <v>1</v>
      </c>
      <c r="P335">
        <f t="shared" si="49"/>
        <v>20.972380224573651</v>
      </c>
    </row>
    <row r="336" spans="3:16" x14ac:dyDescent="0.25">
      <c r="C336">
        <v>0.308</v>
      </c>
      <c r="D336">
        <f t="shared" si="40"/>
        <v>-25.070598871923679</v>
      </c>
      <c r="E336">
        <f t="shared" si="41"/>
        <v>15.225068342087702</v>
      </c>
      <c r="F336">
        <f t="shared" si="44"/>
        <v>0.70595205700357477</v>
      </c>
      <c r="G336">
        <f t="shared" si="45"/>
        <v>1</v>
      </c>
      <c r="H336">
        <f t="shared" si="46"/>
        <v>12.792247540392976</v>
      </c>
      <c r="K336">
        <v>0.308</v>
      </c>
      <c r="L336">
        <f t="shared" si="42"/>
        <v>-33.678598871923683</v>
      </c>
      <c r="M336">
        <f t="shared" si="43"/>
        <v>24.945394498036116</v>
      </c>
      <c r="N336">
        <f t="shared" si="47"/>
        <v>0.70775190395164367</v>
      </c>
      <c r="O336">
        <f t="shared" si="48"/>
        <v>1</v>
      </c>
      <c r="P336">
        <f t="shared" si="49"/>
        <v>20.986059489995583</v>
      </c>
    </row>
    <row r="337" spans="3:16" x14ac:dyDescent="0.25">
      <c r="C337">
        <v>0.309</v>
      </c>
      <c r="D337">
        <f t="shared" si="40"/>
        <v>-25.033406291665599</v>
      </c>
      <c r="E337">
        <f t="shared" si="41"/>
        <v>15.217635329933291</v>
      </c>
      <c r="F337">
        <f t="shared" si="44"/>
        <v>0.70756162711461901</v>
      </c>
      <c r="G337">
        <f t="shared" si="45"/>
        <v>1</v>
      </c>
      <c r="H337">
        <f t="shared" si="46"/>
        <v>12.80056999117749</v>
      </c>
      <c r="K337">
        <v>0.309</v>
      </c>
      <c r="L337">
        <f t="shared" si="42"/>
        <v>-33.617406291665603</v>
      </c>
      <c r="M337">
        <f t="shared" si="43"/>
        <v>24.933165037491513</v>
      </c>
      <c r="N337">
        <f t="shared" si="47"/>
        <v>0.70936235231842948</v>
      </c>
      <c r="O337">
        <f t="shared" si="48"/>
        <v>1</v>
      </c>
      <c r="P337">
        <f t="shared" si="49"/>
        <v>20.999622104868152</v>
      </c>
    </row>
    <row r="338" spans="3:16" x14ac:dyDescent="0.25">
      <c r="C338">
        <v>0.31</v>
      </c>
      <c r="D338">
        <f t="shared" si="40"/>
        <v>-24.99621371140752</v>
      </c>
      <c r="E338">
        <f t="shared" si="41"/>
        <v>15.210202317778879</v>
      </c>
      <c r="F338">
        <f t="shared" si="44"/>
        <v>0.70916677986629706</v>
      </c>
      <c r="G338">
        <f t="shared" si="45"/>
        <v>1</v>
      </c>
      <c r="H338">
        <f t="shared" si="46"/>
        <v>12.808821766223751</v>
      </c>
      <c r="K338">
        <v>0.31</v>
      </c>
      <c r="L338">
        <f t="shared" si="42"/>
        <v>-33.556213711407523</v>
      </c>
      <c r="M338">
        <f t="shared" si="43"/>
        <v>24.92093557694691</v>
      </c>
      <c r="N338">
        <f t="shared" si="47"/>
        <v>0.71096835118731716</v>
      </c>
      <c r="O338">
        <f t="shared" si="48"/>
        <v>1</v>
      </c>
      <c r="P338">
        <f t="shared" si="49"/>
        <v>21.013068523196626</v>
      </c>
    </row>
    <row r="339" spans="3:16" x14ac:dyDescent="0.25">
      <c r="C339">
        <v>0.311</v>
      </c>
      <c r="D339">
        <f t="shared" si="40"/>
        <v>-24.959021131149441</v>
      </c>
      <c r="E339">
        <f t="shared" si="41"/>
        <v>15.202769305624464</v>
      </c>
      <c r="F339">
        <f t="shared" si="44"/>
        <v>0.71076751525860882</v>
      </c>
      <c r="G339">
        <f t="shared" si="45"/>
        <v>1</v>
      </c>
      <c r="H339">
        <f t="shared" si="46"/>
        <v>12.817003139719715</v>
      </c>
      <c r="K339">
        <v>0.311</v>
      </c>
      <c r="L339">
        <f t="shared" si="42"/>
        <v>-33.495021131149443</v>
      </c>
      <c r="M339">
        <f t="shared" si="43"/>
        <v>24.908706116402303</v>
      </c>
      <c r="N339">
        <f t="shared" si="47"/>
        <v>0.71256990055830671</v>
      </c>
      <c r="O339">
        <f t="shared" si="48"/>
        <v>1</v>
      </c>
      <c r="P339">
        <f t="shared" si="49"/>
        <v>21.026399195703618</v>
      </c>
    </row>
    <row r="340" spans="3:16" x14ac:dyDescent="0.25">
      <c r="C340">
        <v>0.312</v>
      </c>
      <c r="D340">
        <f t="shared" si="40"/>
        <v>-24.921828550891362</v>
      </c>
      <c r="E340">
        <f t="shared" si="41"/>
        <v>15.195336293470053</v>
      </c>
      <c r="F340">
        <f t="shared" si="44"/>
        <v>0.71236383329155428</v>
      </c>
      <c r="G340">
        <f t="shared" si="45"/>
        <v>1</v>
      </c>
      <c r="H340">
        <f t="shared" si="46"/>
        <v>12.82511438387713</v>
      </c>
      <c r="K340">
        <v>0.312</v>
      </c>
      <c r="L340">
        <f t="shared" si="42"/>
        <v>-33.433828550891363</v>
      </c>
      <c r="M340">
        <f t="shared" si="43"/>
        <v>24.8964766558577</v>
      </c>
      <c r="N340">
        <f t="shared" si="47"/>
        <v>0.71416700043139802</v>
      </c>
      <c r="O340">
        <f t="shared" si="48"/>
        <v>1</v>
      </c>
      <c r="P340">
        <f t="shared" si="49"/>
        <v>21.039614569864419</v>
      </c>
    </row>
    <row r="341" spans="3:16" x14ac:dyDescent="0.25">
      <c r="C341">
        <v>0.313</v>
      </c>
      <c r="D341">
        <f t="shared" si="40"/>
        <v>-24.884635970633283</v>
      </c>
      <c r="E341">
        <f t="shared" si="41"/>
        <v>15.187903281315641</v>
      </c>
      <c r="F341">
        <f t="shared" si="44"/>
        <v>0.71395573396513345</v>
      </c>
      <c r="G341">
        <f t="shared" si="45"/>
        <v>1</v>
      </c>
      <c r="H341">
        <f t="shared" si="46"/>
        <v>12.833155768952736</v>
      </c>
      <c r="K341">
        <v>0.313</v>
      </c>
      <c r="L341">
        <f t="shared" si="42"/>
        <v>-33.372635970633283</v>
      </c>
      <c r="M341">
        <f t="shared" si="43"/>
        <v>24.884247195313097</v>
      </c>
      <c r="N341">
        <f t="shared" si="47"/>
        <v>0.71575965080659132</v>
      </c>
      <c r="O341">
        <f t="shared" si="48"/>
        <v>1</v>
      </c>
      <c r="P341">
        <f t="shared" si="49"/>
        <v>21.052715089941838</v>
      </c>
    </row>
    <row r="342" spans="3:16" x14ac:dyDescent="0.25">
      <c r="C342">
        <v>0.314</v>
      </c>
      <c r="D342">
        <f t="shared" si="40"/>
        <v>-24.847443390375204</v>
      </c>
      <c r="E342">
        <f t="shared" si="41"/>
        <v>15.180470269161228</v>
      </c>
      <c r="F342">
        <f t="shared" si="44"/>
        <v>0.71554321727934656</v>
      </c>
      <c r="G342">
        <f t="shared" si="45"/>
        <v>1</v>
      </c>
      <c r="H342">
        <f t="shared" si="46"/>
        <v>12.841127563269175</v>
      </c>
      <c r="K342">
        <v>0.314</v>
      </c>
      <c r="L342">
        <f t="shared" si="42"/>
        <v>-33.311443390375203</v>
      </c>
      <c r="M342">
        <f t="shared" si="43"/>
        <v>24.872017734768495</v>
      </c>
      <c r="N342">
        <f t="shared" si="47"/>
        <v>0.71734785168388637</v>
      </c>
      <c r="O342">
        <f t="shared" si="48"/>
        <v>1</v>
      </c>
      <c r="P342">
        <f t="shared" si="49"/>
        <v>21.06570119702053</v>
      </c>
    </row>
    <row r="343" spans="3:16" x14ac:dyDescent="0.25">
      <c r="C343">
        <v>0.315</v>
      </c>
      <c r="D343">
        <f t="shared" si="40"/>
        <v>-24.810250810117125</v>
      </c>
      <c r="E343">
        <f t="shared" si="41"/>
        <v>15.173037257006815</v>
      </c>
      <c r="F343">
        <f t="shared" si="44"/>
        <v>0.71712628323419336</v>
      </c>
      <c r="G343">
        <f t="shared" si="45"/>
        <v>1</v>
      </c>
      <c r="H343">
        <f t="shared" si="46"/>
        <v>12.849030033235607</v>
      </c>
      <c r="K343">
        <v>0.315</v>
      </c>
      <c r="L343">
        <f t="shared" si="42"/>
        <v>-33.250250810117123</v>
      </c>
      <c r="M343">
        <f t="shared" si="43"/>
        <v>24.859788274223892</v>
      </c>
      <c r="N343">
        <f t="shared" si="47"/>
        <v>0.7189316030632833</v>
      </c>
      <c r="O343">
        <f t="shared" si="48"/>
        <v>1</v>
      </c>
      <c r="P343">
        <f t="shared" si="49"/>
        <v>21.078573329040896</v>
      </c>
    </row>
    <row r="344" spans="3:16" x14ac:dyDescent="0.25">
      <c r="C344">
        <v>0.316</v>
      </c>
      <c r="D344">
        <f t="shared" si="40"/>
        <v>-24.77305822985905</v>
      </c>
      <c r="E344">
        <f t="shared" si="41"/>
        <v>15.165604244852403</v>
      </c>
      <c r="F344">
        <f t="shared" si="44"/>
        <v>0.71870493182967365</v>
      </c>
      <c r="G344">
        <f t="shared" si="45"/>
        <v>1</v>
      </c>
      <c r="H344">
        <f t="shared" si="46"/>
        <v>12.856863443368026</v>
      </c>
      <c r="K344">
        <v>0.316</v>
      </c>
      <c r="L344">
        <f t="shared" si="42"/>
        <v>-33.18905822985905</v>
      </c>
      <c r="M344">
        <f t="shared" si="43"/>
        <v>24.847558813679289</v>
      </c>
      <c r="N344">
        <f t="shared" si="47"/>
        <v>0.72051090494478187</v>
      </c>
      <c r="O344">
        <f t="shared" si="48"/>
        <v>1</v>
      </c>
      <c r="P344">
        <f t="shared" si="49"/>
        <v>21.091331920832449</v>
      </c>
    </row>
    <row r="345" spans="3:16" x14ac:dyDescent="0.25">
      <c r="C345">
        <v>0.317</v>
      </c>
      <c r="D345">
        <f t="shared" si="40"/>
        <v>-24.735865649600971</v>
      </c>
      <c r="E345">
        <f t="shared" si="41"/>
        <v>15.158171232697992</v>
      </c>
      <c r="F345">
        <f t="shared" si="44"/>
        <v>0.7202791630657881</v>
      </c>
      <c r="G345">
        <f t="shared" si="45"/>
        <v>1</v>
      </c>
      <c r="H345">
        <f t="shared" si="46"/>
        <v>12.864628056309314</v>
      </c>
      <c r="K345">
        <v>0.317</v>
      </c>
      <c r="L345">
        <f t="shared" si="42"/>
        <v>-33.12786564960097</v>
      </c>
      <c r="M345">
        <f t="shared" si="43"/>
        <v>24.835329353134686</v>
      </c>
      <c r="N345">
        <f t="shared" si="47"/>
        <v>0.72208575732838254</v>
      </c>
      <c r="O345">
        <f t="shared" si="48"/>
        <v>1</v>
      </c>
      <c r="P345">
        <f t="shared" si="49"/>
        <v>21.10397740414674</v>
      </c>
    </row>
    <row r="346" spans="3:16" x14ac:dyDescent="0.25">
      <c r="C346">
        <v>0.318</v>
      </c>
      <c r="D346">
        <f t="shared" si="40"/>
        <v>-24.698673069342892</v>
      </c>
      <c r="E346">
        <f t="shared" si="41"/>
        <v>15.150738220543577</v>
      </c>
      <c r="F346">
        <f t="shared" si="44"/>
        <v>0.72184897694253614</v>
      </c>
      <c r="G346">
        <f t="shared" si="45"/>
        <v>1</v>
      </c>
      <c r="H346">
        <f t="shared" si="46"/>
        <v>12.872324132848984</v>
      </c>
      <c r="K346">
        <v>0.318</v>
      </c>
      <c r="L346">
        <f t="shared" si="42"/>
        <v>-33.06667306934289</v>
      </c>
      <c r="M346">
        <f t="shared" si="43"/>
        <v>24.823099892590079</v>
      </c>
      <c r="N346">
        <f t="shared" si="47"/>
        <v>0.72365616021408496</v>
      </c>
      <c r="O346">
        <f t="shared" si="48"/>
        <v>1</v>
      </c>
      <c r="P346">
        <f t="shared" si="49"/>
        <v>21.116510207689831</v>
      </c>
    </row>
    <row r="347" spans="3:16" x14ac:dyDescent="0.25">
      <c r="C347">
        <v>0.31900000000000001</v>
      </c>
      <c r="D347">
        <f t="shared" si="40"/>
        <v>-24.661480489084813</v>
      </c>
      <c r="E347">
        <f t="shared" si="41"/>
        <v>15.143305208389165</v>
      </c>
      <c r="F347">
        <f t="shared" si="44"/>
        <v>0.72341437345991788</v>
      </c>
      <c r="G347">
        <f t="shared" si="45"/>
        <v>1</v>
      </c>
      <c r="H347">
        <f t="shared" si="46"/>
        <v>12.879951931942703</v>
      </c>
      <c r="K347">
        <v>0.31900000000000001</v>
      </c>
      <c r="L347">
        <f t="shared" si="42"/>
        <v>-33.005480489084817</v>
      </c>
      <c r="M347">
        <f t="shared" si="43"/>
        <v>24.81087043204548</v>
      </c>
      <c r="N347">
        <f t="shared" si="47"/>
        <v>0.72522211360188904</v>
      </c>
      <c r="O347">
        <f t="shared" si="48"/>
        <v>1</v>
      </c>
      <c r="P347">
        <f t="shared" si="49"/>
        <v>21.128930757154333</v>
      </c>
    </row>
    <row r="348" spans="3:16" x14ac:dyDescent="0.25">
      <c r="C348">
        <v>0.32</v>
      </c>
      <c r="D348">
        <f t="shared" ref="D348:D411" si="50">-$J$23+($J$15+$J$23)*C348</f>
        <v>-24.624287908826737</v>
      </c>
      <c r="E348">
        <f t="shared" ref="E348:E411" si="51">$J$12-$J$11*D348</f>
        <v>15.135872196234754</v>
      </c>
      <c r="F348">
        <f t="shared" si="44"/>
        <v>0.72497535261793333</v>
      </c>
      <c r="G348">
        <f t="shared" si="45"/>
        <v>1</v>
      </c>
      <c r="H348">
        <f t="shared" si="46"/>
        <v>12.887511710731472</v>
      </c>
      <c r="K348">
        <v>0.32</v>
      </c>
      <c r="L348">
        <f t="shared" ref="L348:L411" si="52">-$M$23+($M$15+$M$23)*K348</f>
        <v>-32.944287908826738</v>
      </c>
      <c r="M348">
        <f t="shared" ref="M348:M411" si="53">$J$12-$J$11*L348+$E$18</f>
        <v>24.798640971500877</v>
      </c>
      <c r="N348">
        <f t="shared" si="47"/>
        <v>0.72678361749179521</v>
      </c>
      <c r="O348">
        <f t="shared" si="48"/>
        <v>1</v>
      </c>
      <c r="P348">
        <f t="shared" si="49"/>
        <v>21.141239475250948</v>
      </c>
    </row>
    <row r="349" spans="3:16" x14ac:dyDescent="0.25">
      <c r="C349">
        <v>0.32100000000000001</v>
      </c>
      <c r="D349">
        <f t="shared" si="50"/>
        <v>-24.587095328568658</v>
      </c>
      <c r="E349">
        <f t="shared" si="51"/>
        <v>15.12843918408034</v>
      </c>
      <c r="F349">
        <f t="shared" ref="F349:F412" si="54">IF(D349&lt;$J$20,MAX(1-(D349-$J$20)^2/$J$22^2,0),1)</f>
        <v>0.72653191441658271</v>
      </c>
      <c r="G349">
        <f t="shared" ref="G349:G412" si="55">IF(D349&gt;$J$17,MAX(1-(D349-$J$17)^2/($J$15-$J$17)^2,0),1)</f>
        <v>1</v>
      </c>
      <c r="H349">
        <f t="shared" ref="H349:H412" si="56">SQRT(E349^2*F349*G349)</f>
        <v>12.89500372456062</v>
      </c>
      <c r="K349">
        <v>0.32100000000000001</v>
      </c>
      <c r="L349">
        <f t="shared" si="52"/>
        <v>-32.883095328568658</v>
      </c>
      <c r="M349">
        <f t="shared" si="53"/>
        <v>24.78641151095627</v>
      </c>
      <c r="N349">
        <f t="shared" ref="N349:N412" si="57">IF(L349&lt;$J$20,MAX(1-(L349-$J$20)^2/$M$22^2,0),1)</f>
        <v>0.72834067188380314</v>
      </c>
      <c r="O349">
        <f t="shared" ref="O349:O412" si="58">IF(L349&gt;$J$17,MAX(1-(L349-$J$17)^2/($M$15-$J$17)^2,0),1)</f>
        <v>1</v>
      </c>
      <c r="P349">
        <f t="shared" ref="P349:P412" si="59">SQRT(M349^2*N349*O349)</f>
        <v>21.153436781739643</v>
      </c>
    </row>
    <row r="350" spans="3:16" x14ac:dyDescent="0.25">
      <c r="C350">
        <v>0.32200000000000001</v>
      </c>
      <c r="D350">
        <f t="shared" si="50"/>
        <v>-24.549902748310579</v>
      </c>
      <c r="E350">
        <f t="shared" si="51"/>
        <v>15.121006171925927</v>
      </c>
      <c r="F350">
        <f t="shared" si="54"/>
        <v>0.7280840588558658</v>
      </c>
      <c r="G350">
        <f t="shared" si="55"/>
        <v>1</v>
      </c>
      <c r="H350">
        <f t="shared" si="56"/>
        <v>12.902428226998483</v>
      </c>
      <c r="K350">
        <v>0.32200000000000001</v>
      </c>
      <c r="L350">
        <f t="shared" si="52"/>
        <v>-32.821902748310578</v>
      </c>
      <c r="M350">
        <f t="shared" si="53"/>
        <v>24.774182050411667</v>
      </c>
      <c r="N350">
        <f t="shared" si="57"/>
        <v>0.72989327677791294</v>
      </c>
      <c r="O350">
        <f t="shared" si="58"/>
        <v>1</v>
      </c>
      <c r="P350">
        <f t="shared" si="59"/>
        <v>21.165523093460362</v>
      </c>
    </row>
    <row r="351" spans="3:16" x14ac:dyDescent="0.25">
      <c r="C351">
        <v>0.32300000000000001</v>
      </c>
      <c r="D351">
        <f t="shared" si="50"/>
        <v>-24.5127101680525</v>
      </c>
      <c r="E351">
        <f t="shared" si="51"/>
        <v>15.113573159771516</v>
      </c>
      <c r="F351">
        <f t="shared" si="54"/>
        <v>0.7296317859357826</v>
      </c>
      <c r="G351">
        <f t="shared" si="55"/>
        <v>1</v>
      </c>
      <c r="H351">
        <f t="shared" si="56"/>
        <v>12.909785469854844</v>
      </c>
      <c r="K351">
        <v>0.32300000000000001</v>
      </c>
      <c r="L351">
        <f t="shared" si="52"/>
        <v>-32.760710168052498</v>
      </c>
      <c r="M351">
        <f t="shared" si="53"/>
        <v>24.761952589867064</v>
      </c>
      <c r="N351">
        <f t="shared" si="57"/>
        <v>0.73144143217412472</v>
      </c>
      <c r="O351">
        <f t="shared" si="58"/>
        <v>1</v>
      </c>
      <c r="P351">
        <f t="shared" si="59"/>
        <v>21.177498824363308</v>
      </c>
    </row>
    <row r="352" spans="3:16" x14ac:dyDescent="0.25">
      <c r="C352">
        <v>0.32400000000000001</v>
      </c>
      <c r="D352">
        <f t="shared" si="50"/>
        <v>-24.475517587794421</v>
      </c>
      <c r="E352">
        <f t="shared" si="51"/>
        <v>15.106140147617104</v>
      </c>
      <c r="F352">
        <f t="shared" si="54"/>
        <v>0.73117509565633321</v>
      </c>
      <c r="G352">
        <f t="shared" si="55"/>
        <v>1</v>
      </c>
      <c r="H352">
        <f t="shared" si="56"/>
        <v>12.91707570319913</v>
      </c>
      <c r="K352">
        <v>0.32400000000000001</v>
      </c>
      <c r="L352">
        <f t="shared" si="52"/>
        <v>-32.699517587794418</v>
      </c>
      <c r="M352">
        <f t="shared" si="53"/>
        <v>24.749723129322462</v>
      </c>
      <c r="N352">
        <f t="shared" si="57"/>
        <v>0.73298513807243815</v>
      </c>
      <c r="O352">
        <f t="shared" si="58"/>
        <v>1</v>
      </c>
      <c r="P352">
        <f t="shared" si="59"/>
        <v>21.189364385538852</v>
      </c>
    </row>
    <row r="353" spans="3:16" x14ac:dyDescent="0.25">
      <c r="C353">
        <v>0.32500000000000001</v>
      </c>
      <c r="D353">
        <f t="shared" si="50"/>
        <v>-24.438325007536342</v>
      </c>
      <c r="E353">
        <f t="shared" si="51"/>
        <v>15.098707135462689</v>
      </c>
      <c r="F353">
        <f t="shared" si="54"/>
        <v>0.73271398801751775</v>
      </c>
      <c r="G353">
        <f t="shared" si="55"/>
        <v>1</v>
      </c>
      <c r="H353">
        <f t="shared" si="56"/>
        <v>12.924299175378351</v>
      </c>
      <c r="K353">
        <v>0.32500000000000001</v>
      </c>
      <c r="L353">
        <f t="shared" si="52"/>
        <v>-32.638325007536338</v>
      </c>
      <c r="M353">
        <f t="shared" si="53"/>
        <v>24.737493668777859</v>
      </c>
      <c r="N353">
        <f t="shared" si="57"/>
        <v>0.73452439447285345</v>
      </c>
      <c r="O353">
        <f t="shared" si="58"/>
        <v>1</v>
      </c>
      <c r="P353">
        <f t="shared" si="59"/>
        <v>21.201120185246989</v>
      </c>
    </row>
    <row r="354" spans="3:16" x14ac:dyDescent="0.25">
      <c r="C354">
        <v>0.32600000000000001</v>
      </c>
      <c r="D354">
        <f t="shared" si="50"/>
        <v>-24.401132427278263</v>
      </c>
      <c r="E354">
        <f t="shared" si="51"/>
        <v>15.091274123308278</v>
      </c>
      <c r="F354">
        <f t="shared" si="54"/>
        <v>0.73424846301933577</v>
      </c>
      <c r="G354">
        <f t="shared" si="55"/>
        <v>1</v>
      </c>
      <c r="H354">
        <f t="shared" si="56"/>
        <v>12.931456133034807</v>
      </c>
      <c r="K354">
        <v>0.32600000000000001</v>
      </c>
      <c r="L354">
        <f t="shared" si="52"/>
        <v>-32.577132427278265</v>
      </c>
      <c r="M354">
        <f t="shared" si="53"/>
        <v>24.725264208233256</v>
      </c>
      <c r="N354">
        <f t="shared" si="57"/>
        <v>0.73605920137537051</v>
      </c>
      <c r="O354">
        <f t="shared" si="58"/>
        <v>1</v>
      </c>
      <c r="P354">
        <f t="shared" si="59"/>
        <v>21.212766628946429</v>
      </c>
    </row>
    <row r="355" spans="3:16" x14ac:dyDescent="0.25">
      <c r="C355">
        <v>0.32700000000000001</v>
      </c>
      <c r="D355">
        <f t="shared" si="50"/>
        <v>-24.363939847020184</v>
      </c>
      <c r="E355">
        <f t="shared" si="51"/>
        <v>15.083841111153866</v>
      </c>
      <c r="F355">
        <f t="shared" si="54"/>
        <v>0.73577852066178773</v>
      </c>
      <c r="G355">
        <f t="shared" si="55"/>
        <v>1</v>
      </c>
      <c r="H355">
        <f t="shared" si="56"/>
        <v>12.938546821123545</v>
      </c>
      <c r="K355">
        <v>0.32700000000000001</v>
      </c>
      <c r="L355">
        <f t="shared" si="52"/>
        <v>-32.515939847020185</v>
      </c>
      <c r="M355">
        <f t="shared" si="53"/>
        <v>24.713034747688653</v>
      </c>
      <c r="N355">
        <f t="shared" si="57"/>
        <v>0.73758955877998955</v>
      </c>
      <c r="O355">
        <f t="shared" si="58"/>
        <v>1</v>
      </c>
      <c r="P355">
        <f t="shared" si="59"/>
        <v>21.224304119323296</v>
      </c>
    </row>
    <row r="356" spans="3:16" x14ac:dyDescent="0.25">
      <c r="C356">
        <v>0.32800000000000001</v>
      </c>
      <c r="D356">
        <f t="shared" si="50"/>
        <v>-24.326747266762105</v>
      </c>
      <c r="E356">
        <f t="shared" si="51"/>
        <v>15.076408098999451</v>
      </c>
      <c r="F356">
        <f t="shared" si="54"/>
        <v>0.73730416094487339</v>
      </c>
      <c r="G356">
        <f t="shared" si="55"/>
        <v>1</v>
      </c>
      <c r="H356">
        <f t="shared" si="56"/>
        <v>12.945571482929578</v>
      </c>
      <c r="K356">
        <v>0.32800000000000001</v>
      </c>
      <c r="L356">
        <f t="shared" si="52"/>
        <v>-32.454747266762105</v>
      </c>
      <c r="M356">
        <f t="shared" si="53"/>
        <v>24.70080528714405</v>
      </c>
      <c r="N356">
        <f t="shared" si="57"/>
        <v>0.73911546668671047</v>
      </c>
      <c r="O356">
        <f t="shared" si="58"/>
        <v>1</v>
      </c>
      <c r="P356">
        <f t="shared" si="59"/>
        <v>21.235733056319408</v>
      </c>
    </row>
    <row r="357" spans="3:16" x14ac:dyDescent="0.25">
      <c r="C357">
        <v>0.32900000000000001</v>
      </c>
      <c r="D357">
        <f t="shared" si="50"/>
        <v>-24.289554686504026</v>
      </c>
      <c r="E357">
        <f t="shared" si="51"/>
        <v>15.06897508684504</v>
      </c>
      <c r="F357">
        <f t="shared" si="54"/>
        <v>0.73882538386859276</v>
      </c>
      <c r="G357">
        <f t="shared" si="55"/>
        <v>1</v>
      </c>
      <c r="H357">
        <f t="shared" si="56"/>
        <v>12.952530360084904</v>
      </c>
      <c r="K357">
        <v>0.32900000000000001</v>
      </c>
      <c r="L357">
        <f t="shared" si="52"/>
        <v>-32.393554686504032</v>
      </c>
      <c r="M357">
        <f t="shared" si="53"/>
        <v>24.688575826599447</v>
      </c>
      <c r="N357">
        <f t="shared" si="57"/>
        <v>0.74063692509553303</v>
      </c>
      <c r="O357">
        <f t="shared" si="58"/>
        <v>1</v>
      </c>
      <c r="P357">
        <f t="shared" si="59"/>
        <v>21.247053837160209</v>
      </c>
    </row>
    <row r="358" spans="3:16" x14ac:dyDescent="0.25">
      <c r="C358">
        <v>0.33</v>
      </c>
      <c r="D358">
        <f t="shared" si="50"/>
        <v>-24.252362106245947</v>
      </c>
      <c r="E358">
        <f t="shared" si="51"/>
        <v>15.061542074690628</v>
      </c>
      <c r="F358">
        <f t="shared" si="54"/>
        <v>0.74034218943294583</v>
      </c>
      <c r="G358">
        <f t="shared" si="55"/>
        <v>1</v>
      </c>
      <c r="H358">
        <f t="shared" si="56"/>
        <v>12.959423692585245</v>
      </c>
      <c r="K358">
        <v>0.33</v>
      </c>
      <c r="L358">
        <f t="shared" si="52"/>
        <v>-32.332362106245952</v>
      </c>
      <c r="M358">
        <f t="shared" si="53"/>
        <v>24.676346366054844</v>
      </c>
      <c r="N358">
        <f t="shared" si="57"/>
        <v>0.74215393400645757</v>
      </c>
      <c r="O358">
        <f t="shared" si="58"/>
        <v>1</v>
      </c>
      <c r="P358">
        <f t="shared" si="59"/>
        <v>21.25826685638232</v>
      </c>
    </row>
    <row r="359" spans="3:16" x14ac:dyDescent="0.25">
      <c r="C359">
        <v>0.33100000000000002</v>
      </c>
      <c r="D359">
        <f t="shared" si="50"/>
        <v>-24.215169525987871</v>
      </c>
      <c r="E359">
        <f t="shared" si="51"/>
        <v>15.054109062536215</v>
      </c>
      <c r="F359">
        <f t="shared" si="54"/>
        <v>0.74185457763793272</v>
      </c>
      <c r="G359">
        <f t="shared" si="55"/>
        <v>1</v>
      </c>
      <c r="H359">
        <f t="shared" si="56"/>
        <v>12.966251718806616</v>
      </c>
      <c r="K359">
        <v>0.33100000000000002</v>
      </c>
      <c r="L359">
        <f t="shared" si="52"/>
        <v>-32.271169525987872</v>
      </c>
      <c r="M359">
        <f t="shared" si="53"/>
        <v>24.664116905510241</v>
      </c>
      <c r="N359">
        <f t="shared" si="57"/>
        <v>0.7436664934194841</v>
      </c>
      <c r="O359">
        <f t="shared" si="58"/>
        <v>1</v>
      </c>
      <c r="P359">
        <f t="shared" si="59"/>
        <v>21.26937250586073</v>
      </c>
    </row>
    <row r="360" spans="3:16" x14ac:dyDescent="0.25">
      <c r="C360">
        <v>0.33200000000000002</v>
      </c>
      <c r="D360">
        <f t="shared" si="50"/>
        <v>-24.177976945729792</v>
      </c>
      <c r="E360">
        <f t="shared" si="51"/>
        <v>15.046676050381802</v>
      </c>
      <c r="F360">
        <f t="shared" si="54"/>
        <v>0.74336254848355332</v>
      </c>
      <c r="G360">
        <f t="shared" si="55"/>
        <v>1</v>
      </c>
      <c r="H360">
        <f t="shared" si="56"/>
        <v>12.973014675521632</v>
      </c>
      <c r="K360">
        <v>0.33200000000000002</v>
      </c>
      <c r="L360">
        <f t="shared" si="52"/>
        <v>-32.209976945729792</v>
      </c>
      <c r="M360">
        <f t="shared" si="53"/>
        <v>24.651887444965638</v>
      </c>
      <c r="N360">
        <f t="shared" si="57"/>
        <v>0.74517460333461227</v>
      </c>
      <c r="O360">
        <f t="shared" si="58"/>
        <v>1</v>
      </c>
      <c r="P360">
        <f t="shared" si="59"/>
        <v>21.280371174835587</v>
      </c>
    </row>
    <row r="361" spans="3:16" x14ac:dyDescent="0.25">
      <c r="C361">
        <v>0.33300000000000002</v>
      </c>
      <c r="D361">
        <f t="shared" si="50"/>
        <v>-24.140784365471713</v>
      </c>
      <c r="E361">
        <f t="shared" si="51"/>
        <v>15.03924303822739</v>
      </c>
      <c r="F361">
        <f t="shared" si="54"/>
        <v>0.74486610196980774</v>
      </c>
      <c r="G361">
        <f t="shared" si="55"/>
        <v>1</v>
      </c>
      <c r="H361">
        <f t="shared" si="56"/>
        <v>12.979712797915639</v>
      </c>
      <c r="K361">
        <v>0.33300000000000002</v>
      </c>
      <c r="L361">
        <f t="shared" si="52"/>
        <v>-32.148784365471712</v>
      </c>
      <c r="M361">
        <f t="shared" si="53"/>
        <v>24.639657984421032</v>
      </c>
      <c r="N361">
        <f t="shared" si="57"/>
        <v>0.74667826375184243</v>
      </c>
      <c r="O361">
        <f t="shared" si="58"/>
        <v>1</v>
      </c>
      <c r="P361">
        <f t="shared" si="59"/>
        <v>21.291263249938694</v>
      </c>
    </row>
    <row r="362" spans="3:16" x14ac:dyDescent="0.25">
      <c r="C362">
        <v>0.33400000000000002</v>
      </c>
      <c r="D362">
        <f t="shared" si="50"/>
        <v>-24.103591785213634</v>
      </c>
      <c r="E362">
        <f t="shared" si="51"/>
        <v>15.031810026072979</v>
      </c>
      <c r="F362">
        <f t="shared" si="54"/>
        <v>0.74636523809669608</v>
      </c>
      <c r="G362">
        <f t="shared" si="55"/>
        <v>1</v>
      </c>
      <c r="H362">
        <f t="shared" si="56"/>
        <v>12.986346319602585</v>
      </c>
      <c r="K362">
        <v>0.33400000000000002</v>
      </c>
      <c r="L362">
        <f t="shared" si="52"/>
        <v>-32.087591785213633</v>
      </c>
      <c r="M362">
        <f t="shared" si="53"/>
        <v>24.627428523876429</v>
      </c>
      <c r="N362">
        <f t="shared" si="57"/>
        <v>0.74817747467117446</v>
      </c>
      <c r="O362">
        <f t="shared" si="58"/>
        <v>1</v>
      </c>
      <c r="P362">
        <f t="shared" si="59"/>
        <v>21.302049115219621</v>
      </c>
    </row>
    <row r="363" spans="3:16" x14ac:dyDescent="0.25">
      <c r="C363">
        <v>0.33500000000000002</v>
      </c>
      <c r="D363">
        <f t="shared" si="50"/>
        <v>-24.066399204955559</v>
      </c>
      <c r="E363">
        <f t="shared" si="51"/>
        <v>15.024377013918565</v>
      </c>
      <c r="F363">
        <f t="shared" si="54"/>
        <v>0.74785995686421791</v>
      </c>
      <c r="G363">
        <f t="shared" si="55"/>
        <v>1</v>
      </c>
      <c r="H363">
        <f t="shared" si="56"/>
        <v>12.992915472640716</v>
      </c>
      <c r="K363">
        <v>0.33500000000000002</v>
      </c>
      <c r="L363">
        <f t="shared" si="52"/>
        <v>-32.026399204955553</v>
      </c>
      <c r="M363">
        <f t="shared" si="53"/>
        <v>24.615199063331826</v>
      </c>
      <c r="N363">
        <f t="shared" si="57"/>
        <v>0.74967223609260825</v>
      </c>
      <c r="O363">
        <f t="shared" si="58"/>
        <v>1</v>
      </c>
      <c r="P363">
        <f t="shared" si="59"/>
        <v>21.31272915217145</v>
      </c>
    </row>
    <row r="364" spans="3:16" x14ac:dyDescent="0.25">
      <c r="C364">
        <v>0.33600000000000002</v>
      </c>
      <c r="D364">
        <f t="shared" si="50"/>
        <v>-24.02920662469748</v>
      </c>
      <c r="E364">
        <f t="shared" si="51"/>
        <v>15.016944001764152</v>
      </c>
      <c r="F364">
        <f t="shared" si="54"/>
        <v>0.74935025827237356</v>
      </c>
      <c r="G364">
        <f t="shared" si="55"/>
        <v>1</v>
      </c>
      <c r="H364">
        <f t="shared" si="56"/>
        <v>12.999420487548074</v>
      </c>
      <c r="K364">
        <v>0.33600000000000002</v>
      </c>
      <c r="L364">
        <f t="shared" si="52"/>
        <v>-31.965206624697476</v>
      </c>
      <c r="M364">
        <f t="shared" si="53"/>
        <v>24.602969602787223</v>
      </c>
      <c r="N364">
        <f t="shared" si="57"/>
        <v>0.75116254801614379</v>
      </c>
      <c r="O364">
        <f t="shared" si="58"/>
        <v>1</v>
      </c>
      <c r="P364">
        <f t="shared" si="59"/>
        <v>21.323303739756238</v>
      </c>
    </row>
    <row r="365" spans="3:16" x14ac:dyDescent="0.25">
      <c r="C365">
        <v>0.33700000000000002</v>
      </c>
      <c r="D365">
        <f t="shared" si="50"/>
        <v>-23.992014044439401</v>
      </c>
      <c r="E365">
        <f t="shared" si="51"/>
        <v>15.009510989609741</v>
      </c>
      <c r="F365">
        <f t="shared" si="54"/>
        <v>0.75083614232116302</v>
      </c>
      <c r="G365">
        <f t="shared" si="55"/>
        <v>1</v>
      </c>
      <c r="H365">
        <f t="shared" si="56"/>
        <v>13.005861593317752</v>
      </c>
      <c r="K365">
        <v>0.33700000000000002</v>
      </c>
      <c r="L365">
        <f t="shared" si="52"/>
        <v>-31.9040140444394</v>
      </c>
      <c r="M365">
        <f t="shared" si="53"/>
        <v>24.59074014224262</v>
      </c>
      <c r="N365">
        <f t="shared" si="57"/>
        <v>0.75264841044178121</v>
      </c>
      <c r="O365">
        <f t="shared" si="58"/>
        <v>1</v>
      </c>
      <c r="P365">
        <f t="shared" si="59"/>
        <v>21.333773254430113</v>
      </c>
    </row>
    <row r="366" spans="3:16" x14ac:dyDescent="0.25">
      <c r="C366">
        <v>0.33800000000000002</v>
      </c>
      <c r="D366">
        <f t="shared" si="50"/>
        <v>-23.954821464181322</v>
      </c>
      <c r="E366">
        <f t="shared" si="51"/>
        <v>15.002077977455327</v>
      </c>
      <c r="F366">
        <f t="shared" si="54"/>
        <v>0.75231760901058631</v>
      </c>
      <c r="G366">
        <f t="shared" si="55"/>
        <v>1</v>
      </c>
      <c r="H366">
        <f t="shared" si="56"/>
        <v>13.012239017432977</v>
      </c>
      <c r="K366">
        <v>0.33800000000000002</v>
      </c>
      <c r="L366">
        <f t="shared" si="52"/>
        <v>-31.84282146418132</v>
      </c>
      <c r="M366">
        <f t="shared" si="53"/>
        <v>24.578510681698017</v>
      </c>
      <c r="N366">
        <f t="shared" si="57"/>
        <v>0.7541298233695205</v>
      </c>
      <c r="O366">
        <f t="shared" si="58"/>
        <v>1</v>
      </c>
      <c r="P366">
        <f t="shared" si="59"/>
        <v>21.344138070168032</v>
      </c>
    </row>
    <row r="367" spans="3:16" x14ac:dyDescent="0.25">
      <c r="C367">
        <v>0.33900000000000002</v>
      </c>
      <c r="D367">
        <f t="shared" si="50"/>
        <v>-23.917628883923243</v>
      </c>
      <c r="E367">
        <f t="shared" si="51"/>
        <v>14.994644965300914</v>
      </c>
      <c r="F367">
        <f t="shared" si="54"/>
        <v>0.7537946583406433</v>
      </c>
      <c r="G367">
        <f t="shared" si="55"/>
        <v>1</v>
      </c>
      <c r="H367">
        <f t="shared" si="56"/>
        <v>13.018552985882009</v>
      </c>
      <c r="K367">
        <v>0.33900000000000002</v>
      </c>
      <c r="L367">
        <f t="shared" si="52"/>
        <v>-31.781628883923243</v>
      </c>
      <c r="M367">
        <f t="shared" si="53"/>
        <v>24.566281221153414</v>
      </c>
      <c r="N367">
        <f t="shared" si="57"/>
        <v>0.75560678679936166</v>
      </c>
      <c r="O367">
        <f t="shared" si="58"/>
        <v>1</v>
      </c>
      <c r="P367">
        <f t="shared" si="59"/>
        <v>21.354398558488246</v>
      </c>
    </row>
    <row r="368" spans="3:16" x14ac:dyDescent="0.25">
      <c r="C368">
        <v>0.34</v>
      </c>
      <c r="D368">
        <f t="shared" si="50"/>
        <v>-23.880436303665164</v>
      </c>
      <c r="E368">
        <f t="shared" si="51"/>
        <v>14.987211953146502</v>
      </c>
      <c r="F368">
        <f t="shared" si="54"/>
        <v>0.75526729031133399</v>
      </c>
      <c r="G368">
        <f t="shared" si="55"/>
        <v>1</v>
      </c>
      <c r="H368">
        <f t="shared" si="56"/>
        <v>13.024803723172807</v>
      </c>
      <c r="K368">
        <v>0.34</v>
      </c>
      <c r="L368">
        <f t="shared" si="52"/>
        <v>-31.720436303665164</v>
      </c>
      <c r="M368">
        <f t="shared" si="53"/>
        <v>24.554051760608811</v>
      </c>
      <c r="N368">
        <f t="shared" si="57"/>
        <v>0.75707930073130458</v>
      </c>
      <c r="O368">
        <f t="shared" si="58"/>
        <v>1</v>
      </c>
      <c r="P368">
        <f t="shared" si="59"/>
        <v>21.364555088476433</v>
      </c>
    </row>
    <row r="369" spans="3:16" x14ac:dyDescent="0.25">
      <c r="C369">
        <v>0.34100000000000003</v>
      </c>
      <c r="D369">
        <f t="shared" si="50"/>
        <v>-23.843243723407085</v>
      </c>
      <c r="E369">
        <f t="shared" si="51"/>
        <v>14.979778940992091</v>
      </c>
      <c r="F369">
        <f t="shared" si="54"/>
        <v>0.75673550492265851</v>
      </c>
      <c r="G369">
        <f t="shared" si="55"/>
        <v>1</v>
      </c>
      <c r="H369">
        <f t="shared" si="56"/>
        <v>13.030991452347553</v>
      </c>
      <c r="K369">
        <v>0.34100000000000003</v>
      </c>
      <c r="L369">
        <f t="shared" si="52"/>
        <v>-31.659243723407084</v>
      </c>
      <c r="M369">
        <f t="shared" si="53"/>
        <v>24.541822300064204</v>
      </c>
      <c r="N369">
        <f t="shared" si="57"/>
        <v>0.75854736516534949</v>
      </c>
      <c r="O369">
        <f t="shared" si="58"/>
        <v>1</v>
      </c>
      <c r="P369">
        <f t="shared" si="59"/>
        <v>21.374608026809504</v>
      </c>
    </row>
    <row r="370" spans="3:16" x14ac:dyDescent="0.25">
      <c r="C370">
        <v>0.34200000000000003</v>
      </c>
      <c r="D370">
        <f t="shared" si="50"/>
        <v>-23.806051143149006</v>
      </c>
      <c r="E370">
        <f t="shared" si="51"/>
        <v>14.972345928837676</v>
      </c>
      <c r="F370">
        <f t="shared" si="54"/>
        <v>0.75819930217461684</v>
      </c>
      <c r="G370">
        <f t="shared" si="55"/>
        <v>1</v>
      </c>
      <c r="H370">
        <f t="shared" si="56"/>
        <v>13.037116394996938</v>
      </c>
      <c r="K370">
        <v>0.34200000000000003</v>
      </c>
      <c r="L370">
        <f t="shared" si="52"/>
        <v>-31.598051143149007</v>
      </c>
      <c r="M370">
        <f t="shared" si="53"/>
        <v>24.529592839519601</v>
      </c>
      <c r="N370">
        <f t="shared" si="57"/>
        <v>0.76001098010149615</v>
      </c>
      <c r="O370">
        <f t="shared" si="58"/>
        <v>1</v>
      </c>
      <c r="P370">
        <f t="shared" si="59"/>
        <v>21.384557737779147</v>
      </c>
    </row>
    <row r="371" spans="3:16" x14ac:dyDescent="0.25">
      <c r="C371">
        <v>0.34300000000000003</v>
      </c>
      <c r="D371">
        <f t="shared" si="50"/>
        <v>-23.768858562890927</v>
      </c>
      <c r="E371">
        <f t="shared" si="51"/>
        <v>14.964912916683264</v>
      </c>
      <c r="F371">
        <f t="shared" si="54"/>
        <v>0.75965868206720888</v>
      </c>
      <c r="G371">
        <f t="shared" si="55"/>
        <v>1</v>
      </c>
      <c r="H371">
        <f t="shared" si="56"/>
        <v>13.043178771274318</v>
      </c>
      <c r="K371">
        <v>0.34300000000000003</v>
      </c>
      <c r="L371">
        <f t="shared" si="52"/>
        <v>-31.536858562890927</v>
      </c>
      <c r="M371">
        <f t="shared" si="53"/>
        <v>24.517363378974999</v>
      </c>
      <c r="N371">
        <f t="shared" si="57"/>
        <v>0.76147014553974468</v>
      </c>
      <c r="O371">
        <f t="shared" si="58"/>
        <v>1</v>
      </c>
      <c r="P371">
        <f t="shared" si="59"/>
        <v>21.394404583315008</v>
      </c>
    </row>
    <row r="372" spans="3:16" x14ac:dyDescent="0.25">
      <c r="C372">
        <v>0.34399999999999997</v>
      </c>
      <c r="D372">
        <f t="shared" si="50"/>
        <v>-23.731665982632851</v>
      </c>
      <c r="E372">
        <f t="shared" si="51"/>
        <v>14.957479904528853</v>
      </c>
      <c r="F372">
        <f t="shared" si="54"/>
        <v>0.76111364460043451</v>
      </c>
      <c r="G372">
        <f t="shared" si="55"/>
        <v>1</v>
      </c>
      <c r="H372">
        <f t="shared" si="56"/>
        <v>13.049178799909642</v>
      </c>
      <c r="K372">
        <v>0.34399999999999997</v>
      </c>
      <c r="L372">
        <f t="shared" si="52"/>
        <v>-31.475665982632851</v>
      </c>
      <c r="M372">
        <f t="shared" si="53"/>
        <v>24.505133918430396</v>
      </c>
      <c r="N372">
        <f t="shared" si="57"/>
        <v>0.76292486148009497</v>
      </c>
      <c r="O372">
        <f t="shared" si="58"/>
        <v>1</v>
      </c>
      <c r="P372">
        <f t="shared" si="59"/>
        <v>21.404148923007629</v>
      </c>
    </row>
    <row r="373" spans="3:16" x14ac:dyDescent="0.25">
      <c r="C373">
        <v>0.34499999999999997</v>
      </c>
      <c r="D373">
        <f t="shared" si="50"/>
        <v>-23.694473402374776</v>
      </c>
      <c r="E373">
        <f t="shared" si="51"/>
        <v>14.950046892374441</v>
      </c>
      <c r="F373">
        <f t="shared" si="54"/>
        <v>0.76256418977429397</v>
      </c>
      <c r="G373">
        <f t="shared" si="55"/>
        <v>1</v>
      </c>
      <c r="H373">
        <f t="shared" si="56"/>
        <v>13.055116698223232</v>
      </c>
      <c r="K373">
        <v>0.34499999999999997</v>
      </c>
      <c r="L373">
        <f t="shared" si="52"/>
        <v>-31.414473402374774</v>
      </c>
      <c r="M373">
        <f t="shared" si="53"/>
        <v>24.492904457885793</v>
      </c>
      <c r="N373">
        <f t="shared" si="57"/>
        <v>0.76437512792254725</v>
      </c>
      <c r="O373">
        <f t="shared" si="58"/>
        <v>1</v>
      </c>
      <c r="P373">
        <f t="shared" si="59"/>
        <v>21.413791114131048</v>
      </c>
    </row>
    <row r="374" spans="3:16" x14ac:dyDescent="0.25">
      <c r="C374">
        <v>0.34599999999999997</v>
      </c>
      <c r="D374">
        <f t="shared" si="50"/>
        <v>-23.657280822116697</v>
      </c>
      <c r="E374">
        <f t="shared" si="51"/>
        <v>14.942613880220028</v>
      </c>
      <c r="F374">
        <f t="shared" si="54"/>
        <v>0.76401031758878724</v>
      </c>
      <c r="G374">
        <f t="shared" si="55"/>
        <v>1</v>
      </c>
      <c r="H374">
        <f t="shared" si="56"/>
        <v>13.060992682139366</v>
      </c>
      <c r="K374">
        <v>0.34599999999999997</v>
      </c>
      <c r="L374">
        <f t="shared" si="52"/>
        <v>-31.353280822116695</v>
      </c>
      <c r="M374">
        <f t="shared" si="53"/>
        <v>24.48067499734119</v>
      </c>
      <c r="N374">
        <f t="shared" si="57"/>
        <v>0.76582094486710128</v>
      </c>
      <c r="O374">
        <f t="shared" si="58"/>
        <v>1</v>
      </c>
      <c r="P374">
        <f t="shared" si="59"/>
        <v>21.423331511665154</v>
      </c>
    </row>
    <row r="375" spans="3:16" x14ac:dyDescent="0.25">
      <c r="C375">
        <v>0.34699999999999998</v>
      </c>
      <c r="D375">
        <f t="shared" si="50"/>
        <v>-23.620088241858618</v>
      </c>
      <c r="E375">
        <f t="shared" si="51"/>
        <v>14.935180868065615</v>
      </c>
      <c r="F375">
        <f t="shared" si="54"/>
        <v>0.76545202804391432</v>
      </c>
      <c r="G375">
        <f t="shared" si="55"/>
        <v>1</v>
      </c>
      <c r="H375">
        <f t="shared" si="56"/>
        <v>13.066806966199715</v>
      </c>
      <c r="K375">
        <v>0.34699999999999998</v>
      </c>
      <c r="L375">
        <f t="shared" si="52"/>
        <v>-31.292088241858618</v>
      </c>
      <c r="M375">
        <f t="shared" si="53"/>
        <v>24.468445536796587</v>
      </c>
      <c r="N375">
        <f t="shared" si="57"/>
        <v>0.76726231231375719</v>
      </c>
      <c r="O375">
        <f t="shared" si="58"/>
        <v>1</v>
      </c>
      <c r="P375">
        <f t="shared" si="59"/>
        <v>21.432770468317724</v>
      </c>
    </row>
    <row r="376" spans="3:16" x14ac:dyDescent="0.25">
      <c r="C376">
        <v>0.34799999999999998</v>
      </c>
      <c r="D376">
        <f t="shared" si="50"/>
        <v>-23.582895661600539</v>
      </c>
      <c r="E376">
        <f t="shared" si="51"/>
        <v>14.927747855911203</v>
      </c>
      <c r="F376">
        <f t="shared" si="54"/>
        <v>0.76688932113967512</v>
      </c>
      <c r="G376">
        <f t="shared" si="55"/>
        <v>1</v>
      </c>
      <c r="H376">
        <f t="shared" si="56"/>
        <v>13.072559763576578</v>
      </c>
      <c r="K376">
        <v>0.34799999999999998</v>
      </c>
      <c r="L376">
        <f t="shared" si="52"/>
        <v>-31.230895661600538</v>
      </c>
      <c r="M376">
        <f t="shared" si="53"/>
        <v>24.456216076251984</v>
      </c>
      <c r="N376">
        <f t="shared" si="57"/>
        <v>0.76869923026251497</v>
      </c>
      <c r="O376">
        <f t="shared" si="58"/>
        <v>1</v>
      </c>
      <c r="P376">
        <f t="shared" si="59"/>
        <v>21.442108334546194</v>
      </c>
    </row>
    <row r="377" spans="3:16" x14ac:dyDescent="0.25">
      <c r="C377">
        <v>0.34899999999999998</v>
      </c>
      <c r="D377">
        <f t="shared" si="50"/>
        <v>-23.545703081342459</v>
      </c>
      <c r="E377">
        <f t="shared" si="51"/>
        <v>14.92031484375679</v>
      </c>
      <c r="F377">
        <f t="shared" si="54"/>
        <v>0.76832219687606973</v>
      </c>
      <c r="G377">
        <f t="shared" si="55"/>
        <v>1</v>
      </c>
      <c r="H377">
        <f t="shared" si="56"/>
        <v>13.078251286085976</v>
      </c>
      <c r="K377">
        <v>0.34899999999999998</v>
      </c>
      <c r="L377">
        <f t="shared" si="52"/>
        <v>-31.169703081342458</v>
      </c>
      <c r="M377">
        <f t="shared" si="53"/>
        <v>24.443986615707381</v>
      </c>
      <c r="N377">
        <f t="shared" si="57"/>
        <v>0.77013169871337461</v>
      </c>
      <c r="O377">
        <f t="shared" si="58"/>
        <v>1</v>
      </c>
      <c r="P377">
        <f t="shared" si="59"/>
        <v>21.451345458579166</v>
      </c>
    </row>
    <row r="378" spans="3:16" x14ac:dyDescent="0.25">
      <c r="C378">
        <v>0.35</v>
      </c>
      <c r="D378">
        <f t="shared" si="50"/>
        <v>-23.50851050108438</v>
      </c>
      <c r="E378">
        <f t="shared" si="51"/>
        <v>14.912881831602377</v>
      </c>
      <c r="F378">
        <f t="shared" si="54"/>
        <v>0.76975065525309805</v>
      </c>
      <c r="G378">
        <f t="shared" si="55"/>
        <v>1</v>
      </c>
      <c r="H378">
        <f t="shared" si="56"/>
        <v>13.083881744200562</v>
      </c>
      <c r="K378">
        <v>0.35</v>
      </c>
      <c r="L378">
        <f t="shared" si="52"/>
        <v>-31.108510501084382</v>
      </c>
      <c r="M378">
        <f t="shared" si="53"/>
        <v>24.431757155162778</v>
      </c>
      <c r="N378">
        <f t="shared" si="57"/>
        <v>0.77155971766633591</v>
      </c>
      <c r="O378">
        <f t="shared" si="58"/>
        <v>1</v>
      </c>
      <c r="P378">
        <f t="shared" si="59"/>
        <v>21.460482186437609</v>
      </c>
    </row>
    <row r="379" spans="3:16" x14ac:dyDescent="0.25">
      <c r="C379">
        <v>0.35099999999999998</v>
      </c>
      <c r="D379">
        <f t="shared" si="50"/>
        <v>-23.471317920826301</v>
      </c>
      <c r="E379">
        <f t="shared" si="51"/>
        <v>14.905448819447965</v>
      </c>
      <c r="F379">
        <f t="shared" si="54"/>
        <v>0.77117469627076018</v>
      </c>
      <c r="G379">
        <f t="shared" si="55"/>
        <v>1</v>
      </c>
      <c r="H379">
        <f t="shared" si="56"/>
        <v>13.089451347062392</v>
      </c>
      <c r="K379">
        <v>0.35099999999999998</v>
      </c>
      <c r="L379">
        <f t="shared" si="52"/>
        <v>-31.047317920826302</v>
      </c>
      <c r="M379">
        <f t="shared" si="53"/>
        <v>24.419527694618175</v>
      </c>
      <c r="N379">
        <f t="shared" si="57"/>
        <v>0.7729832871213993</v>
      </c>
      <c r="O379">
        <f t="shared" si="58"/>
        <v>1</v>
      </c>
      <c r="P379">
        <f t="shared" si="59"/>
        <v>21.469518861955841</v>
      </c>
    </row>
    <row r="380" spans="3:16" x14ac:dyDescent="0.25">
      <c r="C380">
        <v>0.35199999999999998</v>
      </c>
      <c r="D380">
        <f t="shared" si="50"/>
        <v>-23.434125340568222</v>
      </c>
      <c r="E380">
        <f t="shared" si="51"/>
        <v>14.898015807293552</v>
      </c>
      <c r="F380">
        <f t="shared" si="54"/>
        <v>0.77259431992905603</v>
      </c>
      <c r="G380">
        <f t="shared" si="55"/>
        <v>1</v>
      </c>
      <c r="H380">
        <f t="shared" si="56"/>
        <v>13.094960302495503</v>
      </c>
      <c r="K380">
        <v>0.35199999999999998</v>
      </c>
      <c r="L380">
        <f t="shared" si="52"/>
        <v>-30.986125340568222</v>
      </c>
      <c r="M380">
        <f t="shared" si="53"/>
        <v>24.407298234073572</v>
      </c>
      <c r="N380">
        <f t="shared" si="57"/>
        <v>0.77440240707856445</v>
      </c>
      <c r="O380">
        <f t="shared" si="58"/>
        <v>1</v>
      </c>
      <c r="P380">
        <f t="shared" si="59"/>
        <v>21.478455826802211</v>
      </c>
    </row>
    <row r="381" spans="3:16" x14ac:dyDescent="0.25">
      <c r="C381">
        <v>0.35299999999999998</v>
      </c>
      <c r="D381">
        <f t="shared" si="50"/>
        <v>-23.396932760310143</v>
      </c>
      <c r="E381">
        <f t="shared" si="51"/>
        <v>14.890582795139139</v>
      </c>
      <c r="F381">
        <f t="shared" si="54"/>
        <v>0.77400952622798558</v>
      </c>
      <c r="G381">
        <f t="shared" si="55"/>
        <v>1</v>
      </c>
      <c r="H381">
        <f t="shared" si="56"/>
        <v>13.100408817018366</v>
      </c>
      <c r="K381">
        <v>0.35299999999999998</v>
      </c>
      <c r="L381">
        <f t="shared" si="52"/>
        <v>-30.924932760310146</v>
      </c>
      <c r="M381">
        <f t="shared" si="53"/>
        <v>24.395068773528969</v>
      </c>
      <c r="N381">
        <f t="shared" si="57"/>
        <v>0.77581707753783136</v>
      </c>
      <c r="O381">
        <f t="shared" si="58"/>
        <v>1</v>
      </c>
      <c r="P381">
        <f t="shared" si="59"/>
        <v>21.487293420499537</v>
      </c>
    </row>
    <row r="382" spans="3:16" x14ac:dyDescent="0.25">
      <c r="C382">
        <v>0.35399999999999998</v>
      </c>
      <c r="D382">
        <f t="shared" si="50"/>
        <v>-23.359740180052064</v>
      </c>
      <c r="E382">
        <f t="shared" si="51"/>
        <v>14.883149782984727</v>
      </c>
      <c r="F382">
        <f t="shared" si="54"/>
        <v>0.77542031516754906</v>
      </c>
      <c r="G382">
        <f t="shared" si="55"/>
        <v>1</v>
      </c>
      <c r="H382">
        <f t="shared" si="56"/>
        <v>13.10579709585617</v>
      </c>
      <c r="K382">
        <v>0.35399999999999998</v>
      </c>
      <c r="L382">
        <f t="shared" si="52"/>
        <v>-30.863740180052066</v>
      </c>
      <c r="M382">
        <f t="shared" si="53"/>
        <v>24.382839312984366</v>
      </c>
      <c r="N382">
        <f t="shared" si="57"/>
        <v>0.77722729849920025</v>
      </c>
      <c r="O382">
        <f t="shared" si="58"/>
        <v>1</v>
      </c>
      <c r="P382">
        <f t="shared" si="59"/>
        <v>21.496031980445292</v>
      </c>
    </row>
    <row r="383" spans="3:16" x14ac:dyDescent="0.25">
      <c r="C383">
        <v>0.35499999999999998</v>
      </c>
      <c r="D383">
        <f t="shared" si="50"/>
        <v>-23.322547599793985</v>
      </c>
      <c r="E383">
        <f t="shared" si="51"/>
        <v>14.875716770830316</v>
      </c>
      <c r="F383">
        <f t="shared" si="54"/>
        <v>0.77682668674774613</v>
      </c>
      <c r="G383">
        <f t="shared" si="55"/>
        <v>1</v>
      </c>
      <c r="H383">
        <f t="shared" si="56"/>
        <v>13.111125342952942</v>
      </c>
      <c r="K383">
        <v>0.35499999999999998</v>
      </c>
      <c r="L383">
        <f t="shared" si="52"/>
        <v>-30.802547599793989</v>
      </c>
      <c r="M383">
        <f t="shared" si="53"/>
        <v>24.370609852439763</v>
      </c>
      <c r="N383">
        <f t="shared" si="57"/>
        <v>0.7786330699626709</v>
      </c>
      <c r="O383">
        <f t="shared" si="58"/>
        <v>1</v>
      </c>
      <c r="P383">
        <f t="shared" si="59"/>
        <v>21.504671841931533</v>
      </c>
    </row>
    <row r="384" spans="3:16" x14ac:dyDescent="0.25">
      <c r="C384">
        <v>0.35599999999999998</v>
      </c>
      <c r="D384">
        <f t="shared" si="50"/>
        <v>-23.285355019535906</v>
      </c>
      <c r="E384">
        <f t="shared" si="51"/>
        <v>14.868283758675901</v>
      </c>
      <c r="F384">
        <f t="shared" si="54"/>
        <v>0.77822864096857702</v>
      </c>
      <c r="G384">
        <f t="shared" si="55"/>
        <v>1</v>
      </c>
      <c r="H384">
        <f t="shared" si="56"/>
        <v>13.116393760983541</v>
      </c>
      <c r="K384">
        <v>0.35599999999999998</v>
      </c>
      <c r="L384">
        <f t="shared" si="52"/>
        <v>-30.741355019535909</v>
      </c>
      <c r="M384">
        <f t="shared" si="53"/>
        <v>24.35838039189516</v>
      </c>
      <c r="N384">
        <f t="shared" si="57"/>
        <v>0.78003439192824342</v>
      </c>
      <c r="O384">
        <f t="shared" si="58"/>
        <v>1</v>
      </c>
      <c r="P384">
        <f t="shared" si="59"/>
        <v>21.51321333816459</v>
      </c>
    </row>
    <row r="385" spans="3:16" x14ac:dyDescent="0.25">
      <c r="C385">
        <v>0.35699999999999998</v>
      </c>
      <c r="D385">
        <f t="shared" si="50"/>
        <v>-23.248162439277831</v>
      </c>
      <c r="E385">
        <f t="shared" si="51"/>
        <v>14.860850746521489</v>
      </c>
      <c r="F385">
        <f t="shared" si="54"/>
        <v>0.77962617783004151</v>
      </c>
      <c r="G385">
        <f t="shared" si="55"/>
        <v>1</v>
      </c>
      <c r="H385">
        <f t="shared" si="56"/>
        <v>13.121602551365495</v>
      </c>
      <c r="K385">
        <v>0.35699999999999998</v>
      </c>
      <c r="L385">
        <f t="shared" si="52"/>
        <v>-30.680162439277829</v>
      </c>
      <c r="M385">
        <f t="shared" si="53"/>
        <v>24.346150931350554</v>
      </c>
      <c r="N385">
        <f t="shared" si="57"/>
        <v>0.78143126439591781</v>
      </c>
      <c r="O385">
        <f t="shared" si="58"/>
        <v>1</v>
      </c>
      <c r="P385">
        <f t="shared" si="59"/>
        <v>21.5216568002845</v>
      </c>
    </row>
    <row r="386" spans="3:16" x14ac:dyDescent="0.25">
      <c r="C386">
        <v>0.35799999999999998</v>
      </c>
      <c r="D386">
        <f t="shared" si="50"/>
        <v>-23.210969859019752</v>
      </c>
      <c r="E386">
        <f t="shared" si="51"/>
        <v>14.853417734367078</v>
      </c>
      <c r="F386">
        <f t="shared" si="54"/>
        <v>0.78101929733213993</v>
      </c>
      <c r="G386">
        <f t="shared" si="55"/>
        <v>1</v>
      </c>
      <c r="H386">
        <f t="shared" si="56"/>
        <v>13.126751914270669</v>
      </c>
      <c r="K386">
        <v>0.35799999999999998</v>
      </c>
      <c r="L386">
        <f t="shared" si="52"/>
        <v>-30.618969859019753</v>
      </c>
      <c r="M386">
        <f t="shared" si="53"/>
        <v>24.333921470805951</v>
      </c>
      <c r="N386">
        <f t="shared" si="57"/>
        <v>0.78282368736569397</v>
      </c>
      <c r="O386">
        <f t="shared" si="58"/>
        <v>1</v>
      </c>
      <c r="P386">
        <f t="shared" si="59"/>
        <v>21.530002557384215</v>
      </c>
    </row>
    <row r="387" spans="3:16" x14ac:dyDescent="0.25">
      <c r="C387">
        <v>0.35899999999999999</v>
      </c>
      <c r="D387">
        <f t="shared" si="50"/>
        <v>-23.173777278761673</v>
      </c>
      <c r="E387">
        <f t="shared" si="51"/>
        <v>14.845984722212664</v>
      </c>
      <c r="F387">
        <f t="shared" si="54"/>
        <v>0.78240799947487216</v>
      </c>
      <c r="G387">
        <f t="shared" si="55"/>
        <v>1</v>
      </c>
      <c r="H387">
        <f t="shared" si="56"/>
        <v>13.13184204863683</v>
      </c>
      <c r="K387">
        <v>0.35899999999999999</v>
      </c>
      <c r="L387">
        <f t="shared" si="52"/>
        <v>-30.557777278761673</v>
      </c>
      <c r="M387">
        <f t="shared" si="53"/>
        <v>24.321692010261348</v>
      </c>
      <c r="N387">
        <f t="shared" si="57"/>
        <v>0.78421166083757199</v>
      </c>
      <c r="O387">
        <f t="shared" si="58"/>
        <v>1</v>
      </c>
      <c r="P387">
        <f t="shared" si="59"/>
        <v>21.538250936528577</v>
      </c>
    </row>
    <row r="388" spans="3:16" x14ac:dyDescent="0.25">
      <c r="C388">
        <v>0.36</v>
      </c>
      <c r="D388">
        <f t="shared" si="50"/>
        <v>-23.136584698503597</v>
      </c>
      <c r="E388">
        <f t="shared" si="51"/>
        <v>14.838551710058253</v>
      </c>
      <c r="F388">
        <f t="shared" si="54"/>
        <v>0.78379228425823799</v>
      </c>
      <c r="G388">
        <f t="shared" si="55"/>
        <v>1</v>
      </c>
      <c r="H388">
        <f t="shared" si="56"/>
        <v>13.136873152179041</v>
      </c>
      <c r="K388">
        <v>0.36</v>
      </c>
      <c r="L388">
        <f t="shared" si="52"/>
        <v>-30.496584698503597</v>
      </c>
      <c r="M388">
        <f t="shared" si="53"/>
        <v>24.309462549716745</v>
      </c>
      <c r="N388">
        <f t="shared" si="57"/>
        <v>0.78559518481155188</v>
      </c>
      <c r="O388">
        <f t="shared" si="58"/>
        <v>1</v>
      </c>
      <c r="P388">
        <f t="shared" si="59"/>
        <v>21.546402262773032</v>
      </c>
    </row>
    <row r="389" spans="3:16" x14ac:dyDescent="0.25">
      <c r="C389">
        <v>0.36099999999999999</v>
      </c>
      <c r="D389">
        <f t="shared" si="50"/>
        <v>-23.099392118245518</v>
      </c>
      <c r="E389">
        <f t="shared" si="51"/>
        <v>14.83111869790384</v>
      </c>
      <c r="F389">
        <f t="shared" si="54"/>
        <v>0.78517215168223764</v>
      </c>
      <c r="G389">
        <f t="shared" si="55"/>
        <v>1</v>
      </c>
      <c r="H389">
        <f t="shared" si="56"/>
        <v>13.141845421400921</v>
      </c>
      <c r="K389">
        <v>0.36099999999999999</v>
      </c>
      <c r="L389">
        <f t="shared" si="52"/>
        <v>-30.435392118245517</v>
      </c>
      <c r="M389">
        <f t="shared" si="53"/>
        <v>24.297233089172142</v>
      </c>
      <c r="N389">
        <f t="shared" si="57"/>
        <v>0.78697425928763365</v>
      </c>
      <c r="O389">
        <f t="shared" si="58"/>
        <v>1</v>
      </c>
      <c r="P389">
        <f t="shared" si="59"/>
        <v>21.554456859182149</v>
      </c>
    </row>
    <row r="390" spans="3:16" x14ac:dyDescent="0.25">
      <c r="C390">
        <v>0.36199999999999999</v>
      </c>
      <c r="D390">
        <f t="shared" si="50"/>
        <v>-23.062199537987439</v>
      </c>
      <c r="E390">
        <f t="shared" si="51"/>
        <v>14.823685685749428</v>
      </c>
      <c r="F390">
        <f t="shared" si="54"/>
        <v>0.78654760174687111</v>
      </c>
      <c r="G390">
        <f t="shared" si="55"/>
        <v>1</v>
      </c>
      <c r="H390">
        <f t="shared" si="56"/>
        <v>13.146759051605789</v>
      </c>
      <c r="K390">
        <v>0.36199999999999999</v>
      </c>
      <c r="L390">
        <f t="shared" si="52"/>
        <v>-30.374199537987437</v>
      </c>
      <c r="M390">
        <f t="shared" si="53"/>
        <v>24.285003628627539</v>
      </c>
      <c r="N390">
        <f t="shared" si="57"/>
        <v>0.78834888426581728</v>
      </c>
      <c r="O390">
        <f t="shared" si="58"/>
        <v>1</v>
      </c>
      <c r="P390">
        <f t="shared" si="59"/>
        <v>21.562415046847896</v>
      </c>
    </row>
    <row r="391" spans="3:16" x14ac:dyDescent="0.25">
      <c r="C391">
        <v>0.36299999999999999</v>
      </c>
      <c r="D391">
        <f t="shared" si="50"/>
        <v>-23.02500695772936</v>
      </c>
      <c r="E391">
        <f t="shared" si="51"/>
        <v>14.816252673595015</v>
      </c>
      <c r="F391">
        <f t="shared" si="54"/>
        <v>0.78791863445213828</v>
      </c>
      <c r="G391">
        <f t="shared" si="55"/>
        <v>1</v>
      </c>
      <c r="H391">
        <f t="shared" si="56"/>
        <v>13.15161423690763</v>
      </c>
      <c r="K391">
        <v>0.36299999999999999</v>
      </c>
      <c r="L391">
        <f t="shared" si="52"/>
        <v>-30.31300695772936</v>
      </c>
      <c r="M391">
        <f t="shared" si="53"/>
        <v>24.272774168082936</v>
      </c>
      <c r="N391">
        <f t="shared" si="57"/>
        <v>0.78971905974610257</v>
      </c>
      <c r="O391">
        <f t="shared" si="58"/>
        <v>1</v>
      </c>
      <c r="P391">
        <f t="shared" si="59"/>
        <v>21.570277144907706</v>
      </c>
    </row>
    <row r="392" spans="3:16" x14ac:dyDescent="0.25">
      <c r="C392">
        <v>0.36399999999999999</v>
      </c>
      <c r="D392">
        <f t="shared" si="50"/>
        <v>-22.987814377471281</v>
      </c>
      <c r="E392">
        <f t="shared" si="51"/>
        <v>14.808819661440602</v>
      </c>
      <c r="F392">
        <f t="shared" si="54"/>
        <v>0.78928524979803927</v>
      </c>
      <c r="G392">
        <f t="shared" si="55"/>
        <v>1</v>
      </c>
      <c r="H392">
        <f t="shared" si="56"/>
        <v>13.156411170241974</v>
      </c>
      <c r="K392">
        <v>0.36399999999999999</v>
      </c>
      <c r="L392">
        <f t="shared" si="52"/>
        <v>-30.25181437747128</v>
      </c>
      <c r="M392">
        <f t="shared" si="53"/>
        <v>24.260544707538333</v>
      </c>
      <c r="N392">
        <f t="shared" si="57"/>
        <v>0.79108478572848995</v>
      </c>
      <c r="O392">
        <f t="shared" si="58"/>
        <v>1</v>
      </c>
      <c r="P392">
        <f t="shared" si="59"/>
        <v>21.57804347056231</v>
      </c>
    </row>
    <row r="393" spans="3:16" x14ac:dyDescent="0.25">
      <c r="C393">
        <v>0.36499999999999999</v>
      </c>
      <c r="D393">
        <f t="shared" si="50"/>
        <v>-22.950621797213202</v>
      </c>
      <c r="E393">
        <f t="shared" si="51"/>
        <v>14.80138664928619</v>
      </c>
      <c r="F393">
        <f t="shared" si="54"/>
        <v>0.79064744778457396</v>
      </c>
      <c r="G393">
        <f t="shared" si="55"/>
        <v>1</v>
      </c>
      <c r="H393">
        <f t="shared" si="56"/>
        <v>13.161150043376617</v>
      </c>
      <c r="K393">
        <v>0.36499999999999999</v>
      </c>
      <c r="L393">
        <f t="shared" si="52"/>
        <v>-30.1906217972132</v>
      </c>
      <c r="M393">
        <f t="shared" si="53"/>
        <v>24.248315246993727</v>
      </c>
      <c r="N393">
        <f t="shared" si="57"/>
        <v>0.79244606221297909</v>
      </c>
      <c r="O393">
        <f t="shared" si="58"/>
        <v>1</v>
      </c>
      <c r="P393">
        <f t="shared" si="59"/>
        <v>21.585714339093354</v>
      </c>
    </row>
    <row r="394" spans="3:16" x14ac:dyDescent="0.25">
      <c r="C394">
        <v>0.36599999999999999</v>
      </c>
      <c r="D394">
        <f t="shared" si="50"/>
        <v>-22.913429216955123</v>
      </c>
      <c r="E394">
        <f t="shared" si="51"/>
        <v>14.793953637131777</v>
      </c>
      <c r="F394">
        <f t="shared" si="54"/>
        <v>0.79200522841174248</v>
      </c>
      <c r="G394">
        <f t="shared" si="55"/>
        <v>1</v>
      </c>
      <c r="H394">
        <f t="shared" si="56"/>
        <v>13.165831046922214</v>
      </c>
      <c r="K394">
        <v>0.36599999999999999</v>
      </c>
      <c r="L394">
        <f t="shared" si="52"/>
        <v>-30.129429216955124</v>
      </c>
      <c r="M394">
        <f t="shared" si="53"/>
        <v>24.236085786449124</v>
      </c>
      <c r="N394">
        <f t="shared" si="57"/>
        <v>0.79380288919956998</v>
      </c>
      <c r="O394">
        <f t="shared" si="58"/>
        <v>1</v>
      </c>
      <c r="P394">
        <f t="shared" si="59"/>
        <v>21.593290063880829</v>
      </c>
    </row>
    <row r="395" spans="3:16" x14ac:dyDescent="0.25">
      <c r="C395">
        <v>0.36699999999999999</v>
      </c>
      <c r="D395">
        <f t="shared" si="50"/>
        <v>-22.876236636697044</v>
      </c>
      <c r="E395">
        <f t="shared" si="51"/>
        <v>14.786520624977364</v>
      </c>
      <c r="F395">
        <f t="shared" si="54"/>
        <v>0.7933585916795447</v>
      </c>
      <c r="G395">
        <f t="shared" si="55"/>
        <v>1</v>
      </c>
      <c r="H395">
        <f t="shared" si="56"/>
        <v>13.17045437034276</v>
      </c>
      <c r="K395">
        <v>0.36699999999999999</v>
      </c>
      <c r="L395">
        <f t="shared" si="52"/>
        <v>-30.068236636697044</v>
      </c>
      <c r="M395">
        <f t="shared" si="53"/>
        <v>24.223856325904521</v>
      </c>
      <c r="N395">
        <f t="shared" si="57"/>
        <v>0.79515526668826275</v>
      </c>
      <c r="O395">
        <f t="shared" si="58"/>
        <v>1</v>
      </c>
      <c r="P395">
        <f t="shared" si="59"/>
        <v>21.600770956420259</v>
      </c>
    </row>
    <row r="396" spans="3:16" x14ac:dyDescent="0.25">
      <c r="C396">
        <v>0.36799999999999999</v>
      </c>
      <c r="D396">
        <f t="shared" si="50"/>
        <v>-22.839044056438965</v>
      </c>
      <c r="E396">
        <f t="shared" si="51"/>
        <v>14.779087612822952</v>
      </c>
      <c r="F396">
        <f t="shared" si="54"/>
        <v>0.79470753758798074</v>
      </c>
      <c r="G396">
        <f t="shared" si="55"/>
        <v>1</v>
      </c>
      <c r="H396">
        <f t="shared" si="56"/>
        <v>13.175020201965925</v>
      </c>
      <c r="K396">
        <v>0.36799999999999999</v>
      </c>
      <c r="L396">
        <f t="shared" si="52"/>
        <v>-30.007044056438968</v>
      </c>
      <c r="M396">
        <f t="shared" si="53"/>
        <v>24.211626865359918</v>
      </c>
      <c r="N396">
        <f t="shared" si="57"/>
        <v>0.79650319467905739</v>
      </c>
      <c r="O396">
        <f t="shared" si="58"/>
        <v>1</v>
      </c>
      <c r="P396">
        <f t="shared" si="59"/>
        <v>21.608157326339704</v>
      </c>
    </row>
    <row r="397" spans="3:16" x14ac:dyDescent="0.25">
      <c r="C397">
        <v>0.36899999999999999</v>
      </c>
      <c r="D397">
        <f t="shared" si="50"/>
        <v>-22.801851476180886</v>
      </c>
      <c r="E397">
        <f t="shared" si="51"/>
        <v>14.771654600668539</v>
      </c>
      <c r="F397">
        <f t="shared" si="54"/>
        <v>0.79605206613705048</v>
      </c>
      <c r="G397">
        <f t="shared" si="55"/>
        <v>1</v>
      </c>
      <c r="H397">
        <f t="shared" si="56"/>
        <v>13.179528728993281</v>
      </c>
      <c r="K397">
        <v>0.36899999999999999</v>
      </c>
      <c r="L397">
        <f t="shared" si="52"/>
        <v>-29.945851476180888</v>
      </c>
      <c r="M397">
        <f t="shared" si="53"/>
        <v>24.199397404815315</v>
      </c>
      <c r="N397">
        <f t="shared" si="57"/>
        <v>0.7978466731719539</v>
      </c>
      <c r="O397">
        <f t="shared" si="58"/>
        <v>1</v>
      </c>
      <c r="P397">
        <f t="shared" si="59"/>
        <v>21.615449481416544</v>
      </c>
    </row>
    <row r="398" spans="3:16" x14ac:dyDescent="0.25">
      <c r="C398">
        <v>0.37</v>
      </c>
      <c r="D398">
        <f t="shared" si="50"/>
        <v>-22.764658895922807</v>
      </c>
      <c r="E398">
        <f t="shared" si="51"/>
        <v>14.764221588514125</v>
      </c>
      <c r="F398">
        <f t="shared" si="54"/>
        <v>0.79739217732675394</v>
      </c>
      <c r="G398">
        <f t="shared" si="55"/>
        <v>1</v>
      </c>
      <c r="H398">
        <f t="shared" si="56"/>
        <v>13.183980137510405</v>
      </c>
      <c r="K398">
        <v>0.37</v>
      </c>
      <c r="L398">
        <f t="shared" si="52"/>
        <v>-29.884658895922808</v>
      </c>
      <c r="M398">
        <f t="shared" si="53"/>
        <v>24.187167944270712</v>
      </c>
      <c r="N398">
        <f t="shared" si="57"/>
        <v>0.79918570216695228</v>
      </c>
      <c r="O398">
        <f t="shared" si="58"/>
        <v>1</v>
      </c>
      <c r="P398">
        <f t="shared" si="59"/>
        <v>21.622647727594096</v>
      </c>
    </row>
    <row r="399" spans="3:16" x14ac:dyDescent="0.25">
      <c r="C399">
        <v>0.371</v>
      </c>
      <c r="D399">
        <f t="shared" si="50"/>
        <v>-22.727466315664728</v>
      </c>
      <c r="E399">
        <f t="shared" si="51"/>
        <v>14.756788576359714</v>
      </c>
      <c r="F399">
        <f t="shared" si="54"/>
        <v>0.79872787115709121</v>
      </c>
      <c r="G399">
        <f t="shared" si="55"/>
        <v>1</v>
      </c>
      <c r="H399">
        <f t="shared" si="56"/>
        <v>13.188374612496855</v>
      </c>
      <c r="K399">
        <v>0.371</v>
      </c>
      <c r="L399">
        <f t="shared" si="52"/>
        <v>-29.823466315664731</v>
      </c>
      <c r="M399">
        <f t="shared" si="53"/>
        <v>24.174938483726109</v>
      </c>
      <c r="N399">
        <f t="shared" si="57"/>
        <v>0.80052028166405242</v>
      </c>
      <c r="O399">
        <f t="shared" si="58"/>
        <v>1</v>
      </c>
      <c r="P399">
        <f t="shared" si="59"/>
        <v>21.629752368997973</v>
      </c>
    </row>
    <row r="400" spans="3:16" x14ac:dyDescent="0.25">
      <c r="C400">
        <v>0.372</v>
      </c>
      <c r="D400">
        <f t="shared" si="50"/>
        <v>-22.690273735406652</v>
      </c>
      <c r="E400">
        <f t="shared" si="51"/>
        <v>14.749355564205302</v>
      </c>
      <c r="F400">
        <f t="shared" si="54"/>
        <v>0.80005914762806207</v>
      </c>
      <c r="G400">
        <f t="shared" si="55"/>
        <v>1</v>
      </c>
      <c r="H400">
        <f t="shared" si="56"/>
        <v>13.192712337836026</v>
      </c>
      <c r="K400">
        <v>0.372</v>
      </c>
      <c r="L400">
        <f t="shared" si="52"/>
        <v>-29.762273735406652</v>
      </c>
      <c r="M400">
        <f t="shared" si="53"/>
        <v>24.162709023181506</v>
      </c>
      <c r="N400">
        <f t="shared" si="57"/>
        <v>0.80185041166325455</v>
      </c>
      <c r="O400">
        <f t="shared" si="58"/>
        <v>1</v>
      </c>
      <c r="P400">
        <f t="shared" si="59"/>
        <v>21.636763707952337</v>
      </c>
    </row>
    <row r="401" spans="3:16" x14ac:dyDescent="0.25">
      <c r="C401">
        <v>0.373</v>
      </c>
      <c r="D401">
        <f t="shared" si="50"/>
        <v>-22.653081155148573</v>
      </c>
      <c r="E401">
        <f t="shared" si="51"/>
        <v>14.741922552050889</v>
      </c>
      <c r="F401">
        <f t="shared" si="54"/>
        <v>0.80138600673966698</v>
      </c>
      <c r="G401">
        <f t="shared" si="55"/>
        <v>1</v>
      </c>
      <c r="H401">
        <f t="shared" si="56"/>
        <v>13.196993496324913</v>
      </c>
      <c r="K401">
        <v>0.373</v>
      </c>
      <c r="L401">
        <f t="shared" si="52"/>
        <v>-29.701081155148572</v>
      </c>
      <c r="M401">
        <f t="shared" si="53"/>
        <v>24.150479562636903</v>
      </c>
      <c r="N401">
        <f t="shared" si="57"/>
        <v>0.80317609216455843</v>
      </c>
      <c r="O401">
        <f t="shared" si="58"/>
        <v>1</v>
      </c>
      <c r="P401">
        <f t="shared" si="59"/>
        <v>21.643682044995849</v>
      </c>
    </row>
    <row r="402" spans="3:16" x14ac:dyDescent="0.25">
      <c r="C402">
        <v>0.374</v>
      </c>
      <c r="D402">
        <f t="shared" si="50"/>
        <v>-22.615888574890494</v>
      </c>
      <c r="E402">
        <f t="shared" si="51"/>
        <v>14.734489539896476</v>
      </c>
      <c r="F402">
        <f t="shared" si="54"/>
        <v>0.80270844849190548</v>
      </c>
      <c r="G402">
        <f t="shared" si="55"/>
        <v>1</v>
      </c>
      <c r="H402">
        <f t="shared" si="56"/>
        <v>13.201218269683721</v>
      </c>
      <c r="K402">
        <v>0.374</v>
      </c>
      <c r="L402">
        <f t="shared" si="52"/>
        <v>-29.639888574890495</v>
      </c>
      <c r="M402">
        <f t="shared" si="53"/>
        <v>24.1382501020923</v>
      </c>
      <c r="N402">
        <f t="shared" si="57"/>
        <v>0.80449732316796407</v>
      </c>
      <c r="O402">
        <f t="shared" si="58"/>
        <v>1</v>
      </c>
      <c r="P402">
        <f t="shared" si="59"/>
        <v>21.650507678897547</v>
      </c>
    </row>
    <row r="403" spans="3:16" x14ac:dyDescent="0.25">
      <c r="C403">
        <v>0.375</v>
      </c>
      <c r="D403">
        <f t="shared" si="50"/>
        <v>-22.578695994632415</v>
      </c>
      <c r="E403">
        <f t="shared" si="51"/>
        <v>14.727056527742064</v>
      </c>
      <c r="F403">
        <f t="shared" si="54"/>
        <v>0.8040264728847778</v>
      </c>
      <c r="G403">
        <f t="shared" si="55"/>
        <v>1</v>
      </c>
      <c r="H403">
        <f t="shared" si="56"/>
        <v>13.205386838565399</v>
      </c>
      <c r="K403">
        <v>0.375</v>
      </c>
      <c r="L403">
        <f t="shared" si="52"/>
        <v>-29.578695994632415</v>
      </c>
      <c r="M403">
        <f t="shared" si="53"/>
        <v>24.126020641547697</v>
      </c>
      <c r="N403">
        <f t="shared" si="57"/>
        <v>0.8058141046734717</v>
      </c>
      <c r="O403">
        <f t="shared" si="58"/>
        <v>1</v>
      </c>
      <c r="P403">
        <f t="shared" si="59"/>
        <v>21.657240906672445</v>
      </c>
    </row>
    <row r="404" spans="3:16" x14ac:dyDescent="0.25">
      <c r="C404">
        <v>0.376</v>
      </c>
      <c r="D404">
        <f t="shared" si="50"/>
        <v>-22.54150341437434</v>
      </c>
      <c r="E404">
        <f t="shared" si="51"/>
        <v>14.719623515587653</v>
      </c>
      <c r="F404">
        <f t="shared" si="54"/>
        <v>0.80534007991828371</v>
      </c>
      <c r="G404">
        <f t="shared" si="55"/>
        <v>1</v>
      </c>
      <c r="H404">
        <f t="shared" si="56"/>
        <v>13.20949938256503</v>
      </c>
      <c r="K404">
        <v>0.376</v>
      </c>
      <c r="L404">
        <f t="shared" si="52"/>
        <v>-29.517503414374339</v>
      </c>
      <c r="M404">
        <f t="shared" si="53"/>
        <v>24.113791181003094</v>
      </c>
      <c r="N404">
        <f t="shared" si="57"/>
        <v>0.80712643668108108</v>
      </c>
      <c r="O404">
        <f t="shared" si="58"/>
        <v>1</v>
      </c>
      <c r="P404">
        <f t="shared" si="59"/>
        <v>21.663882023597004</v>
      </c>
    </row>
    <row r="405" spans="3:16" x14ac:dyDescent="0.25">
      <c r="C405">
        <v>0.377</v>
      </c>
      <c r="D405">
        <f t="shared" si="50"/>
        <v>-22.504310834116261</v>
      </c>
      <c r="E405">
        <f t="shared" si="51"/>
        <v>14.71219050343324</v>
      </c>
      <c r="F405">
        <f t="shared" si="54"/>
        <v>0.80664926959242356</v>
      </c>
      <c r="G405">
        <f t="shared" si="55"/>
        <v>1</v>
      </c>
      <c r="H405">
        <f t="shared" si="56"/>
        <v>13.213556080229141</v>
      </c>
      <c r="K405">
        <v>0.377</v>
      </c>
      <c r="L405">
        <f t="shared" si="52"/>
        <v>-29.456310834116259</v>
      </c>
      <c r="M405">
        <f t="shared" si="53"/>
        <v>24.101561720458491</v>
      </c>
      <c r="N405">
        <f t="shared" si="57"/>
        <v>0.80843431919079234</v>
      </c>
      <c r="O405">
        <f t="shared" si="58"/>
        <v>1</v>
      </c>
      <c r="P405">
        <f t="shared" si="59"/>
        <v>21.670431323224395</v>
      </c>
    </row>
    <row r="406" spans="3:16" x14ac:dyDescent="0.25">
      <c r="C406">
        <v>0.378</v>
      </c>
      <c r="D406">
        <f t="shared" si="50"/>
        <v>-22.467118253858182</v>
      </c>
      <c r="E406">
        <f t="shared" si="51"/>
        <v>14.704757491278826</v>
      </c>
      <c r="F406">
        <f t="shared" si="54"/>
        <v>0.80795404190719711</v>
      </c>
      <c r="G406">
        <f t="shared" si="55"/>
        <v>1</v>
      </c>
      <c r="H406">
        <f t="shared" si="56"/>
        <v>13.217557109064881</v>
      </c>
      <c r="K406">
        <v>0.378</v>
      </c>
      <c r="L406">
        <f t="shared" si="52"/>
        <v>-29.395118253858179</v>
      </c>
      <c r="M406">
        <f t="shared" si="53"/>
        <v>24.089332259913885</v>
      </c>
      <c r="N406">
        <f t="shared" si="57"/>
        <v>0.80973775220260547</v>
      </c>
      <c r="O406">
        <f t="shared" si="58"/>
        <v>1</v>
      </c>
      <c r="P406">
        <f t="shared" si="59"/>
        <v>21.676889097399595</v>
      </c>
    </row>
    <row r="407" spans="3:16" x14ac:dyDescent="0.25">
      <c r="C407">
        <v>0.379</v>
      </c>
      <c r="D407">
        <f t="shared" si="50"/>
        <v>-22.429925673600103</v>
      </c>
      <c r="E407">
        <f t="shared" si="51"/>
        <v>14.697324479124415</v>
      </c>
      <c r="F407">
        <f t="shared" si="54"/>
        <v>0.80925439686260447</v>
      </c>
      <c r="G407">
        <f t="shared" si="55"/>
        <v>1</v>
      </c>
      <c r="H407">
        <f t="shared" si="56"/>
        <v>13.221502645549108</v>
      </c>
      <c r="K407">
        <v>0.379</v>
      </c>
      <c r="L407">
        <f t="shared" si="52"/>
        <v>-29.333925673600103</v>
      </c>
      <c r="M407">
        <f t="shared" si="53"/>
        <v>24.077102799369282</v>
      </c>
      <c r="N407">
        <f t="shared" si="57"/>
        <v>0.81103673571652035</v>
      </c>
      <c r="O407">
        <f t="shared" si="58"/>
        <v>1</v>
      </c>
      <c r="P407">
        <f t="shared" si="59"/>
        <v>21.683255636274314</v>
      </c>
    </row>
    <row r="408" spans="3:16" x14ac:dyDescent="0.25">
      <c r="C408">
        <v>0.38</v>
      </c>
      <c r="D408">
        <f t="shared" si="50"/>
        <v>-22.392733093342024</v>
      </c>
      <c r="E408">
        <f t="shared" si="51"/>
        <v>14.689891466970002</v>
      </c>
      <c r="F408">
        <f t="shared" si="54"/>
        <v>0.81055033445864555</v>
      </c>
      <c r="G408">
        <f t="shared" si="55"/>
        <v>1</v>
      </c>
      <c r="H408">
        <f t="shared" si="56"/>
        <v>13.225392865137357</v>
      </c>
      <c r="K408">
        <v>0.38</v>
      </c>
      <c r="L408">
        <f t="shared" si="52"/>
        <v>-29.272733093342023</v>
      </c>
      <c r="M408">
        <f t="shared" si="53"/>
        <v>24.064873338824679</v>
      </c>
      <c r="N408">
        <f t="shared" si="57"/>
        <v>0.81233126973253711</v>
      </c>
      <c r="O408">
        <f t="shared" si="58"/>
        <v>1</v>
      </c>
      <c r="P408">
        <f t="shared" si="59"/>
        <v>21.689531228321727</v>
      </c>
    </row>
    <row r="409" spans="3:16" x14ac:dyDescent="0.25">
      <c r="C409">
        <v>0.38100000000000001</v>
      </c>
      <c r="D409">
        <f t="shared" si="50"/>
        <v>-22.355540513083945</v>
      </c>
      <c r="E409">
        <f t="shared" si="51"/>
        <v>14.682458454815588</v>
      </c>
      <c r="F409">
        <f t="shared" si="54"/>
        <v>0.81184185469532044</v>
      </c>
      <c r="G409">
        <f t="shared" si="55"/>
        <v>1</v>
      </c>
      <c r="H409">
        <f t="shared" si="56"/>
        <v>13.229227942272717</v>
      </c>
      <c r="K409">
        <v>0.38100000000000001</v>
      </c>
      <c r="L409">
        <f t="shared" si="52"/>
        <v>-29.211540513083946</v>
      </c>
      <c r="M409">
        <f t="shared" si="53"/>
        <v>24.052643878280076</v>
      </c>
      <c r="N409">
        <f t="shared" si="57"/>
        <v>0.81362135425065574</v>
      </c>
      <c r="O409">
        <f t="shared" si="58"/>
        <v>1</v>
      </c>
      <c r="P409">
        <f t="shared" si="59"/>
        <v>21.695716160351058</v>
      </c>
    </row>
    <row r="410" spans="3:16" x14ac:dyDescent="0.25">
      <c r="C410">
        <v>0.38200000000000001</v>
      </c>
      <c r="D410">
        <f t="shared" si="50"/>
        <v>-22.318347932825866</v>
      </c>
      <c r="E410">
        <f t="shared" si="51"/>
        <v>14.675025442661177</v>
      </c>
      <c r="F410">
        <f t="shared" si="54"/>
        <v>0.81312895757262904</v>
      </c>
      <c r="G410">
        <f t="shared" si="55"/>
        <v>1</v>
      </c>
      <c r="H410">
        <f t="shared" si="56"/>
        <v>13.233008050394597</v>
      </c>
      <c r="K410">
        <v>0.38200000000000001</v>
      </c>
      <c r="L410">
        <f t="shared" si="52"/>
        <v>-29.150347932825866</v>
      </c>
      <c r="M410">
        <f t="shared" si="53"/>
        <v>24.040414417735473</v>
      </c>
      <c r="N410">
        <f t="shared" si="57"/>
        <v>0.81490698927087624</v>
      </c>
      <c r="O410">
        <f t="shared" si="58"/>
        <v>1</v>
      </c>
      <c r="P410">
        <f t="shared" si="59"/>
        <v>21.701810717521976</v>
      </c>
    </row>
    <row r="411" spans="3:16" x14ac:dyDescent="0.25">
      <c r="C411">
        <v>0.38300000000000001</v>
      </c>
      <c r="D411">
        <f t="shared" si="50"/>
        <v>-22.281155352567787</v>
      </c>
      <c r="E411">
        <f t="shared" si="51"/>
        <v>14.667592430506764</v>
      </c>
      <c r="F411">
        <f t="shared" si="54"/>
        <v>0.81441164309057146</v>
      </c>
      <c r="G411">
        <f t="shared" si="55"/>
        <v>1</v>
      </c>
      <c r="H411">
        <f t="shared" si="56"/>
        <v>13.236733361947394</v>
      </c>
      <c r="K411">
        <v>0.38300000000000001</v>
      </c>
      <c r="L411">
        <f t="shared" si="52"/>
        <v>-29.089155352567786</v>
      </c>
      <c r="M411">
        <f t="shared" si="53"/>
        <v>24.02818495719087</v>
      </c>
      <c r="N411">
        <f t="shared" si="57"/>
        <v>0.81618817479319861</v>
      </c>
      <c r="O411">
        <f t="shared" si="58"/>
        <v>1</v>
      </c>
      <c r="P411">
        <f t="shared" si="59"/>
        <v>21.70781518335885</v>
      </c>
    </row>
    <row r="412" spans="3:16" x14ac:dyDescent="0.25">
      <c r="C412">
        <v>0.38400000000000001</v>
      </c>
      <c r="D412">
        <f t="shared" ref="D412:D475" si="60">-$J$23+($J$15+$J$23)*C412</f>
        <v>-22.243962772309708</v>
      </c>
      <c r="E412">
        <f t="shared" ref="E412:E475" si="61">$J$12-$J$11*D412</f>
        <v>14.66015941835235</v>
      </c>
      <c r="F412">
        <f t="shared" si="54"/>
        <v>0.81568991124914758</v>
      </c>
      <c r="G412">
        <f t="shared" si="55"/>
        <v>1</v>
      </c>
      <c r="H412">
        <f t="shared" si="56"/>
        <v>13.240404048389063</v>
      </c>
      <c r="K412">
        <v>0.38400000000000001</v>
      </c>
      <c r="L412">
        <f t="shared" ref="L412:L475" si="62">-$M$23+($M$15+$M$23)*K412</f>
        <v>-29.02796277230971</v>
      </c>
      <c r="M412">
        <f t="shared" ref="M412:M475" si="63">$J$12-$J$11*L412+$E$18</f>
        <v>24.015955496646267</v>
      </c>
      <c r="N412">
        <f t="shared" si="57"/>
        <v>0.81746491081762263</v>
      </c>
      <c r="O412">
        <f t="shared" si="58"/>
        <v>1</v>
      </c>
      <c r="P412">
        <f t="shared" si="59"/>
        <v>21.71372983976481</v>
      </c>
    </row>
    <row r="413" spans="3:16" x14ac:dyDescent="0.25">
      <c r="C413">
        <v>0.38500000000000001</v>
      </c>
      <c r="D413">
        <f t="shared" si="60"/>
        <v>-22.206770192051628</v>
      </c>
      <c r="E413">
        <f t="shared" si="61"/>
        <v>14.652726406197939</v>
      </c>
      <c r="F413">
        <f t="shared" ref="F413:F476" si="64">IF(D413&lt;$J$20,MAX(1-(D413-$J$20)^2/$J$22^2,0),1)</f>
        <v>0.81696376204835752</v>
      </c>
      <c r="G413">
        <f t="shared" ref="G413:G476" si="65">IF(D413&gt;$J$17,MAX(1-(D413-$J$17)^2/($J$15-$J$17)^2,0),1)</f>
        <v>1</v>
      </c>
      <c r="H413">
        <f t="shared" ref="H413:H476" si="66">SQRT(E413^2*F413*G413)</f>
        <v>13.244020280199587</v>
      </c>
      <c r="K413">
        <v>0.38500000000000001</v>
      </c>
      <c r="L413">
        <f t="shared" si="62"/>
        <v>-28.96677019205163</v>
      </c>
      <c r="M413">
        <f t="shared" si="63"/>
        <v>24.003726036101664</v>
      </c>
      <c r="N413">
        <f t="shared" ref="N413:N476" si="67">IF(L413&lt;$J$20,MAX(1-(L413-$J$20)^2/$M$22^2,0),1)</f>
        <v>0.81873719734414874</v>
      </c>
      <c r="O413">
        <f t="shared" ref="O413:O476" si="68">IF(L413&gt;$J$17,MAX(1-(L413-$J$17)^2/($M$15-$J$17)^2,0),1)</f>
        <v>1</v>
      </c>
      <c r="P413">
        <f t="shared" ref="P413:P476" si="69">SQRT(M413^2*N413*O413)</f>
        <v>21.719554967035684</v>
      </c>
    </row>
    <row r="414" spans="3:16" x14ac:dyDescent="0.25">
      <c r="C414">
        <v>0.38600000000000001</v>
      </c>
      <c r="D414">
        <f t="shared" si="60"/>
        <v>-22.169577611793549</v>
      </c>
      <c r="E414">
        <f t="shared" si="61"/>
        <v>14.645293394043525</v>
      </c>
      <c r="F414">
        <f t="shared" si="64"/>
        <v>0.81823319548820117</v>
      </c>
      <c r="G414">
        <f t="shared" si="65"/>
        <v>1</v>
      </c>
      <c r="H414">
        <f t="shared" si="66"/>
        <v>13.247582226889348</v>
      </c>
      <c r="K414">
        <v>0.38600000000000001</v>
      </c>
      <c r="L414">
        <f t="shared" si="62"/>
        <v>-28.90557761179355</v>
      </c>
      <c r="M414">
        <f t="shared" si="63"/>
        <v>23.991496575557058</v>
      </c>
      <c r="N414">
        <f t="shared" si="67"/>
        <v>0.82000503437277661</v>
      </c>
      <c r="O414">
        <f t="shared" si="68"/>
        <v>1</v>
      </c>
      <c r="P414">
        <f t="shared" si="69"/>
        <v>21.725290843873733</v>
      </c>
    </row>
    <row r="415" spans="3:16" x14ac:dyDescent="0.25">
      <c r="C415">
        <v>0.38700000000000001</v>
      </c>
      <c r="D415">
        <f t="shared" si="60"/>
        <v>-22.132385031535474</v>
      </c>
      <c r="E415">
        <f t="shared" si="61"/>
        <v>14.637860381889114</v>
      </c>
      <c r="F415">
        <f t="shared" si="64"/>
        <v>0.81949821156867841</v>
      </c>
      <c r="G415">
        <f t="shared" si="65"/>
        <v>1</v>
      </c>
      <c r="H415">
        <f t="shared" si="66"/>
        <v>13.251090057007408</v>
      </c>
      <c r="K415">
        <v>0.38700000000000001</v>
      </c>
      <c r="L415">
        <f t="shared" si="62"/>
        <v>-28.844385031535474</v>
      </c>
      <c r="M415">
        <f t="shared" si="63"/>
        <v>23.979267115012455</v>
      </c>
      <c r="N415">
        <f t="shared" si="67"/>
        <v>0.82126842190350624</v>
      </c>
      <c r="O415">
        <f t="shared" si="68"/>
        <v>1</v>
      </c>
      <c r="P415">
        <f t="shared" si="69"/>
        <v>21.730937747401271</v>
      </c>
    </row>
    <row r="416" spans="3:16" x14ac:dyDescent="0.25">
      <c r="C416">
        <v>0.38800000000000001</v>
      </c>
      <c r="D416">
        <f t="shared" si="60"/>
        <v>-22.095192451277395</v>
      </c>
      <c r="E416">
        <f t="shared" si="61"/>
        <v>14.630427369734701</v>
      </c>
      <c r="F416">
        <f t="shared" si="64"/>
        <v>0.82075881028978959</v>
      </c>
      <c r="G416">
        <f t="shared" si="65"/>
        <v>1</v>
      </c>
      <c r="H416">
        <f t="shared" si="66"/>
        <v>13.254543938149693</v>
      </c>
      <c r="K416">
        <v>0.38800000000000001</v>
      </c>
      <c r="L416">
        <f t="shared" si="62"/>
        <v>-28.783192451277394</v>
      </c>
      <c r="M416">
        <f t="shared" si="63"/>
        <v>23.967037654467852</v>
      </c>
      <c r="N416">
        <f t="shared" si="67"/>
        <v>0.82252735993633785</v>
      </c>
      <c r="O416">
        <f t="shared" si="68"/>
        <v>1</v>
      </c>
      <c r="P416">
        <f t="shared" si="69"/>
        <v>21.736495953174085</v>
      </c>
    </row>
    <row r="417" spans="3:16" x14ac:dyDescent="0.25">
      <c r="C417">
        <v>0.38900000000000001</v>
      </c>
      <c r="D417">
        <f t="shared" si="60"/>
        <v>-22.057999871019316</v>
      </c>
      <c r="E417">
        <f t="shared" si="61"/>
        <v>14.622994357580289</v>
      </c>
      <c r="F417">
        <f t="shared" si="64"/>
        <v>0.82201499165153458</v>
      </c>
      <c r="G417">
        <f t="shared" si="65"/>
        <v>1</v>
      </c>
      <c r="H417">
        <f t="shared" si="66"/>
        <v>13.257944036967086</v>
      </c>
      <c r="K417">
        <v>0.38900000000000001</v>
      </c>
      <c r="L417">
        <f t="shared" si="62"/>
        <v>-28.721999871019317</v>
      </c>
      <c r="M417">
        <f t="shared" si="63"/>
        <v>23.954808193923249</v>
      </c>
      <c r="N417">
        <f t="shared" si="67"/>
        <v>0.82378184847127112</v>
      </c>
      <c r="O417">
        <f t="shared" si="68"/>
        <v>1</v>
      </c>
      <c r="P417">
        <f t="shared" si="69"/>
        <v>21.741965735194761</v>
      </c>
    </row>
    <row r="418" spans="3:16" x14ac:dyDescent="0.25">
      <c r="C418">
        <v>0.39</v>
      </c>
      <c r="D418">
        <f t="shared" si="60"/>
        <v>-22.020807290761237</v>
      </c>
      <c r="E418">
        <f t="shared" si="61"/>
        <v>14.615561345425876</v>
      </c>
      <c r="F418">
        <f t="shared" si="64"/>
        <v>0.82326675565391327</v>
      </c>
      <c r="G418">
        <f t="shared" si="65"/>
        <v>1</v>
      </c>
      <c r="H418">
        <f t="shared" si="66"/>
        <v>13.261290519173416</v>
      </c>
      <c r="K418">
        <v>0.39</v>
      </c>
      <c r="L418">
        <f t="shared" si="62"/>
        <v>-28.660807290761237</v>
      </c>
      <c r="M418">
        <f t="shared" si="63"/>
        <v>23.942578733378646</v>
      </c>
      <c r="N418">
        <f t="shared" si="67"/>
        <v>0.82503188750830647</v>
      </c>
      <c r="O418">
        <f t="shared" si="68"/>
        <v>1</v>
      </c>
      <c r="P418">
        <f t="shared" si="69"/>
        <v>21.747347365925798</v>
      </c>
    </row>
    <row r="419" spans="3:16" x14ac:dyDescent="0.25">
      <c r="C419">
        <v>0.39100000000000001</v>
      </c>
      <c r="D419">
        <f t="shared" si="60"/>
        <v>-21.983614710503161</v>
      </c>
      <c r="E419">
        <f t="shared" si="61"/>
        <v>14.608128333271464</v>
      </c>
      <c r="F419">
        <f t="shared" si="64"/>
        <v>0.82451410229692557</v>
      </c>
      <c r="G419">
        <f t="shared" si="65"/>
        <v>1</v>
      </c>
      <c r="H419">
        <f t="shared" si="66"/>
        <v>13.264583549553386</v>
      </c>
      <c r="K419">
        <v>0.39100000000000001</v>
      </c>
      <c r="L419">
        <f t="shared" si="62"/>
        <v>-28.599614710503158</v>
      </c>
      <c r="M419">
        <f t="shared" si="63"/>
        <v>23.930349272834043</v>
      </c>
      <c r="N419">
        <f t="shared" si="67"/>
        <v>0.82627747704744359</v>
      </c>
      <c r="O419">
        <f t="shared" si="68"/>
        <v>1</v>
      </c>
      <c r="P419">
        <f t="shared" si="69"/>
        <v>21.75264111630262</v>
      </c>
    </row>
    <row r="420" spans="3:16" x14ac:dyDescent="0.25">
      <c r="C420">
        <v>0.39200000000000002</v>
      </c>
      <c r="D420">
        <f t="shared" si="60"/>
        <v>-21.946422130245082</v>
      </c>
      <c r="E420">
        <f t="shared" si="61"/>
        <v>14.600695321117051</v>
      </c>
      <c r="F420">
        <f t="shared" si="64"/>
        <v>0.82575703158057179</v>
      </c>
      <c r="G420">
        <f t="shared" si="65"/>
        <v>1</v>
      </c>
      <c r="H420">
        <f t="shared" si="66"/>
        <v>13.267823291970378</v>
      </c>
      <c r="K420">
        <v>0.39200000000000002</v>
      </c>
      <c r="L420">
        <f t="shared" si="62"/>
        <v>-28.538422130245081</v>
      </c>
      <c r="M420">
        <f t="shared" si="63"/>
        <v>23.91811981228944</v>
      </c>
      <c r="N420">
        <f t="shared" si="67"/>
        <v>0.82751861708868246</v>
      </c>
      <c r="O420">
        <f t="shared" si="68"/>
        <v>1</v>
      </c>
      <c r="P420">
        <f t="shared" si="69"/>
        <v>21.75784725574642</v>
      </c>
    </row>
    <row r="421" spans="3:16" x14ac:dyDescent="0.25">
      <c r="C421">
        <v>0.39300000000000002</v>
      </c>
      <c r="D421">
        <f t="shared" si="60"/>
        <v>-21.909229549987003</v>
      </c>
      <c r="E421">
        <f t="shared" si="61"/>
        <v>14.59326230896264</v>
      </c>
      <c r="F421">
        <f t="shared" si="64"/>
        <v>0.82699554350485172</v>
      </c>
      <c r="G421">
        <f t="shared" si="65"/>
        <v>1</v>
      </c>
      <c r="H421">
        <f t="shared" si="66"/>
        <v>13.271009909374197</v>
      </c>
      <c r="K421">
        <v>0.39300000000000002</v>
      </c>
      <c r="L421">
        <f t="shared" si="62"/>
        <v>-28.477229549987001</v>
      </c>
      <c r="M421">
        <f t="shared" si="63"/>
        <v>23.905890351744837</v>
      </c>
      <c r="N421">
        <f t="shared" si="67"/>
        <v>0.82875530763202321</v>
      </c>
      <c r="O421">
        <f t="shared" si="68"/>
        <v>1</v>
      </c>
      <c r="P421">
        <f t="shared" si="69"/>
        <v>21.762966052176864</v>
      </c>
    </row>
    <row r="422" spans="3:16" x14ac:dyDescent="0.25">
      <c r="C422">
        <v>0.39400000000000002</v>
      </c>
      <c r="D422">
        <f t="shared" si="60"/>
        <v>-21.872036969728924</v>
      </c>
      <c r="E422">
        <f t="shared" si="61"/>
        <v>14.585829296808226</v>
      </c>
      <c r="F422">
        <f t="shared" si="64"/>
        <v>0.82822963806976546</v>
      </c>
      <c r="G422">
        <f t="shared" si="65"/>
        <v>1</v>
      </c>
      <c r="H422">
        <f t="shared" si="66"/>
        <v>13.274143563808703</v>
      </c>
      <c r="K422">
        <v>0.39400000000000002</v>
      </c>
      <c r="L422">
        <f t="shared" si="62"/>
        <v>-28.416036969728925</v>
      </c>
      <c r="M422">
        <f t="shared" si="63"/>
        <v>23.893660891200234</v>
      </c>
      <c r="N422">
        <f t="shared" si="67"/>
        <v>0.82998754867746583</v>
      </c>
      <c r="O422">
        <f t="shared" si="68"/>
        <v>1</v>
      </c>
      <c r="P422">
        <f t="shared" si="69"/>
        <v>21.767997772024646</v>
      </c>
    </row>
    <row r="423" spans="3:16" x14ac:dyDescent="0.25">
      <c r="C423">
        <v>0.39500000000000002</v>
      </c>
      <c r="D423">
        <f t="shared" si="60"/>
        <v>-21.834844389470845</v>
      </c>
      <c r="E423">
        <f t="shared" si="61"/>
        <v>14.578396284653813</v>
      </c>
      <c r="F423">
        <f t="shared" si="64"/>
        <v>0.82945931527531291</v>
      </c>
      <c r="G423">
        <f t="shared" si="65"/>
        <v>1</v>
      </c>
      <c r="H423">
        <f t="shared" si="66"/>
        <v>13.277224416419388</v>
      </c>
      <c r="K423">
        <v>0.39500000000000002</v>
      </c>
      <c r="L423">
        <f t="shared" si="62"/>
        <v>-28.354844389470845</v>
      </c>
      <c r="M423">
        <f t="shared" si="63"/>
        <v>23.881431430655631</v>
      </c>
      <c r="N423">
        <f t="shared" si="67"/>
        <v>0.83121534022501031</v>
      </c>
      <c r="O423">
        <f t="shared" si="68"/>
        <v>1</v>
      </c>
      <c r="P423">
        <f t="shared" si="69"/>
        <v>21.77294268024394</v>
      </c>
    </row>
    <row r="424" spans="3:16" x14ac:dyDescent="0.25">
      <c r="C424">
        <v>0.39600000000000002</v>
      </c>
      <c r="D424">
        <f t="shared" si="60"/>
        <v>-21.797651809212766</v>
      </c>
      <c r="E424">
        <f t="shared" si="61"/>
        <v>14.570963272499402</v>
      </c>
      <c r="F424">
        <f t="shared" si="64"/>
        <v>0.83068457512149418</v>
      </c>
      <c r="G424">
        <f t="shared" si="65"/>
        <v>1</v>
      </c>
      <c r="H424">
        <f t="shared" si="66"/>
        <v>13.28025262746085</v>
      </c>
      <c r="K424">
        <v>0.39600000000000002</v>
      </c>
      <c r="L424">
        <f t="shared" si="62"/>
        <v>-28.293651809212765</v>
      </c>
      <c r="M424">
        <f t="shared" si="63"/>
        <v>23.869201970111028</v>
      </c>
      <c r="N424">
        <f t="shared" si="67"/>
        <v>0.83243868227465656</v>
      </c>
      <c r="O424">
        <f t="shared" si="68"/>
        <v>1</v>
      </c>
      <c r="P424">
        <f t="shared" si="69"/>
        <v>21.777801040324626</v>
      </c>
    </row>
    <row r="425" spans="3:16" x14ac:dyDescent="0.25">
      <c r="C425">
        <v>0.39700000000000002</v>
      </c>
      <c r="D425">
        <f t="shared" si="60"/>
        <v>-21.760459228954687</v>
      </c>
      <c r="E425">
        <f t="shared" si="61"/>
        <v>14.563530260344988</v>
      </c>
      <c r="F425">
        <f t="shared" si="64"/>
        <v>0.83190541760830916</v>
      </c>
      <c r="G425">
        <f t="shared" si="65"/>
        <v>1</v>
      </c>
      <c r="H425">
        <f t="shared" si="66"/>
        <v>13.283228356304175</v>
      </c>
      <c r="K425">
        <v>0.39700000000000002</v>
      </c>
      <c r="L425">
        <f t="shared" si="62"/>
        <v>-28.232459228954689</v>
      </c>
      <c r="M425">
        <f t="shared" si="63"/>
        <v>23.856972509566425</v>
      </c>
      <c r="N425">
        <f t="shared" si="67"/>
        <v>0.83365757482640479</v>
      </c>
      <c r="O425">
        <f t="shared" si="68"/>
        <v>1</v>
      </c>
      <c r="P425">
        <f t="shared" si="69"/>
        <v>21.782573114304505</v>
      </c>
    </row>
    <row r="426" spans="3:16" x14ac:dyDescent="0.25">
      <c r="C426">
        <v>0.39800000000000002</v>
      </c>
      <c r="D426">
        <f t="shared" si="60"/>
        <v>-21.723266648696608</v>
      </c>
      <c r="E426">
        <f t="shared" si="61"/>
        <v>14.556097248190575</v>
      </c>
      <c r="F426">
        <f t="shared" si="64"/>
        <v>0.83312184273575796</v>
      </c>
      <c r="G426">
        <f t="shared" si="65"/>
        <v>1</v>
      </c>
      <c r="H426">
        <f t="shared" si="66"/>
        <v>13.286151761444259</v>
      </c>
      <c r="K426">
        <v>0.39800000000000002</v>
      </c>
      <c r="L426">
        <f t="shared" si="62"/>
        <v>-28.171266648696609</v>
      </c>
      <c r="M426">
        <f t="shared" si="63"/>
        <v>23.844743049021822</v>
      </c>
      <c r="N426">
        <f t="shared" si="67"/>
        <v>0.83487201788025478</v>
      </c>
      <c r="O426">
        <f t="shared" si="68"/>
        <v>1</v>
      </c>
      <c r="P426">
        <f t="shared" si="69"/>
        <v>21.787259162781258</v>
      </c>
    </row>
    <row r="427" spans="3:16" x14ac:dyDescent="0.25">
      <c r="C427">
        <v>0.39900000000000002</v>
      </c>
      <c r="D427">
        <f t="shared" si="60"/>
        <v>-21.686074068438529</v>
      </c>
      <c r="E427">
        <f t="shared" si="61"/>
        <v>14.548664236036164</v>
      </c>
      <c r="F427">
        <f t="shared" si="64"/>
        <v>0.83433385050384046</v>
      </c>
      <c r="G427">
        <f t="shared" si="65"/>
        <v>1</v>
      </c>
      <c r="H427">
        <f t="shared" si="66"/>
        <v>13.28902300050704</v>
      </c>
      <c r="K427">
        <v>0.39900000000000002</v>
      </c>
      <c r="L427">
        <f t="shared" si="62"/>
        <v>-28.110074068438529</v>
      </c>
      <c r="M427">
        <f t="shared" si="63"/>
        <v>23.832513588477216</v>
      </c>
      <c r="N427">
        <f t="shared" si="67"/>
        <v>0.83608201143620664</v>
      </c>
      <c r="O427">
        <f t="shared" si="68"/>
        <v>1</v>
      </c>
      <c r="P427">
        <f t="shared" si="69"/>
        <v>21.791859444924356</v>
      </c>
    </row>
    <row r="428" spans="3:16" x14ac:dyDescent="0.25">
      <c r="C428">
        <v>0.4</v>
      </c>
      <c r="D428">
        <f t="shared" si="60"/>
        <v>-21.64888148818045</v>
      </c>
      <c r="E428">
        <f t="shared" si="61"/>
        <v>14.54123122388175</v>
      </c>
      <c r="F428">
        <f t="shared" si="64"/>
        <v>0.83554144091255678</v>
      </c>
      <c r="G428">
        <f t="shared" si="65"/>
        <v>1</v>
      </c>
      <c r="H428">
        <f t="shared" si="66"/>
        <v>13.291842230256638</v>
      </c>
      <c r="K428">
        <v>0.4</v>
      </c>
      <c r="L428">
        <f t="shared" si="62"/>
        <v>-28.048881488180452</v>
      </c>
      <c r="M428">
        <f t="shared" si="63"/>
        <v>23.820284127932613</v>
      </c>
      <c r="N428">
        <f t="shared" si="67"/>
        <v>0.83728755549426026</v>
      </c>
      <c r="O428">
        <f t="shared" si="68"/>
        <v>1</v>
      </c>
      <c r="P428">
        <f t="shared" si="69"/>
        <v>21.7963742184868</v>
      </c>
    </row>
    <row r="429" spans="3:16" x14ac:dyDescent="0.25">
      <c r="C429">
        <v>0.40100000000000002</v>
      </c>
      <c r="D429">
        <f t="shared" si="60"/>
        <v>-21.611688907922371</v>
      </c>
      <c r="E429">
        <f t="shared" si="61"/>
        <v>14.533798211727337</v>
      </c>
      <c r="F429">
        <f t="shared" si="64"/>
        <v>0.8367446139619068</v>
      </c>
      <c r="G429">
        <f t="shared" si="65"/>
        <v>1</v>
      </c>
      <c r="H429">
        <f t="shared" si="66"/>
        <v>13.294609606602446</v>
      </c>
      <c r="K429">
        <v>0.40100000000000002</v>
      </c>
      <c r="L429">
        <f t="shared" si="62"/>
        <v>-27.987688907922372</v>
      </c>
      <c r="M429">
        <f t="shared" si="63"/>
        <v>23.80805466738801</v>
      </c>
      <c r="N429">
        <f t="shared" si="67"/>
        <v>0.83848865005441575</v>
      </c>
      <c r="O429">
        <f t="shared" si="68"/>
        <v>1</v>
      </c>
      <c r="P429">
        <f t="shared" si="69"/>
        <v>21.800803739816736</v>
      </c>
    </row>
    <row r="430" spans="3:16" x14ac:dyDescent="0.25">
      <c r="C430">
        <v>0.40200000000000002</v>
      </c>
      <c r="D430">
        <f t="shared" si="60"/>
        <v>-21.574496327664296</v>
      </c>
      <c r="E430">
        <f t="shared" si="61"/>
        <v>14.526365199572925</v>
      </c>
      <c r="F430">
        <f t="shared" si="64"/>
        <v>0.83794336965189042</v>
      </c>
      <c r="G430">
        <f t="shared" si="65"/>
        <v>1</v>
      </c>
      <c r="H430">
        <f t="shared" si="66"/>
        <v>13.297325284606107</v>
      </c>
      <c r="K430">
        <v>0.40200000000000002</v>
      </c>
      <c r="L430">
        <f t="shared" si="62"/>
        <v>-27.926496327664296</v>
      </c>
      <c r="M430">
        <f t="shared" si="63"/>
        <v>23.795825206843407</v>
      </c>
      <c r="N430">
        <f t="shared" si="67"/>
        <v>0.83968529511667311</v>
      </c>
      <c r="O430">
        <f t="shared" si="68"/>
        <v>1</v>
      </c>
      <c r="P430">
        <f t="shared" si="69"/>
        <v>21.805148263868958</v>
      </c>
    </row>
    <row r="431" spans="3:16" x14ac:dyDescent="0.25">
      <c r="C431">
        <v>0.40300000000000002</v>
      </c>
      <c r="D431">
        <f t="shared" si="60"/>
        <v>-21.537303747406217</v>
      </c>
      <c r="E431">
        <f t="shared" si="61"/>
        <v>14.518932187418514</v>
      </c>
      <c r="F431">
        <f t="shared" si="64"/>
        <v>0.83913770798250797</v>
      </c>
      <c r="G431">
        <f t="shared" si="65"/>
        <v>1</v>
      </c>
      <c r="H431">
        <f t="shared" si="66"/>
        <v>13.299989418488448</v>
      </c>
      <c r="K431">
        <v>0.40300000000000002</v>
      </c>
      <c r="L431">
        <f t="shared" si="62"/>
        <v>-27.865303747406216</v>
      </c>
      <c r="M431">
        <f t="shared" si="63"/>
        <v>23.783595746298804</v>
      </c>
      <c r="N431">
        <f t="shared" si="67"/>
        <v>0.84087749068103235</v>
      </c>
      <c r="O431">
        <f t="shared" si="68"/>
        <v>1</v>
      </c>
      <c r="P431">
        <f t="shared" si="69"/>
        <v>21.809408044216255</v>
      </c>
    </row>
    <row r="432" spans="3:16" x14ac:dyDescent="0.25">
      <c r="C432">
        <v>0.40400000000000003</v>
      </c>
      <c r="D432">
        <f t="shared" si="60"/>
        <v>-21.500111167148138</v>
      </c>
      <c r="E432">
        <f t="shared" si="61"/>
        <v>14.511499175264101</v>
      </c>
      <c r="F432">
        <f t="shared" si="64"/>
        <v>0.84032762895375934</v>
      </c>
      <c r="G432">
        <f t="shared" si="65"/>
        <v>1</v>
      </c>
      <c r="H432">
        <f t="shared" si="66"/>
        <v>13.302602161636303</v>
      </c>
      <c r="K432">
        <v>0.40400000000000003</v>
      </c>
      <c r="L432">
        <f t="shared" si="62"/>
        <v>-27.804111167148136</v>
      </c>
      <c r="M432">
        <f t="shared" si="63"/>
        <v>23.771366285754201</v>
      </c>
      <c r="N432">
        <f t="shared" si="67"/>
        <v>0.84206523674749345</v>
      </c>
      <c r="O432">
        <f t="shared" si="68"/>
        <v>1</v>
      </c>
      <c r="P432">
        <f t="shared" si="69"/>
        <v>21.813583333060677</v>
      </c>
    </row>
    <row r="433" spans="3:16" x14ac:dyDescent="0.25">
      <c r="C433">
        <v>0.40500000000000003</v>
      </c>
      <c r="D433">
        <f t="shared" si="60"/>
        <v>-21.462918586890058</v>
      </c>
      <c r="E433">
        <f t="shared" si="61"/>
        <v>14.504066163109687</v>
      </c>
      <c r="F433">
        <f t="shared" si="64"/>
        <v>0.84151313256564442</v>
      </c>
      <c r="G433">
        <f t="shared" si="65"/>
        <v>1</v>
      </c>
      <c r="H433">
        <f t="shared" si="66"/>
        <v>13.305163666609305</v>
      </c>
      <c r="K433">
        <v>0.40500000000000003</v>
      </c>
      <c r="L433">
        <f t="shared" si="62"/>
        <v>-27.74291858689006</v>
      </c>
      <c r="M433">
        <f t="shared" si="63"/>
        <v>23.759136825209598</v>
      </c>
      <c r="N433">
        <f t="shared" si="67"/>
        <v>0.84324853331605631</v>
      </c>
      <c r="O433">
        <f t="shared" si="68"/>
        <v>1</v>
      </c>
      <c r="P433">
        <f t="shared" si="69"/>
        <v>21.81767438124464</v>
      </c>
    </row>
    <row r="434" spans="3:16" x14ac:dyDescent="0.25">
      <c r="C434">
        <v>0.40600000000000003</v>
      </c>
      <c r="D434">
        <f t="shared" si="60"/>
        <v>-21.425726006631983</v>
      </c>
      <c r="E434">
        <f t="shared" si="61"/>
        <v>14.496633150955276</v>
      </c>
      <c r="F434">
        <f t="shared" si="64"/>
        <v>0.84269421881816309</v>
      </c>
      <c r="G434">
        <f t="shared" si="65"/>
        <v>1</v>
      </c>
      <c r="H434">
        <f t="shared" si="66"/>
        <v>13.307674085146562</v>
      </c>
      <c r="K434">
        <v>0.40600000000000003</v>
      </c>
      <c r="L434">
        <f t="shared" si="62"/>
        <v>-27.68172600663198</v>
      </c>
      <c r="M434">
        <f t="shared" si="63"/>
        <v>23.746907364664995</v>
      </c>
      <c r="N434">
        <f t="shared" si="67"/>
        <v>0.84442738038672105</v>
      </c>
      <c r="O434">
        <f t="shared" si="68"/>
        <v>1</v>
      </c>
      <c r="P434">
        <f t="shared" si="69"/>
        <v>21.821681438261926</v>
      </c>
    </row>
    <row r="435" spans="3:16" x14ac:dyDescent="0.25">
      <c r="C435">
        <v>0.40699999999999997</v>
      </c>
      <c r="D435">
        <f t="shared" si="60"/>
        <v>-21.388533426373904</v>
      </c>
      <c r="E435">
        <f t="shared" si="61"/>
        <v>14.489200138800864</v>
      </c>
      <c r="F435">
        <f t="shared" si="64"/>
        <v>0.84387088771131569</v>
      </c>
      <c r="G435">
        <f t="shared" si="65"/>
        <v>1</v>
      </c>
      <c r="H435">
        <f t="shared" si="66"/>
        <v>13.310133568173294</v>
      </c>
      <c r="K435">
        <v>0.40699999999999997</v>
      </c>
      <c r="L435">
        <f t="shared" si="62"/>
        <v>-27.620533426373903</v>
      </c>
      <c r="M435">
        <f t="shared" si="63"/>
        <v>23.734677904120392</v>
      </c>
      <c r="N435">
        <f t="shared" si="67"/>
        <v>0.84560177795948765</v>
      </c>
      <c r="O435">
        <f t="shared" si="68"/>
        <v>1</v>
      </c>
      <c r="P435">
        <f t="shared" si="69"/>
        <v>21.825604752268564</v>
      </c>
    </row>
    <row r="436" spans="3:16" x14ac:dyDescent="0.25">
      <c r="C436">
        <v>0.40799999999999997</v>
      </c>
      <c r="D436">
        <f t="shared" si="60"/>
        <v>-21.351340846115825</v>
      </c>
      <c r="E436">
        <f t="shared" si="61"/>
        <v>14.481767126646451</v>
      </c>
      <c r="F436">
        <f t="shared" si="64"/>
        <v>0.84504313924510199</v>
      </c>
      <c r="G436">
        <f t="shared" si="65"/>
        <v>1</v>
      </c>
      <c r="H436">
        <f t="shared" si="66"/>
        <v>13.312542265807364</v>
      </c>
      <c r="K436">
        <v>0.40799999999999997</v>
      </c>
      <c r="L436">
        <f t="shared" si="62"/>
        <v>-27.559340846115827</v>
      </c>
      <c r="M436">
        <f t="shared" si="63"/>
        <v>23.722448443575789</v>
      </c>
      <c r="N436">
        <f t="shared" si="67"/>
        <v>0.84677172603435602</v>
      </c>
      <c r="O436">
        <f t="shared" si="68"/>
        <v>1</v>
      </c>
      <c r="P436">
        <f t="shared" si="69"/>
        <v>21.8294445700936</v>
      </c>
    </row>
    <row r="437" spans="3:16" x14ac:dyDescent="0.25">
      <c r="C437">
        <v>0.40899999999999997</v>
      </c>
      <c r="D437">
        <f t="shared" si="60"/>
        <v>-21.314148265857746</v>
      </c>
      <c r="E437">
        <f t="shared" si="61"/>
        <v>14.474334114492038</v>
      </c>
      <c r="F437">
        <f t="shared" si="64"/>
        <v>0.84621097341952212</v>
      </c>
      <c r="G437">
        <f t="shared" si="65"/>
        <v>1</v>
      </c>
      <c r="H437">
        <f t="shared" si="66"/>
        <v>13.31490032736578</v>
      </c>
      <c r="K437">
        <v>0.40899999999999997</v>
      </c>
      <c r="L437">
        <f t="shared" si="62"/>
        <v>-27.498148265857747</v>
      </c>
      <c r="M437">
        <f t="shared" si="63"/>
        <v>23.710218983031186</v>
      </c>
      <c r="N437">
        <f t="shared" si="67"/>
        <v>0.84793722461132637</v>
      </c>
      <c r="O437">
        <f t="shared" si="68"/>
        <v>1</v>
      </c>
      <c r="P437">
        <f t="shared" si="69"/>
        <v>21.83320113724972</v>
      </c>
    </row>
    <row r="438" spans="3:16" x14ac:dyDescent="0.25">
      <c r="C438">
        <v>0.41</v>
      </c>
      <c r="D438">
        <f t="shared" si="60"/>
        <v>-21.276955685599667</v>
      </c>
      <c r="E438">
        <f t="shared" si="61"/>
        <v>14.466901102337626</v>
      </c>
      <c r="F438">
        <f t="shared" si="64"/>
        <v>0.84737439023457606</v>
      </c>
      <c r="G438">
        <f t="shared" si="65"/>
        <v>1</v>
      </c>
      <c r="H438">
        <f t="shared" si="66"/>
        <v>13.317207901371097</v>
      </c>
      <c r="K438">
        <v>0.41</v>
      </c>
      <c r="L438">
        <f t="shared" si="62"/>
        <v>-27.436955685599671</v>
      </c>
      <c r="M438">
        <f t="shared" si="63"/>
        <v>23.697989522486584</v>
      </c>
      <c r="N438">
        <f t="shared" si="67"/>
        <v>0.84909827369039848</v>
      </c>
      <c r="O438">
        <f t="shared" si="68"/>
        <v>1</v>
      </c>
      <c r="P438">
        <f t="shared" si="69"/>
        <v>21.836874697943813</v>
      </c>
    </row>
    <row r="439" spans="3:16" x14ac:dyDescent="0.25">
      <c r="C439">
        <v>0.41099999999999998</v>
      </c>
      <c r="D439">
        <f t="shared" si="60"/>
        <v>-21.239763105341588</v>
      </c>
      <c r="E439">
        <f t="shared" si="61"/>
        <v>14.459468090183213</v>
      </c>
      <c r="F439">
        <f t="shared" si="64"/>
        <v>0.8485333896902636</v>
      </c>
      <c r="G439">
        <f t="shared" si="65"/>
        <v>1</v>
      </c>
      <c r="H439">
        <f t="shared" si="66"/>
        <v>13.319465135557742</v>
      </c>
      <c r="K439">
        <v>0.41099999999999998</v>
      </c>
      <c r="L439">
        <f t="shared" si="62"/>
        <v>-27.375763105341591</v>
      </c>
      <c r="M439">
        <f t="shared" si="63"/>
        <v>23.685760061941977</v>
      </c>
      <c r="N439">
        <f t="shared" si="67"/>
        <v>0.85025487327157245</v>
      </c>
      <c r="O439">
        <f t="shared" si="68"/>
        <v>1</v>
      </c>
      <c r="P439">
        <f t="shared" si="69"/>
        <v>21.840465495087358</v>
      </c>
    </row>
    <row r="440" spans="3:16" x14ac:dyDescent="0.25">
      <c r="C440">
        <v>0.41199999999999998</v>
      </c>
      <c r="D440">
        <f t="shared" si="60"/>
        <v>-21.202570525083509</v>
      </c>
      <c r="E440">
        <f t="shared" si="61"/>
        <v>14.4520350780288</v>
      </c>
      <c r="F440">
        <f t="shared" si="64"/>
        <v>0.84968797178658495</v>
      </c>
      <c r="G440">
        <f t="shared" si="65"/>
        <v>1</v>
      </c>
      <c r="H440">
        <f t="shared" si="66"/>
        <v>13.321672176878318</v>
      </c>
      <c r="K440">
        <v>0.41199999999999998</v>
      </c>
      <c r="L440">
        <f t="shared" si="62"/>
        <v>-27.314570525083511</v>
      </c>
      <c r="M440">
        <f t="shared" si="63"/>
        <v>23.673530601397374</v>
      </c>
      <c r="N440">
        <f t="shared" si="67"/>
        <v>0.8514070233548483</v>
      </c>
      <c r="O440">
        <f t="shared" si="68"/>
        <v>1</v>
      </c>
      <c r="P440">
        <f t="shared" si="69"/>
        <v>21.843973770306757</v>
      </c>
    </row>
    <row r="441" spans="3:16" x14ac:dyDescent="0.25">
      <c r="C441">
        <v>0.41299999999999998</v>
      </c>
      <c r="D441">
        <f t="shared" si="60"/>
        <v>-21.165377944825433</v>
      </c>
      <c r="E441">
        <f t="shared" si="61"/>
        <v>14.444602065874388</v>
      </c>
      <c r="F441">
        <f t="shared" si="64"/>
        <v>0.85083813652354001</v>
      </c>
      <c r="G441">
        <f t="shared" si="65"/>
        <v>1</v>
      </c>
      <c r="H441">
        <f t="shared" si="66"/>
        <v>13.323829171509784</v>
      </c>
      <c r="K441">
        <v>0.41299999999999998</v>
      </c>
      <c r="L441">
        <f t="shared" si="62"/>
        <v>-27.253377944825434</v>
      </c>
      <c r="M441">
        <f t="shared" si="63"/>
        <v>23.661301140852771</v>
      </c>
      <c r="N441">
        <f t="shared" si="67"/>
        <v>0.85255472394022591</v>
      </c>
      <c r="O441">
        <f t="shared" si="68"/>
        <v>1</v>
      </c>
      <c r="P441">
        <f t="shared" si="69"/>
        <v>21.847399763953508</v>
      </c>
    </row>
    <row r="442" spans="3:16" x14ac:dyDescent="0.25">
      <c r="C442">
        <v>0.41399999999999998</v>
      </c>
      <c r="D442">
        <f t="shared" si="60"/>
        <v>-21.128185364567354</v>
      </c>
      <c r="E442">
        <f t="shared" si="61"/>
        <v>14.437169053719977</v>
      </c>
      <c r="F442">
        <f t="shared" si="64"/>
        <v>0.85198388390112889</v>
      </c>
      <c r="G442">
        <f t="shared" si="65"/>
        <v>1</v>
      </c>
      <c r="H442">
        <f t="shared" si="66"/>
        <v>13.325936264859612</v>
      </c>
      <c r="K442">
        <v>0.41399999999999998</v>
      </c>
      <c r="L442">
        <f t="shared" si="62"/>
        <v>-27.192185364567354</v>
      </c>
      <c r="M442">
        <f t="shared" si="63"/>
        <v>23.649071680308168</v>
      </c>
      <c r="N442">
        <f t="shared" si="67"/>
        <v>0.85369797502770539</v>
      </c>
      <c r="O442">
        <f t="shared" si="68"/>
        <v>1</v>
      </c>
      <c r="P442">
        <f t="shared" si="69"/>
        <v>21.850743715114312</v>
      </c>
    </row>
    <row r="443" spans="3:16" x14ac:dyDescent="0.25">
      <c r="C443">
        <v>0.41499999999999998</v>
      </c>
      <c r="D443">
        <f t="shared" si="60"/>
        <v>-21.090992784309275</v>
      </c>
      <c r="E443">
        <f t="shared" si="61"/>
        <v>14.429736041565564</v>
      </c>
      <c r="F443">
        <f t="shared" si="64"/>
        <v>0.85312521391935159</v>
      </c>
      <c r="G443">
        <f t="shared" si="65"/>
        <v>1</v>
      </c>
      <c r="H443">
        <f t="shared" si="66"/>
        <v>13.327993601571851</v>
      </c>
      <c r="K443">
        <v>0.41499999999999998</v>
      </c>
      <c r="L443">
        <f t="shared" si="62"/>
        <v>-27.130992784309278</v>
      </c>
      <c r="M443">
        <f t="shared" si="63"/>
        <v>23.636842219763565</v>
      </c>
      <c r="N443">
        <f t="shared" si="67"/>
        <v>0.85483677661728674</v>
      </c>
      <c r="O443">
        <f t="shared" si="68"/>
        <v>1</v>
      </c>
      <c r="P443">
        <f t="shared" si="69"/>
        <v>21.85400586162104</v>
      </c>
    </row>
    <row r="444" spans="3:16" x14ac:dyDescent="0.25">
      <c r="C444">
        <v>0.41599999999999998</v>
      </c>
      <c r="D444">
        <f t="shared" si="60"/>
        <v>-21.0538002040512</v>
      </c>
      <c r="E444">
        <f t="shared" si="61"/>
        <v>14.42230302941115</v>
      </c>
      <c r="F444">
        <f t="shared" si="64"/>
        <v>0.85426212657820788</v>
      </c>
      <c r="G444">
        <f t="shared" si="65"/>
        <v>1</v>
      </c>
      <c r="H444">
        <f t="shared" si="66"/>
        <v>13.330001325533139</v>
      </c>
      <c r="K444">
        <v>0.41599999999999998</v>
      </c>
      <c r="L444">
        <f t="shared" si="62"/>
        <v>-27.069800204051198</v>
      </c>
      <c r="M444">
        <f t="shared" si="63"/>
        <v>23.624612759218962</v>
      </c>
      <c r="N444">
        <f t="shared" si="67"/>
        <v>0.85597112870896996</v>
      </c>
      <c r="O444">
        <f t="shared" si="68"/>
        <v>1</v>
      </c>
      <c r="P444">
        <f t="shared" si="69"/>
        <v>21.857186440060609</v>
      </c>
    </row>
    <row r="445" spans="3:16" x14ac:dyDescent="0.25">
      <c r="C445">
        <v>0.41699999999999998</v>
      </c>
      <c r="D445">
        <f t="shared" si="60"/>
        <v>-21.016607623793121</v>
      </c>
      <c r="E445">
        <f t="shared" si="61"/>
        <v>14.414870017256739</v>
      </c>
      <c r="F445">
        <f t="shared" si="64"/>
        <v>0.85539462187769799</v>
      </c>
      <c r="G445">
        <f t="shared" si="65"/>
        <v>1</v>
      </c>
      <c r="H445">
        <f t="shared" si="66"/>
        <v>13.331959579878664</v>
      </c>
      <c r="K445">
        <v>0.41699999999999998</v>
      </c>
      <c r="L445">
        <f t="shared" si="62"/>
        <v>-27.008607623793118</v>
      </c>
      <c r="M445">
        <f t="shared" si="63"/>
        <v>23.612383298674359</v>
      </c>
      <c r="N445">
        <f t="shared" si="67"/>
        <v>0.85710103130275506</v>
      </c>
      <c r="O445">
        <f t="shared" si="68"/>
        <v>1</v>
      </c>
      <c r="P445">
        <f t="shared" si="69"/>
        <v>21.860285685784756</v>
      </c>
    </row>
    <row r="446" spans="3:16" x14ac:dyDescent="0.25">
      <c r="C446">
        <v>0.41799999999999998</v>
      </c>
      <c r="D446">
        <f t="shared" si="60"/>
        <v>-20.979415043535042</v>
      </c>
      <c r="E446">
        <f t="shared" si="61"/>
        <v>14.407437005102327</v>
      </c>
      <c r="F446">
        <f t="shared" si="64"/>
        <v>0.85652269981782192</v>
      </c>
      <c r="G446">
        <f t="shared" si="65"/>
        <v>1</v>
      </c>
      <c r="H446">
        <f t="shared" si="66"/>
        <v>13.333868506998019</v>
      </c>
      <c r="K446">
        <v>0.41799999999999998</v>
      </c>
      <c r="L446">
        <f t="shared" si="62"/>
        <v>-26.947415043535042</v>
      </c>
      <c r="M446">
        <f t="shared" si="63"/>
        <v>23.600153838129756</v>
      </c>
      <c r="N446">
        <f t="shared" si="67"/>
        <v>0.85822648439864191</v>
      </c>
      <c r="O446">
        <f t="shared" si="68"/>
        <v>1</v>
      </c>
      <c r="P446">
        <f t="shared" si="69"/>
        <v>21.863303832919705</v>
      </c>
    </row>
    <row r="447" spans="3:16" x14ac:dyDescent="0.25">
      <c r="C447">
        <v>0.41899999999999998</v>
      </c>
      <c r="D447">
        <f t="shared" si="60"/>
        <v>-20.942222463276963</v>
      </c>
      <c r="E447">
        <f t="shared" si="61"/>
        <v>14.400003992947914</v>
      </c>
      <c r="F447">
        <f t="shared" si="64"/>
        <v>0.85764636039857967</v>
      </c>
      <c r="G447">
        <f t="shared" si="65"/>
        <v>1</v>
      </c>
      <c r="H447">
        <f t="shared" si="66"/>
        <v>13.335728248541052</v>
      </c>
      <c r="K447">
        <v>0.41899999999999998</v>
      </c>
      <c r="L447">
        <f t="shared" si="62"/>
        <v>-26.886222463276962</v>
      </c>
      <c r="M447">
        <f t="shared" si="63"/>
        <v>23.587924377585153</v>
      </c>
      <c r="N447">
        <f t="shared" si="67"/>
        <v>0.85934748799663063</v>
      </c>
      <c r="O447">
        <f t="shared" si="68"/>
        <v>1</v>
      </c>
      <c r="P447">
        <f t="shared" si="69"/>
        <v>21.866241114375732</v>
      </c>
    </row>
    <row r="448" spans="3:16" x14ac:dyDescent="0.25">
      <c r="C448">
        <v>0.42</v>
      </c>
      <c r="D448">
        <f t="shared" si="60"/>
        <v>-20.905029883018884</v>
      </c>
      <c r="E448">
        <f t="shared" si="61"/>
        <v>14.392570980793501</v>
      </c>
      <c r="F448">
        <f t="shared" si="64"/>
        <v>0.85876560361997112</v>
      </c>
      <c r="G448">
        <f t="shared" si="65"/>
        <v>1</v>
      </c>
      <c r="H448">
        <f t="shared" si="66"/>
        <v>13.337538945423617</v>
      </c>
      <c r="K448">
        <v>0.42</v>
      </c>
      <c r="L448">
        <f t="shared" si="62"/>
        <v>-26.825029883018882</v>
      </c>
      <c r="M448">
        <f t="shared" si="63"/>
        <v>23.575694917040551</v>
      </c>
      <c r="N448">
        <f t="shared" si="67"/>
        <v>0.86046404209672123</v>
      </c>
      <c r="O448">
        <f t="shared" si="68"/>
        <v>1</v>
      </c>
      <c r="P448">
        <f t="shared" si="69"/>
        <v>21.869097761856619</v>
      </c>
    </row>
    <row r="449" spans="3:16" x14ac:dyDescent="0.25">
      <c r="C449">
        <v>0.42099999999999999</v>
      </c>
      <c r="D449">
        <f t="shared" si="60"/>
        <v>-20.867837302760805</v>
      </c>
      <c r="E449">
        <f t="shared" si="61"/>
        <v>14.385137968639089</v>
      </c>
      <c r="F449">
        <f t="shared" si="64"/>
        <v>0.85988042948199639</v>
      </c>
      <c r="G449">
        <f t="shared" si="65"/>
        <v>1</v>
      </c>
      <c r="H449">
        <f t="shared" si="66"/>
        <v>13.33930073783327</v>
      </c>
      <c r="K449">
        <v>0.42099999999999999</v>
      </c>
      <c r="L449">
        <f t="shared" si="62"/>
        <v>-26.763837302760805</v>
      </c>
      <c r="M449">
        <f t="shared" si="63"/>
        <v>23.563465456495948</v>
      </c>
      <c r="N449">
        <f t="shared" si="67"/>
        <v>0.86157614669891358</v>
      </c>
      <c r="O449">
        <f t="shared" si="68"/>
        <v>1</v>
      </c>
      <c r="P449">
        <f t="shared" si="69"/>
        <v>21.871874005869021</v>
      </c>
    </row>
    <row r="450" spans="3:16" x14ac:dyDescent="0.25">
      <c r="C450">
        <v>0.42199999999999999</v>
      </c>
      <c r="D450">
        <f t="shared" si="60"/>
        <v>-20.830644722502726</v>
      </c>
      <c r="E450">
        <f t="shared" si="61"/>
        <v>14.377704956484676</v>
      </c>
      <c r="F450">
        <f t="shared" si="64"/>
        <v>0.86099083798465537</v>
      </c>
      <c r="G450">
        <f t="shared" si="65"/>
        <v>1</v>
      </c>
      <c r="H450">
        <f t="shared" si="66"/>
        <v>13.341013765234905</v>
      </c>
      <c r="K450">
        <v>0.42199999999999999</v>
      </c>
      <c r="L450">
        <f t="shared" si="62"/>
        <v>-26.702644722502725</v>
      </c>
      <c r="M450">
        <f t="shared" si="63"/>
        <v>23.551235995951345</v>
      </c>
      <c r="N450">
        <f t="shared" si="67"/>
        <v>0.86268380180320792</v>
      </c>
      <c r="O450">
        <f t="shared" si="68"/>
        <v>1</v>
      </c>
      <c r="P450">
        <f t="shared" si="69"/>
        <v>21.874570075731757</v>
      </c>
    </row>
    <row r="451" spans="3:16" x14ac:dyDescent="0.25">
      <c r="C451">
        <v>0.42299999999999999</v>
      </c>
      <c r="D451">
        <f t="shared" si="60"/>
        <v>-20.793452142244647</v>
      </c>
      <c r="E451">
        <f t="shared" si="61"/>
        <v>14.370271944330263</v>
      </c>
      <c r="F451">
        <f t="shared" si="64"/>
        <v>0.86209682912794805</v>
      </c>
      <c r="G451">
        <f t="shared" si="65"/>
        <v>1</v>
      </c>
      <c r="H451">
        <f t="shared" si="66"/>
        <v>13.342678166376356</v>
      </c>
      <c r="K451">
        <v>0.42299999999999999</v>
      </c>
      <c r="L451">
        <f t="shared" si="62"/>
        <v>-26.641452142244649</v>
      </c>
      <c r="M451">
        <f t="shared" si="63"/>
        <v>23.539006535406742</v>
      </c>
      <c r="N451">
        <f t="shared" si="67"/>
        <v>0.86378700740960401</v>
      </c>
      <c r="O451">
        <f t="shared" si="68"/>
        <v>1</v>
      </c>
      <c r="P451">
        <f t="shared" si="69"/>
        <v>21.877186199584937</v>
      </c>
    </row>
    <row r="452" spans="3:16" x14ac:dyDescent="0.25">
      <c r="C452">
        <v>0.42399999999999999</v>
      </c>
      <c r="D452">
        <f t="shared" si="60"/>
        <v>-20.756259561986568</v>
      </c>
      <c r="E452">
        <f t="shared" si="61"/>
        <v>14.362838932175851</v>
      </c>
      <c r="F452">
        <f t="shared" si="64"/>
        <v>0.86319840291187455</v>
      </c>
      <c r="G452">
        <f t="shared" si="65"/>
        <v>1</v>
      </c>
      <c r="H452">
        <f t="shared" si="66"/>
        <v>13.344294079293903</v>
      </c>
      <c r="K452">
        <v>0.42399999999999999</v>
      </c>
      <c r="L452">
        <f t="shared" si="62"/>
        <v>-26.580259561986569</v>
      </c>
      <c r="M452">
        <f t="shared" si="63"/>
        <v>23.526777074862135</v>
      </c>
      <c r="N452">
        <f t="shared" si="67"/>
        <v>0.86488576351810198</v>
      </c>
      <c r="O452">
        <f t="shared" si="68"/>
        <v>1</v>
      </c>
      <c r="P452">
        <f t="shared" si="69"/>
        <v>21.87972260439907</v>
      </c>
    </row>
    <row r="453" spans="3:16" x14ac:dyDescent="0.25">
      <c r="C453">
        <v>0.42499999999999999</v>
      </c>
      <c r="D453">
        <f t="shared" si="60"/>
        <v>-20.719066981728488</v>
      </c>
      <c r="E453">
        <f t="shared" si="61"/>
        <v>14.355405920021438</v>
      </c>
      <c r="F453">
        <f t="shared" si="64"/>
        <v>0.86429555933643476</v>
      </c>
      <c r="G453">
        <f t="shared" si="65"/>
        <v>1</v>
      </c>
      <c r="H453">
        <f t="shared" si="66"/>
        <v>13.345861641317732</v>
      </c>
      <c r="K453">
        <v>0.42499999999999999</v>
      </c>
      <c r="L453">
        <f t="shared" si="62"/>
        <v>-26.519066981728489</v>
      </c>
      <c r="M453">
        <f t="shared" si="63"/>
        <v>23.514547614317532</v>
      </c>
      <c r="N453">
        <f t="shared" si="67"/>
        <v>0.86598007012870182</v>
      </c>
      <c r="O453">
        <f t="shared" si="68"/>
        <v>1</v>
      </c>
      <c r="P453">
        <f t="shared" si="69"/>
        <v>21.882179515984038</v>
      </c>
    </row>
    <row r="454" spans="3:16" x14ac:dyDescent="0.25">
      <c r="C454">
        <v>0.42599999999999999</v>
      </c>
      <c r="D454">
        <f t="shared" si="60"/>
        <v>-20.681874401470409</v>
      </c>
      <c r="E454">
        <f t="shared" si="61"/>
        <v>14.347972907867025</v>
      </c>
      <c r="F454">
        <f t="shared" si="64"/>
        <v>0.86538829840162879</v>
      </c>
      <c r="G454">
        <f t="shared" si="65"/>
        <v>1</v>
      </c>
      <c r="H454">
        <f t="shared" si="66"/>
        <v>13.347380989077372</v>
      </c>
      <c r="K454">
        <v>0.42599999999999999</v>
      </c>
      <c r="L454">
        <f t="shared" si="62"/>
        <v>-26.457874401470413</v>
      </c>
      <c r="M454">
        <f t="shared" si="63"/>
        <v>23.502318153772929</v>
      </c>
      <c r="N454">
        <f t="shared" si="67"/>
        <v>0.86706992724140342</v>
      </c>
      <c r="O454">
        <f t="shared" si="68"/>
        <v>1</v>
      </c>
      <c r="P454">
        <f t="shared" si="69"/>
        <v>21.884557158997968</v>
      </c>
    </row>
    <row r="455" spans="3:16" x14ac:dyDescent="0.25">
      <c r="C455">
        <v>0.42699999999999999</v>
      </c>
      <c r="D455">
        <f t="shared" si="60"/>
        <v>-20.64468182121233</v>
      </c>
      <c r="E455">
        <f t="shared" si="61"/>
        <v>14.340539895712613</v>
      </c>
      <c r="F455">
        <f t="shared" si="64"/>
        <v>0.86647662010745652</v>
      </c>
      <c r="G455">
        <f t="shared" si="65"/>
        <v>1</v>
      </c>
      <c r="H455">
        <f t="shared" si="66"/>
        <v>13.348852258507019</v>
      </c>
      <c r="K455">
        <v>0.42699999999999999</v>
      </c>
      <c r="L455">
        <f t="shared" si="62"/>
        <v>-26.396681821212333</v>
      </c>
      <c r="M455">
        <f t="shared" si="63"/>
        <v>23.490088693228326</v>
      </c>
      <c r="N455">
        <f t="shared" si="67"/>
        <v>0.86815533485620688</v>
      </c>
      <c r="O455">
        <f t="shared" si="68"/>
        <v>1</v>
      </c>
      <c r="P455">
        <f t="shared" si="69"/>
        <v>21.886855756956034</v>
      </c>
    </row>
    <row r="456" spans="3:16" x14ac:dyDescent="0.25">
      <c r="C456">
        <v>0.42799999999999999</v>
      </c>
      <c r="D456">
        <f t="shared" si="60"/>
        <v>-20.607489240954255</v>
      </c>
      <c r="E456">
        <f t="shared" si="61"/>
        <v>14.333106883558202</v>
      </c>
      <c r="F456">
        <f t="shared" si="64"/>
        <v>0.86756052445391796</v>
      </c>
      <c r="G456">
        <f t="shared" si="65"/>
        <v>1</v>
      </c>
      <c r="H456">
        <f t="shared" si="66"/>
        <v>13.35027558485085</v>
      </c>
      <c r="K456">
        <v>0.42799999999999999</v>
      </c>
      <c r="L456">
        <f t="shared" si="62"/>
        <v>-26.335489240954253</v>
      </c>
      <c r="M456">
        <f t="shared" si="63"/>
        <v>23.477859232683723</v>
      </c>
      <c r="N456">
        <f t="shared" si="67"/>
        <v>0.86923629297311233</v>
      </c>
      <c r="O456">
        <f t="shared" si="68"/>
        <v>1</v>
      </c>
      <c r="P456">
        <f t="shared" si="69"/>
        <v>21.889075532239175</v>
      </c>
    </row>
    <row r="457" spans="3:16" x14ac:dyDescent="0.25">
      <c r="C457">
        <v>0.42899999999999999</v>
      </c>
      <c r="D457">
        <f t="shared" si="60"/>
        <v>-20.570296660696176</v>
      </c>
      <c r="E457">
        <f t="shared" si="61"/>
        <v>14.325673871403788</v>
      </c>
      <c r="F457">
        <f t="shared" si="64"/>
        <v>0.86864001144101322</v>
      </c>
      <c r="G457">
        <f t="shared" si="65"/>
        <v>1</v>
      </c>
      <c r="H457">
        <f t="shared" si="66"/>
        <v>13.351651102668264</v>
      </c>
      <c r="K457">
        <v>0.42899999999999999</v>
      </c>
      <c r="L457">
        <f t="shared" si="62"/>
        <v>-26.274296660696177</v>
      </c>
      <c r="M457">
        <f t="shared" si="63"/>
        <v>23.46562977213912</v>
      </c>
      <c r="N457">
        <f t="shared" si="67"/>
        <v>0.87031280159211943</v>
      </c>
      <c r="O457">
        <f t="shared" si="68"/>
        <v>1</v>
      </c>
      <c r="P457">
        <f t="shared" si="69"/>
        <v>21.891216706102686</v>
      </c>
    </row>
    <row r="458" spans="3:16" x14ac:dyDescent="0.25">
      <c r="C458">
        <v>0.43</v>
      </c>
      <c r="D458">
        <f t="shared" si="60"/>
        <v>-20.533104080438097</v>
      </c>
      <c r="E458">
        <f t="shared" si="61"/>
        <v>14.318240859249375</v>
      </c>
      <c r="F458">
        <f t="shared" si="64"/>
        <v>0.86971508106874218</v>
      </c>
      <c r="G458">
        <f t="shared" si="65"/>
        <v>1</v>
      </c>
      <c r="H458">
        <f t="shared" si="66"/>
        <v>13.352978945839064</v>
      </c>
      <c r="K458">
        <v>0.43</v>
      </c>
      <c r="L458">
        <f t="shared" si="62"/>
        <v>-26.213104080438097</v>
      </c>
      <c r="M458">
        <f t="shared" si="63"/>
        <v>23.453400311594518</v>
      </c>
      <c r="N458">
        <f t="shared" si="67"/>
        <v>0.8713848607132284</v>
      </c>
      <c r="O458">
        <f t="shared" si="68"/>
        <v>1</v>
      </c>
      <c r="P458">
        <f t="shared" si="69"/>
        <v>21.893279498684748</v>
      </c>
    </row>
    <row r="459" spans="3:16" x14ac:dyDescent="0.25">
      <c r="C459">
        <v>0.43099999999999999</v>
      </c>
      <c r="D459">
        <f t="shared" si="60"/>
        <v>-20.495911500180018</v>
      </c>
      <c r="E459">
        <f t="shared" si="61"/>
        <v>14.310807847094964</v>
      </c>
      <c r="F459">
        <f t="shared" si="64"/>
        <v>0.87078573333710507</v>
      </c>
      <c r="G459">
        <f t="shared" si="65"/>
        <v>1</v>
      </c>
      <c r="H459">
        <f t="shared" si="66"/>
        <v>13.35425924756861</v>
      </c>
      <c r="K459">
        <v>0.43099999999999999</v>
      </c>
      <c r="L459">
        <f t="shared" si="62"/>
        <v>-26.15191150018002</v>
      </c>
      <c r="M459">
        <f t="shared" si="63"/>
        <v>23.441170851049915</v>
      </c>
      <c r="N459">
        <f t="shared" si="67"/>
        <v>0.87245247033643936</v>
      </c>
      <c r="O459">
        <f t="shared" si="68"/>
        <v>1</v>
      </c>
      <c r="P459">
        <f t="shared" si="69"/>
        <v>21.895264129014897</v>
      </c>
    </row>
    <row r="460" spans="3:16" x14ac:dyDescent="0.25">
      <c r="C460">
        <v>0.432</v>
      </c>
      <c r="D460">
        <f t="shared" si="60"/>
        <v>-20.458718919921939</v>
      </c>
      <c r="E460">
        <f t="shared" si="61"/>
        <v>14.30337483494055</v>
      </c>
      <c r="F460">
        <f t="shared" si="64"/>
        <v>0.87185196824610156</v>
      </c>
      <c r="G460">
        <f t="shared" si="65"/>
        <v>1</v>
      </c>
      <c r="H460">
        <f t="shared" si="66"/>
        <v>13.355492140392878</v>
      </c>
      <c r="K460">
        <v>0.432</v>
      </c>
      <c r="L460">
        <f t="shared" si="62"/>
        <v>-26.09071891992194</v>
      </c>
      <c r="M460">
        <f t="shared" si="63"/>
        <v>23.428941390505308</v>
      </c>
      <c r="N460">
        <f t="shared" si="67"/>
        <v>0.87351563046175207</v>
      </c>
      <c r="O460">
        <f t="shared" si="68"/>
        <v>1</v>
      </c>
      <c r="P460">
        <f t="shared" si="69"/>
        <v>21.897170815022321</v>
      </c>
    </row>
    <row r="461" spans="3:16" x14ac:dyDescent="0.25">
      <c r="C461">
        <v>0.433</v>
      </c>
      <c r="D461">
        <f t="shared" si="60"/>
        <v>-20.421526339663863</v>
      </c>
      <c r="E461">
        <f t="shared" si="61"/>
        <v>14.295941822786137</v>
      </c>
      <c r="F461">
        <f t="shared" si="64"/>
        <v>0.87291378579573187</v>
      </c>
      <c r="G461">
        <f t="shared" si="65"/>
        <v>1</v>
      </c>
      <c r="H461">
        <f t="shared" si="66"/>
        <v>13.356677756183517</v>
      </c>
      <c r="K461">
        <v>0.433</v>
      </c>
      <c r="L461">
        <f t="shared" si="62"/>
        <v>-26.02952633966386</v>
      </c>
      <c r="M461">
        <f t="shared" si="63"/>
        <v>23.416711929960705</v>
      </c>
      <c r="N461">
        <f t="shared" si="67"/>
        <v>0.87457434108916665</v>
      </c>
      <c r="O461">
        <f t="shared" si="68"/>
        <v>1</v>
      </c>
      <c r="P461">
        <f t="shared" si="69"/>
        <v>21.898999773544173</v>
      </c>
    </row>
    <row r="462" spans="3:16" x14ac:dyDescent="0.25">
      <c r="C462">
        <v>0.434</v>
      </c>
      <c r="D462">
        <f t="shared" si="60"/>
        <v>-20.384333759405784</v>
      </c>
      <c r="E462">
        <f t="shared" si="61"/>
        <v>14.288508810631726</v>
      </c>
      <c r="F462">
        <f t="shared" si="64"/>
        <v>0.87397118598599588</v>
      </c>
      <c r="G462">
        <f t="shared" si="65"/>
        <v>1</v>
      </c>
      <c r="H462">
        <f t="shared" si="66"/>
        <v>13.357816226152813</v>
      </c>
      <c r="K462">
        <v>0.434</v>
      </c>
      <c r="L462">
        <f t="shared" si="62"/>
        <v>-25.968333759405784</v>
      </c>
      <c r="M462">
        <f t="shared" si="63"/>
        <v>23.404482469416102</v>
      </c>
      <c r="N462">
        <f t="shared" si="67"/>
        <v>0.87562860221868299</v>
      </c>
      <c r="O462">
        <f t="shared" si="68"/>
        <v>1</v>
      </c>
      <c r="P462">
        <f t="shared" si="69"/>
        <v>21.900751220333735</v>
      </c>
    </row>
    <row r="463" spans="3:16" x14ac:dyDescent="0.25">
      <c r="C463">
        <v>0.435</v>
      </c>
      <c r="D463">
        <f t="shared" si="60"/>
        <v>-20.347141179147705</v>
      </c>
      <c r="E463">
        <f t="shared" si="61"/>
        <v>14.281075798477314</v>
      </c>
      <c r="F463">
        <f t="shared" si="64"/>
        <v>0.87502416881689371</v>
      </c>
      <c r="G463">
        <f t="shared" si="65"/>
        <v>1</v>
      </c>
      <c r="H463">
        <f t="shared" si="66"/>
        <v>13.358907680858628</v>
      </c>
      <c r="K463">
        <v>0.435</v>
      </c>
      <c r="L463">
        <f t="shared" si="62"/>
        <v>-25.907141179147704</v>
      </c>
      <c r="M463">
        <f t="shared" si="63"/>
        <v>23.392253008871499</v>
      </c>
      <c r="N463">
        <f t="shared" si="67"/>
        <v>0.87667841385030121</v>
      </c>
      <c r="O463">
        <f t="shared" si="68"/>
        <v>1</v>
      </c>
      <c r="P463">
        <f t="shared" si="69"/>
        <v>21.902425370068507</v>
      </c>
    </row>
    <row r="464" spans="3:16" x14ac:dyDescent="0.25">
      <c r="C464">
        <v>0.436</v>
      </c>
      <c r="D464">
        <f t="shared" si="60"/>
        <v>-20.309948598889626</v>
      </c>
      <c r="E464">
        <f t="shared" si="61"/>
        <v>14.273642786322901</v>
      </c>
      <c r="F464">
        <f t="shared" si="64"/>
        <v>0.87607273428842536</v>
      </c>
      <c r="G464">
        <f t="shared" si="65"/>
        <v>1</v>
      </c>
      <c r="H464">
        <f t="shared" si="66"/>
        <v>13.359952250209266</v>
      </c>
      <c r="K464">
        <v>0.436</v>
      </c>
      <c r="L464">
        <f t="shared" si="62"/>
        <v>-25.845948598889628</v>
      </c>
      <c r="M464">
        <f t="shared" si="63"/>
        <v>23.380023548326896</v>
      </c>
      <c r="N464">
        <f t="shared" si="67"/>
        <v>0.87772377598402129</v>
      </c>
      <c r="O464">
        <f t="shared" si="68"/>
        <v>1</v>
      </c>
      <c r="P464">
        <f t="shared" si="69"/>
        <v>21.904022436358243</v>
      </c>
    </row>
    <row r="465" spans="3:16" x14ac:dyDescent="0.25">
      <c r="C465">
        <v>0.437</v>
      </c>
      <c r="D465">
        <f t="shared" si="60"/>
        <v>-20.272756018631547</v>
      </c>
      <c r="E465">
        <f t="shared" si="61"/>
        <v>14.266209774168487</v>
      </c>
      <c r="F465">
        <f t="shared" si="64"/>
        <v>0.8771168824005906</v>
      </c>
      <c r="G465">
        <f t="shared" si="65"/>
        <v>1</v>
      </c>
      <c r="H465">
        <f t="shared" si="66"/>
        <v>13.360950063468325</v>
      </c>
      <c r="K465">
        <v>0.437</v>
      </c>
      <c r="L465">
        <f t="shared" si="62"/>
        <v>-25.784756018631548</v>
      </c>
      <c r="M465">
        <f t="shared" si="63"/>
        <v>23.367794087782293</v>
      </c>
      <c r="N465">
        <f t="shared" si="67"/>
        <v>0.87876468861984325</v>
      </c>
      <c r="O465">
        <f t="shared" si="68"/>
        <v>1</v>
      </c>
      <c r="P465">
        <f t="shared" si="69"/>
        <v>21.905542631752873</v>
      </c>
    </row>
    <row r="466" spans="3:16" x14ac:dyDescent="0.25">
      <c r="C466">
        <v>0.438</v>
      </c>
      <c r="D466">
        <f t="shared" si="60"/>
        <v>-20.235563438373468</v>
      </c>
      <c r="E466">
        <f t="shared" si="61"/>
        <v>14.258776762014076</v>
      </c>
      <c r="F466">
        <f t="shared" si="64"/>
        <v>0.87815661315338978</v>
      </c>
      <c r="G466">
        <f t="shared" si="65"/>
        <v>1</v>
      </c>
      <c r="H466">
        <f t="shared" si="66"/>
        <v>13.361901249259459</v>
      </c>
      <c r="K466">
        <v>0.438</v>
      </c>
      <c r="L466">
        <f t="shared" si="62"/>
        <v>-25.723563438373468</v>
      </c>
      <c r="M466">
        <f t="shared" si="63"/>
        <v>23.35556462723769</v>
      </c>
      <c r="N466">
        <f t="shared" si="67"/>
        <v>0.87980115175776707</v>
      </c>
      <c r="O466">
        <f t="shared" si="68"/>
        <v>1</v>
      </c>
      <c r="P466">
        <f t="shared" si="69"/>
        <v>21.906986167750365</v>
      </c>
    </row>
    <row r="467" spans="3:16" x14ac:dyDescent="0.25">
      <c r="C467">
        <v>0.439</v>
      </c>
      <c r="D467">
        <f t="shared" si="60"/>
        <v>-20.198370858115389</v>
      </c>
      <c r="E467">
        <f t="shared" si="61"/>
        <v>14.251343749859663</v>
      </c>
      <c r="F467">
        <f t="shared" si="64"/>
        <v>0.87919192654682266</v>
      </c>
      <c r="G467">
        <f t="shared" si="65"/>
        <v>1</v>
      </c>
      <c r="H467">
        <f t="shared" si="66"/>
        <v>13.362805935571117</v>
      </c>
      <c r="K467">
        <v>0.439</v>
      </c>
      <c r="L467">
        <f t="shared" si="62"/>
        <v>-25.662370858115391</v>
      </c>
      <c r="M467">
        <f t="shared" si="63"/>
        <v>23.343335166693088</v>
      </c>
      <c r="N467">
        <f t="shared" si="67"/>
        <v>0.88083316539779266</v>
      </c>
      <c r="O467">
        <f t="shared" si="68"/>
        <v>1</v>
      </c>
      <c r="P467">
        <f t="shared" si="69"/>
        <v>21.908353254804485</v>
      </c>
    </row>
    <row r="468" spans="3:16" x14ac:dyDescent="0.25">
      <c r="C468">
        <v>0.44</v>
      </c>
      <c r="D468">
        <f t="shared" si="60"/>
        <v>-20.16117827785731</v>
      </c>
      <c r="E468">
        <f t="shared" si="61"/>
        <v>14.243910737705249</v>
      </c>
      <c r="F468">
        <f t="shared" si="64"/>
        <v>0.88022282258088924</v>
      </c>
      <c r="G468">
        <f t="shared" si="65"/>
        <v>1</v>
      </c>
      <c r="H468">
        <f t="shared" si="66"/>
        <v>13.363664249761234</v>
      </c>
      <c r="K468">
        <v>0.44</v>
      </c>
      <c r="L468">
        <f t="shared" si="62"/>
        <v>-25.601178277857311</v>
      </c>
      <c r="M468">
        <f t="shared" si="63"/>
        <v>23.331105706148485</v>
      </c>
      <c r="N468">
        <f t="shared" si="67"/>
        <v>0.88186072953992012</v>
      </c>
      <c r="O468">
        <f t="shared" si="68"/>
        <v>1</v>
      </c>
      <c r="P468">
        <f t="shared" si="69"/>
        <v>21.909644102332528</v>
      </c>
    </row>
    <row r="469" spans="3:16" x14ac:dyDescent="0.25">
      <c r="C469">
        <v>0.441</v>
      </c>
      <c r="D469">
        <f t="shared" si="60"/>
        <v>-20.123985697599235</v>
      </c>
      <c r="E469">
        <f t="shared" si="61"/>
        <v>14.236477725550838</v>
      </c>
      <c r="F469">
        <f t="shared" si="64"/>
        <v>0.88124930125558953</v>
      </c>
      <c r="G469">
        <f t="shared" si="65"/>
        <v>1</v>
      </c>
      <c r="H469">
        <f t="shared" si="66"/>
        <v>13.364476318561872</v>
      </c>
      <c r="K469">
        <v>0.441</v>
      </c>
      <c r="L469">
        <f t="shared" si="62"/>
        <v>-25.539985697599231</v>
      </c>
      <c r="M469">
        <f t="shared" si="63"/>
        <v>23.318876245603882</v>
      </c>
      <c r="N469">
        <f t="shared" si="67"/>
        <v>0.88288384418414956</v>
      </c>
      <c r="O469">
        <f t="shared" si="68"/>
        <v>1</v>
      </c>
      <c r="P469">
        <f t="shared" si="69"/>
        <v>21.910858918722898</v>
      </c>
    </row>
    <row r="470" spans="3:16" x14ac:dyDescent="0.25">
      <c r="C470">
        <v>0.442</v>
      </c>
      <c r="D470">
        <f t="shared" si="60"/>
        <v>-20.086793117341156</v>
      </c>
      <c r="E470">
        <f t="shared" si="61"/>
        <v>14.229044713396426</v>
      </c>
      <c r="F470">
        <f t="shared" si="64"/>
        <v>0.88227136257092365</v>
      </c>
      <c r="G470">
        <f t="shared" si="65"/>
        <v>1</v>
      </c>
      <c r="H470">
        <f t="shared" si="66"/>
        <v>13.36524226808379</v>
      </c>
      <c r="K470">
        <v>0.442</v>
      </c>
      <c r="L470">
        <f t="shared" si="62"/>
        <v>-25.478793117341155</v>
      </c>
      <c r="M470">
        <f t="shared" si="63"/>
        <v>23.306646785059279</v>
      </c>
      <c r="N470">
        <f t="shared" si="67"/>
        <v>0.88390250933048065</v>
      </c>
      <c r="O470">
        <f t="shared" si="68"/>
        <v>1</v>
      </c>
      <c r="P470">
        <f t="shared" si="69"/>
        <v>21.911997911342681</v>
      </c>
    </row>
    <row r="471" spans="3:16" x14ac:dyDescent="0.25">
      <c r="C471">
        <v>0.443</v>
      </c>
      <c r="D471">
        <f t="shared" si="60"/>
        <v>-20.049600537083077</v>
      </c>
      <c r="E471">
        <f t="shared" si="61"/>
        <v>14.221611701242013</v>
      </c>
      <c r="F471">
        <f t="shared" si="64"/>
        <v>0.88328900652689157</v>
      </c>
      <c r="G471">
        <f t="shared" si="65"/>
        <v>1</v>
      </c>
      <c r="H471">
        <f t="shared" si="66"/>
        <v>13.365962223821022</v>
      </c>
      <c r="K471">
        <v>0.443</v>
      </c>
      <c r="L471">
        <f t="shared" si="62"/>
        <v>-25.417600537083075</v>
      </c>
      <c r="M471">
        <f t="shared" si="63"/>
        <v>23.294417324514676</v>
      </c>
      <c r="N471">
        <f t="shared" si="67"/>
        <v>0.8849167249789136</v>
      </c>
      <c r="O471">
        <f t="shared" si="68"/>
        <v>1</v>
      </c>
      <c r="P471">
        <f t="shared" si="69"/>
        <v>21.913061286545098</v>
      </c>
    </row>
    <row r="472" spans="3:16" x14ac:dyDescent="0.25">
      <c r="C472">
        <v>0.44400000000000001</v>
      </c>
      <c r="D472">
        <f t="shared" si="60"/>
        <v>-20.012407956824998</v>
      </c>
      <c r="E472">
        <f t="shared" si="61"/>
        <v>14.2141786890876</v>
      </c>
      <c r="F472">
        <f t="shared" si="64"/>
        <v>0.88430223312349321</v>
      </c>
      <c r="G472">
        <f t="shared" si="65"/>
        <v>1</v>
      </c>
      <c r="H472">
        <f t="shared" si="66"/>
        <v>13.36663631065535</v>
      </c>
      <c r="K472">
        <v>0.44400000000000001</v>
      </c>
      <c r="L472">
        <f t="shared" si="62"/>
        <v>-25.356407956824999</v>
      </c>
      <c r="M472">
        <f t="shared" si="63"/>
        <v>23.282187863970073</v>
      </c>
      <c r="N472">
        <f t="shared" si="67"/>
        <v>0.88592649112944843</v>
      </c>
      <c r="O472">
        <f t="shared" si="68"/>
        <v>1</v>
      </c>
      <c r="P472">
        <f t="shared" si="69"/>
        <v>21.914049249676911</v>
      </c>
    </row>
    <row r="473" spans="3:16" x14ac:dyDescent="0.25">
      <c r="C473">
        <v>0.44500000000000001</v>
      </c>
      <c r="D473">
        <f t="shared" si="60"/>
        <v>-19.975215376566918</v>
      </c>
      <c r="E473">
        <f t="shared" si="61"/>
        <v>14.206745676933188</v>
      </c>
      <c r="F473">
        <f t="shared" si="64"/>
        <v>0.88531104236072866</v>
      </c>
      <c r="G473">
        <f t="shared" si="65"/>
        <v>1</v>
      </c>
      <c r="H473">
        <f t="shared" si="66"/>
        <v>13.367264652860783</v>
      </c>
      <c r="K473">
        <v>0.44500000000000001</v>
      </c>
      <c r="L473">
        <f t="shared" si="62"/>
        <v>-25.295215376566919</v>
      </c>
      <c r="M473">
        <f t="shared" si="63"/>
        <v>23.26995840342547</v>
      </c>
      <c r="N473">
        <f t="shared" si="67"/>
        <v>0.88693180778208514</v>
      </c>
      <c r="O473">
        <f t="shared" si="68"/>
        <v>1</v>
      </c>
      <c r="P473">
        <f t="shared" si="69"/>
        <v>21.914962005085723</v>
      </c>
    </row>
    <row r="474" spans="3:16" x14ac:dyDescent="0.25">
      <c r="C474">
        <v>0.44600000000000001</v>
      </c>
      <c r="D474">
        <f t="shared" si="60"/>
        <v>-19.938022796308839</v>
      </c>
      <c r="E474">
        <f t="shared" si="61"/>
        <v>14.199312664778775</v>
      </c>
      <c r="F474">
        <f t="shared" si="64"/>
        <v>0.88631543423859782</v>
      </c>
      <c r="G474">
        <f t="shared" si="65"/>
        <v>1</v>
      </c>
      <c r="H474">
        <f t="shared" si="66"/>
        <v>13.367847374107946</v>
      </c>
      <c r="K474">
        <v>0.44600000000000001</v>
      </c>
      <c r="L474">
        <f t="shared" si="62"/>
        <v>-25.234022796308839</v>
      </c>
      <c r="M474">
        <f t="shared" si="63"/>
        <v>23.257728942880863</v>
      </c>
      <c r="N474">
        <f t="shared" si="67"/>
        <v>0.88793267493682371</v>
      </c>
      <c r="O474">
        <f t="shared" si="68"/>
        <v>1</v>
      </c>
      <c r="P474">
        <f t="shared" si="69"/>
        <v>21.915799756127253</v>
      </c>
    </row>
    <row r="475" spans="3:16" x14ac:dyDescent="0.25">
      <c r="C475">
        <v>0.44700000000000001</v>
      </c>
      <c r="D475">
        <f t="shared" si="60"/>
        <v>-19.90083021605076</v>
      </c>
      <c r="E475">
        <f t="shared" si="61"/>
        <v>14.191879652624362</v>
      </c>
      <c r="F475">
        <f t="shared" si="64"/>
        <v>0.8873154087571008</v>
      </c>
      <c r="G475">
        <f t="shared" si="65"/>
        <v>1</v>
      </c>
      <c r="H475">
        <f t="shared" si="66"/>
        <v>13.368384597468467</v>
      </c>
      <c r="K475">
        <v>0.44700000000000001</v>
      </c>
      <c r="L475">
        <f t="shared" si="62"/>
        <v>-25.172830216050762</v>
      </c>
      <c r="M475">
        <f t="shared" si="63"/>
        <v>23.24549948233626</v>
      </c>
      <c r="N475">
        <f t="shared" si="67"/>
        <v>0.88892909259366415</v>
      </c>
      <c r="O475">
        <f t="shared" si="68"/>
        <v>1</v>
      </c>
      <c r="P475">
        <f t="shared" si="69"/>
        <v>21.916562705172488</v>
      </c>
    </row>
    <row r="476" spans="3:16" x14ac:dyDescent="0.25">
      <c r="C476">
        <v>0.44800000000000001</v>
      </c>
      <c r="D476">
        <f t="shared" ref="D476:D539" si="70">-$J$23+($J$15+$J$23)*C476</f>
        <v>-19.863637635792685</v>
      </c>
      <c r="E476">
        <f t="shared" ref="E476:E539" si="71">$J$12-$J$11*D476</f>
        <v>14.18444664046995</v>
      </c>
      <c r="F476">
        <f t="shared" si="64"/>
        <v>0.88831096591623737</v>
      </c>
      <c r="G476">
        <f t="shared" si="65"/>
        <v>1</v>
      </c>
      <c r="H476">
        <f t="shared" si="66"/>
        <v>13.368876445419293</v>
      </c>
      <c r="K476">
        <v>0.44800000000000001</v>
      </c>
      <c r="L476">
        <f t="shared" ref="L476:L539" si="72">-$M$23+($M$15+$M$23)*K476</f>
        <v>-25.111637635792682</v>
      </c>
      <c r="M476">
        <f t="shared" ref="M476:M539" si="73">$J$12-$J$11*L476+$E$18</f>
        <v>23.233270021791657</v>
      </c>
      <c r="N476">
        <f t="shared" si="67"/>
        <v>0.88992106075260635</v>
      </c>
      <c r="O476">
        <f t="shared" si="68"/>
        <v>1</v>
      </c>
      <c r="P476">
        <f t="shared" si="69"/>
        <v>21.917251053614798</v>
      </c>
    </row>
    <row r="477" spans="3:16" x14ac:dyDescent="0.25">
      <c r="C477">
        <v>0.44900000000000001</v>
      </c>
      <c r="D477">
        <f t="shared" si="70"/>
        <v>-19.826445055534606</v>
      </c>
      <c r="E477">
        <f t="shared" si="71"/>
        <v>14.177013628315539</v>
      </c>
      <c r="F477">
        <f t="shared" ref="F477:F540" si="74">IF(D477&lt;$J$20,MAX(1-(D477-$J$20)^2/$J$22^2,0),1)</f>
        <v>0.88930210571600776</v>
      </c>
      <c r="G477">
        <f t="shared" ref="G477:G540" si="75">IF(D477&gt;$J$17,MAX(1-(D477-$J$17)^2/($J$15-$J$17)^2,0),1)</f>
        <v>1</v>
      </c>
      <c r="H477">
        <f t="shared" ref="H477:H540" si="76">SQRT(E477^2*F477*G477)</f>
        <v>13.369323039846973</v>
      </c>
      <c r="K477">
        <v>0.44900000000000001</v>
      </c>
      <c r="L477">
        <f t="shared" si="72"/>
        <v>-25.050445055534606</v>
      </c>
      <c r="M477">
        <f t="shared" si="73"/>
        <v>23.221040561247055</v>
      </c>
      <c r="N477">
        <f t="shared" ref="N477:N540" si="77">IF(L477&lt;$J$20,MAX(1-(L477-$J$20)^2/$M$22^2,0),1)</f>
        <v>0.89090857941365043</v>
      </c>
      <c r="O477">
        <f t="shared" ref="O477:O540" si="78">IF(L477&gt;$J$17,MAX(1-(L477-$J$17)^2/($M$15-$J$17)^2,0),1)</f>
        <v>1</v>
      </c>
      <c r="P477">
        <f t="shared" ref="P477:P540" si="79">SQRT(M477^2*N477*O477)</f>
        <v>21.917865001876965</v>
      </c>
    </row>
    <row r="478" spans="3:16" x14ac:dyDescent="0.25">
      <c r="C478">
        <v>0.45</v>
      </c>
      <c r="D478">
        <f t="shared" si="70"/>
        <v>-19.789252475276527</v>
      </c>
      <c r="E478">
        <f t="shared" si="71"/>
        <v>14.169580616161126</v>
      </c>
      <c r="F478">
        <f t="shared" si="74"/>
        <v>0.89028882815641197</v>
      </c>
      <c r="G478">
        <f t="shared" si="75"/>
        <v>1</v>
      </c>
      <c r="H478">
        <f t="shared" si="76"/>
        <v>13.369724502051897</v>
      </c>
      <c r="K478">
        <v>0.45</v>
      </c>
      <c r="L478">
        <f t="shared" si="72"/>
        <v>-24.989252475276526</v>
      </c>
      <c r="M478">
        <f t="shared" si="73"/>
        <v>23.208811100702452</v>
      </c>
      <c r="N478">
        <f t="shared" si="77"/>
        <v>0.89189164857679637</v>
      </c>
      <c r="O478">
        <f t="shared" si="78"/>
        <v>1</v>
      </c>
      <c r="P478">
        <f t="shared" si="79"/>
        <v>21.918404749418166</v>
      </c>
    </row>
    <row r="479" spans="3:16" x14ac:dyDescent="0.25">
      <c r="C479">
        <v>0.45100000000000001</v>
      </c>
      <c r="D479">
        <f t="shared" si="70"/>
        <v>-19.752059895018448</v>
      </c>
      <c r="E479">
        <f t="shared" si="71"/>
        <v>14.162147604006712</v>
      </c>
      <c r="F479">
        <f t="shared" si="74"/>
        <v>0.89127113323745</v>
      </c>
      <c r="G479">
        <f t="shared" si="75"/>
        <v>1</v>
      </c>
      <c r="H479">
        <f t="shared" si="76"/>
        <v>13.370080952752494</v>
      </c>
      <c r="K479">
        <v>0.45100000000000001</v>
      </c>
      <c r="L479">
        <f t="shared" si="72"/>
        <v>-24.928059895018446</v>
      </c>
      <c r="M479">
        <f t="shared" si="73"/>
        <v>23.196581640157849</v>
      </c>
      <c r="N479">
        <f t="shared" si="77"/>
        <v>0.89287026824204418</v>
      </c>
      <c r="O479">
        <f t="shared" si="78"/>
        <v>1</v>
      </c>
      <c r="P479">
        <f t="shared" si="79"/>
        <v>21.918870494740826</v>
      </c>
    </row>
    <row r="480" spans="3:16" x14ac:dyDescent="0.25">
      <c r="C480">
        <v>0.45200000000000001</v>
      </c>
      <c r="D480">
        <f t="shared" si="70"/>
        <v>-19.714867314760369</v>
      </c>
      <c r="E480">
        <f t="shared" si="71"/>
        <v>14.154714591852301</v>
      </c>
      <c r="F480">
        <f t="shared" si="74"/>
        <v>0.89224902095912173</v>
      </c>
      <c r="G480">
        <f t="shared" si="75"/>
        <v>1</v>
      </c>
      <c r="H480">
        <f t="shared" si="76"/>
        <v>13.370392512089392</v>
      </c>
      <c r="K480">
        <v>0.45200000000000001</v>
      </c>
      <c r="L480">
        <f t="shared" si="72"/>
        <v>-24.86686731476037</v>
      </c>
      <c r="M480">
        <f t="shared" si="73"/>
        <v>23.184352179613246</v>
      </c>
      <c r="N480">
        <f t="shared" si="77"/>
        <v>0.89384443840939376</v>
      </c>
      <c r="O480">
        <f t="shared" si="78"/>
        <v>1</v>
      </c>
      <c r="P480">
        <f t="shared" si="79"/>
        <v>21.919262435397499</v>
      </c>
    </row>
    <row r="481" spans="3:16" x14ac:dyDescent="0.25">
      <c r="C481">
        <v>0.45300000000000001</v>
      </c>
      <c r="D481">
        <f t="shared" si="70"/>
        <v>-19.67767473450229</v>
      </c>
      <c r="E481">
        <f t="shared" si="71"/>
        <v>14.147281579697887</v>
      </c>
      <c r="F481">
        <f t="shared" si="74"/>
        <v>0.89322249132142717</v>
      </c>
      <c r="G481">
        <f t="shared" si="75"/>
        <v>1</v>
      </c>
      <c r="H481">
        <f t="shared" si="76"/>
        <v>13.37065929962953</v>
      </c>
      <c r="K481">
        <v>0.45300000000000001</v>
      </c>
      <c r="L481">
        <f t="shared" si="72"/>
        <v>-24.80567473450229</v>
      </c>
      <c r="M481">
        <f t="shared" si="73"/>
        <v>23.172122719068643</v>
      </c>
      <c r="N481">
        <f t="shared" si="77"/>
        <v>0.89481415907884521</v>
      </c>
      <c r="O481">
        <f t="shared" si="78"/>
        <v>1</v>
      </c>
      <c r="P481">
        <f t="shared" si="79"/>
        <v>21.919580767997598</v>
      </c>
    </row>
    <row r="482" spans="3:16" x14ac:dyDescent="0.25">
      <c r="C482">
        <v>0.45400000000000001</v>
      </c>
      <c r="D482">
        <f t="shared" si="70"/>
        <v>-19.640482154244211</v>
      </c>
      <c r="E482">
        <f t="shared" si="71"/>
        <v>14.139848567543474</v>
      </c>
      <c r="F482">
        <f t="shared" si="74"/>
        <v>0.89419154432436643</v>
      </c>
      <c r="G482">
        <f t="shared" si="75"/>
        <v>1</v>
      </c>
      <c r="H482">
        <f t="shared" si="76"/>
        <v>13.37088143437024</v>
      </c>
      <c r="K482">
        <v>0.45400000000000001</v>
      </c>
      <c r="L482">
        <f t="shared" si="72"/>
        <v>-24.74448215424421</v>
      </c>
      <c r="M482">
        <f t="shared" si="73"/>
        <v>23.159893258524036</v>
      </c>
      <c r="N482">
        <f t="shared" si="77"/>
        <v>0.89577943025039852</v>
      </c>
      <c r="O482">
        <f t="shared" si="78"/>
        <v>1</v>
      </c>
      <c r="P482">
        <f t="shared" si="79"/>
        <v>21.919825688214093</v>
      </c>
    </row>
    <row r="483" spans="3:16" x14ac:dyDescent="0.25">
      <c r="C483">
        <v>0.45500000000000002</v>
      </c>
      <c r="D483">
        <f t="shared" si="70"/>
        <v>-19.603289573986132</v>
      </c>
      <c r="E483">
        <f t="shared" si="71"/>
        <v>14.132415555389063</v>
      </c>
      <c r="F483">
        <f t="shared" si="74"/>
        <v>0.8951561799679395</v>
      </c>
      <c r="G483">
        <f t="shared" si="75"/>
        <v>1</v>
      </c>
      <c r="H483">
        <f t="shared" si="76"/>
        <v>13.371059034743276</v>
      </c>
      <c r="K483">
        <v>0.45500000000000002</v>
      </c>
      <c r="L483">
        <f t="shared" si="72"/>
        <v>-24.683289573986134</v>
      </c>
      <c r="M483">
        <f t="shared" si="73"/>
        <v>23.147663797979433</v>
      </c>
      <c r="N483">
        <f t="shared" si="77"/>
        <v>0.8967402519240536</v>
      </c>
      <c r="O483">
        <f t="shared" si="78"/>
        <v>1</v>
      </c>
      <c r="P483">
        <f t="shared" si="79"/>
        <v>21.919997390790154</v>
      </c>
    </row>
    <row r="484" spans="3:16" x14ac:dyDescent="0.25">
      <c r="C484">
        <v>0.45600000000000002</v>
      </c>
      <c r="D484">
        <f t="shared" si="70"/>
        <v>-19.566096993728056</v>
      </c>
      <c r="E484">
        <f t="shared" si="71"/>
        <v>14.124982543234649</v>
      </c>
      <c r="F484">
        <f t="shared" si="74"/>
        <v>0.89611639825214606</v>
      </c>
      <c r="G484">
        <f t="shared" si="75"/>
        <v>1</v>
      </c>
      <c r="H484">
        <f t="shared" si="76"/>
        <v>13.371192218618807</v>
      </c>
      <c r="K484">
        <v>0.45600000000000002</v>
      </c>
      <c r="L484">
        <f t="shared" si="72"/>
        <v>-24.622096993728054</v>
      </c>
      <c r="M484">
        <f t="shared" si="73"/>
        <v>23.13543433743483</v>
      </c>
      <c r="N484">
        <f t="shared" si="77"/>
        <v>0.89769662409981066</v>
      </c>
      <c r="O484">
        <f t="shared" si="78"/>
        <v>1</v>
      </c>
      <c r="P484">
        <f t="shared" si="79"/>
        <v>21.920096069545707</v>
      </c>
    </row>
    <row r="485" spans="3:16" x14ac:dyDescent="0.25">
      <c r="C485">
        <v>0.45700000000000002</v>
      </c>
      <c r="D485">
        <f t="shared" si="70"/>
        <v>-19.528904413469977</v>
      </c>
      <c r="E485">
        <f t="shared" si="71"/>
        <v>14.117549531080238</v>
      </c>
      <c r="F485">
        <f t="shared" si="74"/>
        <v>0.89707219917698666</v>
      </c>
      <c r="G485">
        <f t="shared" si="75"/>
        <v>1</v>
      </c>
      <c r="H485">
        <f t="shared" si="76"/>
        <v>13.371281103309396</v>
      </c>
      <c r="K485">
        <v>0.45700000000000002</v>
      </c>
      <c r="L485">
        <f t="shared" si="72"/>
        <v>-24.560904413469977</v>
      </c>
      <c r="M485">
        <f t="shared" si="73"/>
        <v>23.123204876890227</v>
      </c>
      <c r="N485">
        <f t="shared" si="77"/>
        <v>0.89864854677766948</v>
      </c>
      <c r="O485">
        <f t="shared" si="78"/>
        <v>1</v>
      </c>
      <c r="P485">
        <f t="shared" si="79"/>
        <v>21.920121917383931</v>
      </c>
    </row>
    <row r="486" spans="3:16" x14ac:dyDescent="0.25">
      <c r="C486">
        <v>0.45800000000000002</v>
      </c>
      <c r="D486">
        <f t="shared" si="70"/>
        <v>-19.491711833211898</v>
      </c>
      <c r="E486">
        <f t="shared" si="71"/>
        <v>14.110116518925825</v>
      </c>
      <c r="F486">
        <f t="shared" si="74"/>
        <v>0.89802358274246097</v>
      </c>
      <c r="G486">
        <f t="shared" si="75"/>
        <v>1</v>
      </c>
      <c r="H486">
        <f t="shared" si="76"/>
        <v>13.371325805573893</v>
      </c>
      <c r="K486">
        <v>0.45800000000000002</v>
      </c>
      <c r="L486">
        <f t="shared" si="72"/>
        <v>-24.499711833211897</v>
      </c>
      <c r="M486">
        <f t="shared" si="73"/>
        <v>23.110975416345624</v>
      </c>
      <c r="N486">
        <f t="shared" si="77"/>
        <v>0.89959601995763017</v>
      </c>
      <c r="O486">
        <f t="shared" si="78"/>
        <v>1</v>
      </c>
      <c r="P486">
        <f t="shared" si="79"/>
        <v>21.9200751262977</v>
      </c>
    </row>
    <row r="487" spans="3:16" x14ac:dyDescent="0.25">
      <c r="C487">
        <v>0.45900000000000002</v>
      </c>
      <c r="D487">
        <f t="shared" si="70"/>
        <v>-19.454519252953819</v>
      </c>
      <c r="E487">
        <f t="shared" si="71"/>
        <v>14.102683506771413</v>
      </c>
      <c r="F487">
        <f t="shared" si="74"/>
        <v>0.89897054894856898</v>
      </c>
      <c r="G487">
        <f t="shared" si="75"/>
        <v>1</v>
      </c>
      <c r="H487">
        <f t="shared" si="76"/>
        <v>13.371326441621335</v>
      </c>
      <c r="K487">
        <v>0.45900000000000002</v>
      </c>
      <c r="L487">
        <f t="shared" si="72"/>
        <v>-24.438519252953817</v>
      </c>
      <c r="M487">
        <f t="shared" si="73"/>
        <v>23.098745955801022</v>
      </c>
      <c r="N487">
        <f t="shared" si="77"/>
        <v>0.90053904363969262</v>
      </c>
      <c r="O487">
        <f t="shared" si="78"/>
        <v>1</v>
      </c>
      <c r="P487">
        <f t="shared" si="79"/>
        <v>21.91995588737597</v>
      </c>
    </row>
    <row r="488" spans="3:16" x14ac:dyDescent="0.25">
      <c r="C488">
        <v>0.46</v>
      </c>
      <c r="D488">
        <f t="shared" si="70"/>
        <v>-19.41732667269574</v>
      </c>
      <c r="E488">
        <f t="shared" si="71"/>
        <v>14.095250494617</v>
      </c>
      <c r="F488">
        <f t="shared" si="74"/>
        <v>0.8999130977953107</v>
      </c>
      <c r="G488">
        <f t="shared" si="75"/>
        <v>1</v>
      </c>
      <c r="H488">
        <f t="shared" si="76"/>
        <v>13.371283127114776</v>
      </c>
      <c r="K488">
        <v>0.46</v>
      </c>
      <c r="L488">
        <f t="shared" si="72"/>
        <v>-24.377326672695741</v>
      </c>
      <c r="M488">
        <f t="shared" si="73"/>
        <v>23.086516495256419</v>
      </c>
      <c r="N488">
        <f t="shared" si="77"/>
        <v>0.90147761782385705</v>
      </c>
      <c r="O488">
        <f t="shared" si="78"/>
        <v>1</v>
      </c>
      <c r="P488">
        <f t="shared" si="79"/>
        <v>21.919764390810091</v>
      </c>
    </row>
    <row r="489" spans="3:16" x14ac:dyDescent="0.25">
      <c r="C489">
        <v>0.46100000000000002</v>
      </c>
      <c r="D489">
        <f t="shared" si="70"/>
        <v>-19.380134092437661</v>
      </c>
      <c r="E489">
        <f t="shared" si="71"/>
        <v>14.087817482462587</v>
      </c>
      <c r="F489">
        <f t="shared" si="74"/>
        <v>0.90085122928268624</v>
      </c>
      <c r="G489">
        <f t="shared" si="75"/>
        <v>1</v>
      </c>
      <c r="H489">
        <f t="shared" si="76"/>
        <v>13.371195977175111</v>
      </c>
      <c r="K489">
        <v>0.46100000000000002</v>
      </c>
      <c r="L489">
        <f t="shared" si="72"/>
        <v>-24.316134092437661</v>
      </c>
      <c r="M489">
        <f t="shared" si="73"/>
        <v>23.074287034711816</v>
      </c>
      <c r="N489">
        <f t="shared" si="77"/>
        <v>0.90241174251012324</v>
      </c>
      <c r="O489">
        <f t="shared" si="78"/>
        <v>1</v>
      </c>
      <c r="P489">
        <f t="shared" si="79"/>
        <v>21.919500825900034</v>
      </c>
    </row>
    <row r="490" spans="3:16" x14ac:dyDescent="0.25">
      <c r="C490">
        <v>0.46200000000000002</v>
      </c>
      <c r="D490">
        <f t="shared" si="70"/>
        <v>-19.342941512179582</v>
      </c>
      <c r="E490">
        <f t="shared" si="71"/>
        <v>14.080384470308175</v>
      </c>
      <c r="F490">
        <f t="shared" si="74"/>
        <v>0.90178494341069559</v>
      </c>
      <c r="G490">
        <f t="shared" si="75"/>
        <v>1</v>
      </c>
      <c r="H490">
        <f t="shared" si="76"/>
        <v>13.371065106384835</v>
      </c>
      <c r="K490">
        <v>0.46200000000000002</v>
      </c>
      <c r="L490">
        <f t="shared" si="72"/>
        <v>-24.254941512179585</v>
      </c>
      <c r="M490">
        <f t="shared" si="73"/>
        <v>23.062057574167213</v>
      </c>
      <c r="N490">
        <f t="shared" si="77"/>
        <v>0.9033414176984913</v>
      </c>
      <c r="O490">
        <f t="shared" si="78"/>
        <v>1</v>
      </c>
      <c r="P490">
        <f t="shared" si="79"/>
        <v>21.919165381060619</v>
      </c>
    </row>
    <row r="491" spans="3:16" x14ac:dyDescent="0.25">
      <c r="C491">
        <v>0.46300000000000002</v>
      </c>
      <c r="D491">
        <f t="shared" si="70"/>
        <v>-19.305748931921507</v>
      </c>
      <c r="E491">
        <f t="shared" si="71"/>
        <v>14.072951458153762</v>
      </c>
      <c r="F491">
        <f t="shared" si="74"/>
        <v>0.90271424017933866</v>
      </c>
      <c r="G491">
        <f t="shared" si="75"/>
        <v>1</v>
      </c>
      <c r="H491">
        <f t="shared" si="76"/>
        <v>13.37089062879177</v>
      </c>
      <c r="K491">
        <v>0.46300000000000002</v>
      </c>
      <c r="L491">
        <f t="shared" si="72"/>
        <v>-24.193748931921505</v>
      </c>
      <c r="M491">
        <f t="shared" si="73"/>
        <v>23.04982811362261</v>
      </c>
      <c r="N491">
        <f t="shared" si="77"/>
        <v>0.90426664338896123</v>
      </c>
      <c r="O491">
        <f t="shared" si="78"/>
        <v>1</v>
      </c>
      <c r="P491">
        <f t="shared" si="79"/>
        <v>21.918758243827639</v>
      </c>
    </row>
    <row r="492" spans="3:16" x14ac:dyDescent="0.25">
      <c r="C492">
        <v>0.46400000000000002</v>
      </c>
      <c r="D492">
        <f t="shared" si="70"/>
        <v>-19.268556351663428</v>
      </c>
      <c r="E492">
        <f t="shared" si="71"/>
        <v>14.06551844599935</v>
      </c>
      <c r="F492">
        <f t="shared" si="74"/>
        <v>0.90363911958861542</v>
      </c>
      <c r="G492">
        <f t="shared" si="75"/>
        <v>1</v>
      </c>
      <c r="H492">
        <f t="shared" si="76"/>
        <v>13.370672657912786</v>
      </c>
      <c r="K492">
        <v>0.46400000000000002</v>
      </c>
      <c r="L492">
        <f t="shared" si="72"/>
        <v>-24.132556351663425</v>
      </c>
      <c r="M492">
        <f t="shared" si="73"/>
        <v>23.037598653078007</v>
      </c>
      <c r="N492">
        <f t="shared" si="77"/>
        <v>0.90518741958153293</v>
      </c>
      <c r="O492">
        <f t="shared" si="78"/>
        <v>1</v>
      </c>
      <c r="P492">
        <f t="shared" si="79"/>
        <v>21.918279600863915</v>
      </c>
    </row>
    <row r="493" spans="3:16" x14ac:dyDescent="0.25">
      <c r="C493">
        <v>0.46500000000000002</v>
      </c>
      <c r="D493">
        <f t="shared" si="70"/>
        <v>-19.231363771405348</v>
      </c>
      <c r="E493">
        <f t="shared" si="71"/>
        <v>14.058085433844937</v>
      </c>
      <c r="F493">
        <f t="shared" si="74"/>
        <v>0.90455958163852601</v>
      </c>
      <c r="G493">
        <f t="shared" si="75"/>
        <v>1</v>
      </c>
      <c r="H493">
        <f t="shared" si="76"/>
        <v>13.370411306737438</v>
      </c>
      <c r="K493">
        <v>0.46500000000000002</v>
      </c>
      <c r="L493">
        <f t="shared" si="72"/>
        <v>-24.071363771405348</v>
      </c>
      <c r="M493">
        <f t="shared" si="73"/>
        <v>23.025369192533404</v>
      </c>
      <c r="N493">
        <f t="shared" si="77"/>
        <v>0.90610374627620649</v>
      </c>
      <c r="O493">
        <f t="shared" si="78"/>
        <v>1</v>
      </c>
      <c r="P493">
        <f t="shared" si="79"/>
        <v>21.917729637965341</v>
      </c>
    </row>
    <row r="494" spans="3:16" x14ac:dyDescent="0.25">
      <c r="C494">
        <v>0.46600000000000003</v>
      </c>
      <c r="D494">
        <f t="shared" si="70"/>
        <v>-19.194171191147269</v>
      </c>
      <c r="E494">
        <f t="shared" si="71"/>
        <v>14.050652421690526</v>
      </c>
      <c r="F494">
        <f t="shared" si="74"/>
        <v>0.90547562632907042</v>
      </c>
      <c r="G494">
        <f t="shared" si="75"/>
        <v>1</v>
      </c>
      <c r="H494">
        <f t="shared" si="76"/>
        <v>13.370106687731615</v>
      </c>
      <c r="K494">
        <v>0.46600000000000003</v>
      </c>
      <c r="L494">
        <f t="shared" si="72"/>
        <v>-24.010171191147268</v>
      </c>
      <c r="M494">
        <f t="shared" si="73"/>
        <v>23.013139731988801</v>
      </c>
      <c r="N494">
        <f t="shared" si="77"/>
        <v>0.90701562347298192</v>
      </c>
      <c r="O494">
        <f t="shared" si="78"/>
        <v>1</v>
      </c>
      <c r="P494">
        <f t="shared" si="79"/>
        <v>21.91710854006682</v>
      </c>
    </row>
    <row r="495" spans="3:16" x14ac:dyDescent="0.25">
      <c r="C495">
        <v>0.46700000000000003</v>
      </c>
      <c r="D495">
        <f t="shared" si="70"/>
        <v>-19.15697861088919</v>
      </c>
      <c r="E495">
        <f t="shared" si="71"/>
        <v>14.043219409536112</v>
      </c>
      <c r="F495">
        <f t="shared" si="74"/>
        <v>0.90638725366024853</v>
      </c>
      <c r="G495">
        <f t="shared" si="75"/>
        <v>1</v>
      </c>
      <c r="H495">
        <f t="shared" si="76"/>
        <v>13.369758912841114</v>
      </c>
      <c r="K495">
        <v>0.46700000000000003</v>
      </c>
      <c r="L495">
        <f t="shared" si="72"/>
        <v>-23.948978610889188</v>
      </c>
      <c r="M495">
        <f t="shared" si="73"/>
        <v>23.000910271444194</v>
      </c>
      <c r="N495">
        <f t="shared" si="77"/>
        <v>0.90792305117185923</v>
      </c>
      <c r="O495">
        <f t="shared" si="78"/>
        <v>1</v>
      </c>
      <c r="P495">
        <f t="shared" si="79"/>
        <v>21.916416491248189</v>
      </c>
    </row>
    <row r="496" spans="3:16" x14ac:dyDescent="0.25">
      <c r="C496">
        <v>0.46800000000000003</v>
      </c>
      <c r="D496">
        <f t="shared" si="70"/>
        <v>-19.119786030631111</v>
      </c>
      <c r="E496">
        <f t="shared" si="71"/>
        <v>14.035786397381699</v>
      </c>
      <c r="F496">
        <f t="shared" si="74"/>
        <v>0.90729446363206034</v>
      </c>
      <c r="G496">
        <f t="shared" si="75"/>
        <v>1</v>
      </c>
      <c r="H496">
        <f t="shared" si="76"/>
        <v>13.369368093495218</v>
      </c>
      <c r="K496">
        <v>0.46800000000000003</v>
      </c>
      <c r="L496">
        <f t="shared" si="72"/>
        <v>-23.887786030631112</v>
      </c>
      <c r="M496">
        <f t="shared" si="73"/>
        <v>22.988680810899591</v>
      </c>
      <c r="N496">
        <f t="shared" si="77"/>
        <v>0.9088260293728383</v>
      </c>
      <c r="O496">
        <f t="shared" si="78"/>
        <v>1</v>
      </c>
      <c r="P496">
        <f t="shared" si="79"/>
        <v>21.915653674740046</v>
      </c>
    </row>
    <row r="497" spans="3:16" x14ac:dyDescent="0.25">
      <c r="C497">
        <v>0.46899999999999997</v>
      </c>
      <c r="D497">
        <f t="shared" si="70"/>
        <v>-19.082593450373036</v>
      </c>
      <c r="E497">
        <f t="shared" si="71"/>
        <v>14.028353385227287</v>
      </c>
      <c r="F497">
        <f t="shared" si="74"/>
        <v>0.90819725624450587</v>
      </c>
      <c r="G497">
        <f t="shared" si="75"/>
        <v>1</v>
      </c>
      <c r="H497">
        <f t="shared" si="76"/>
        <v>13.368934340610213</v>
      </c>
      <c r="K497">
        <v>0.46899999999999997</v>
      </c>
      <c r="L497">
        <f t="shared" si="72"/>
        <v>-23.826593450373036</v>
      </c>
      <c r="M497">
        <f t="shared" si="73"/>
        <v>22.976451350354989</v>
      </c>
      <c r="N497">
        <f t="shared" si="77"/>
        <v>0.90972455807591923</v>
      </c>
      <c r="O497">
        <f t="shared" si="78"/>
        <v>1</v>
      </c>
      <c r="P497">
        <f t="shared" si="79"/>
        <v>21.914820272929546</v>
      </c>
    </row>
    <row r="498" spans="3:16" x14ac:dyDescent="0.25">
      <c r="C498">
        <v>0.47</v>
      </c>
      <c r="D498">
        <f t="shared" si="70"/>
        <v>-19.045400870114957</v>
      </c>
      <c r="E498">
        <f t="shared" si="71"/>
        <v>14.020920373072874</v>
      </c>
      <c r="F498">
        <f t="shared" si="74"/>
        <v>0.90909563149758532</v>
      </c>
      <c r="G498">
        <f t="shared" si="75"/>
        <v>1</v>
      </c>
      <c r="H498">
        <f t="shared" si="76"/>
        <v>13.368457764592872</v>
      </c>
      <c r="K498">
        <v>0.47</v>
      </c>
      <c r="L498">
        <f t="shared" si="72"/>
        <v>-23.765400870114959</v>
      </c>
      <c r="M498">
        <f t="shared" si="73"/>
        <v>22.964221889810386</v>
      </c>
      <c r="N498">
        <f t="shared" si="77"/>
        <v>0.91061863728110204</v>
      </c>
      <c r="O498">
        <f t="shared" si="78"/>
        <v>1</v>
      </c>
      <c r="P498">
        <f t="shared" si="79"/>
        <v>21.913916467366143</v>
      </c>
    </row>
    <row r="499" spans="3:16" x14ac:dyDescent="0.25">
      <c r="C499">
        <v>0.47099999999999997</v>
      </c>
      <c r="D499">
        <f t="shared" si="70"/>
        <v>-19.008208289856878</v>
      </c>
      <c r="E499">
        <f t="shared" si="71"/>
        <v>14.013487360918463</v>
      </c>
      <c r="F499">
        <f t="shared" si="74"/>
        <v>0.90998958939129837</v>
      </c>
      <c r="G499">
        <f t="shared" si="75"/>
        <v>1</v>
      </c>
      <c r="H499">
        <f t="shared" si="76"/>
        <v>13.367938475343925</v>
      </c>
      <c r="K499">
        <v>0.47099999999999997</v>
      </c>
      <c r="L499">
        <f t="shared" si="72"/>
        <v>-23.704208289856879</v>
      </c>
      <c r="M499">
        <f t="shared" si="73"/>
        <v>22.951992429265783</v>
      </c>
      <c r="N499">
        <f t="shared" si="77"/>
        <v>0.91150826698838672</v>
      </c>
      <c r="O499">
        <f t="shared" si="78"/>
        <v>1</v>
      </c>
      <c r="P499">
        <f t="shared" si="79"/>
        <v>21.912942438767256</v>
      </c>
    </row>
    <row r="500" spans="3:16" x14ac:dyDescent="0.25">
      <c r="C500">
        <v>0.47199999999999998</v>
      </c>
      <c r="D500">
        <f t="shared" si="70"/>
        <v>-18.971015709598799</v>
      </c>
      <c r="E500">
        <f t="shared" si="71"/>
        <v>14.006054348764049</v>
      </c>
      <c r="F500">
        <f t="shared" si="74"/>
        <v>0.91087912992564535</v>
      </c>
      <c r="G500">
        <f t="shared" si="75"/>
        <v>1</v>
      </c>
      <c r="H500">
        <f t="shared" si="76"/>
        <v>13.367376582261478</v>
      </c>
      <c r="K500">
        <v>0.47199999999999998</v>
      </c>
      <c r="L500">
        <f t="shared" si="72"/>
        <v>-23.643015709598799</v>
      </c>
      <c r="M500">
        <f t="shared" si="73"/>
        <v>22.93976296872118</v>
      </c>
      <c r="N500">
        <f t="shared" si="77"/>
        <v>0.91239344719777327</v>
      </c>
      <c r="O500">
        <f t="shared" si="78"/>
        <v>1</v>
      </c>
      <c r="P500">
        <f t="shared" si="79"/>
        <v>21.91189836702392</v>
      </c>
    </row>
    <row r="501" spans="3:16" x14ac:dyDescent="0.25">
      <c r="C501">
        <v>0.47299999999999998</v>
      </c>
      <c r="D501">
        <f t="shared" si="70"/>
        <v>-18.93382312934072</v>
      </c>
      <c r="E501">
        <f t="shared" si="71"/>
        <v>13.998621336609638</v>
      </c>
      <c r="F501">
        <f t="shared" si="74"/>
        <v>0.91176425310062603</v>
      </c>
      <c r="G501">
        <f t="shared" si="75"/>
        <v>1</v>
      </c>
      <c r="H501">
        <f t="shared" si="76"/>
        <v>13.366772194244417</v>
      </c>
      <c r="K501">
        <v>0.47299999999999998</v>
      </c>
      <c r="L501">
        <f t="shared" si="72"/>
        <v>-23.581823129340723</v>
      </c>
      <c r="M501">
        <f t="shared" si="73"/>
        <v>22.927533508176577</v>
      </c>
      <c r="N501">
        <f t="shared" si="77"/>
        <v>0.91327417790926158</v>
      </c>
      <c r="O501">
        <f t="shared" si="78"/>
        <v>1</v>
      </c>
      <c r="P501">
        <f t="shared" si="79"/>
        <v>21.910784431206341</v>
      </c>
    </row>
    <row r="502" spans="3:16" x14ac:dyDescent="0.25">
      <c r="C502">
        <v>0.47399999999999998</v>
      </c>
      <c r="D502">
        <f t="shared" si="70"/>
        <v>-18.896630549082644</v>
      </c>
      <c r="E502">
        <f t="shared" si="71"/>
        <v>13.991188324455225</v>
      </c>
      <c r="F502">
        <f t="shared" si="74"/>
        <v>0.91264495891624031</v>
      </c>
      <c r="G502">
        <f t="shared" si="75"/>
        <v>1</v>
      </c>
      <c r="H502">
        <f t="shared" si="76"/>
        <v>13.36612541969575</v>
      </c>
      <c r="K502">
        <v>0.47399999999999998</v>
      </c>
      <c r="L502">
        <f t="shared" si="72"/>
        <v>-23.520630549082643</v>
      </c>
      <c r="M502">
        <f t="shared" si="73"/>
        <v>22.915304047631974</v>
      </c>
      <c r="N502">
        <f t="shared" si="77"/>
        <v>0.91415045912285176</v>
      </c>
      <c r="O502">
        <f t="shared" si="78"/>
        <v>1</v>
      </c>
      <c r="P502">
        <f t="shared" si="79"/>
        <v>21.909600809569415</v>
      </c>
    </row>
    <row r="503" spans="3:16" x14ac:dyDescent="0.25">
      <c r="C503">
        <v>0.47499999999999998</v>
      </c>
      <c r="D503">
        <f t="shared" si="70"/>
        <v>-18.859437968824565</v>
      </c>
      <c r="E503">
        <f t="shared" si="71"/>
        <v>13.983755312300811</v>
      </c>
      <c r="F503">
        <f t="shared" si="74"/>
        <v>0.91352124737248852</v>
      </c>
      <c r="G503">
        <f t="shared" si="75"/>
        <v>1</v>
      </c>
      <c r="H503">
        <f t="shared" si="76"/>
        <v>13.365436366525964</v>
      </c>
      <c r="K503">
        <v>0.47499999999999998</v>
      </c>
      <c r="L503">
        <f t="shared" si="72"/>
        <v>-23.459437968824563</v>
      </c>
      <c r="M503">
        <f t="shared" si="73"/>
        <v>22.903074587087371</v>
      </c>
      <c r="N503">
        <f t="shared" si="77"/>
        <v>0.91502229083854392</v>
      </c>
      <c r="O503">
        <f t="shared" si="78"/>
        <v>1</v>
      </c>
      <c r="P503">
        <f t="shared" si="79"/>
        <v>21.908347679558222</v>
      </c>
    </row>
    <row r="504" spans="3:16" x14ac:dyDescent="0.25">
      <c r="C504">
        <v>0.47599999999999998</v>
      </c>
      <c r="D504">
        <f t="shared" si="70"/>
        <v>-18.822245388566486</v>
      </c>
      <c r="E504">
        <f t="shared" si="71"/>
        <v>13.9763223001464</v>
      </c>
      <c r="F504">
        <f t="shared" si="74"/>
        <v>0.91439311846937044</v>
      </c>
      <c r="G504">
        <f t="shared" si="75"/>
        <v>1</v>
      </c>
      <c r="H504">
        <f t="shared" si="76"/>
        <v>13.364705142156302</v>
      </c>
      <c r="K504">
        <v>0.47599999999999998</v>
      </c>
      <c r="L504">
        <f t="shared" si="72"/>
        <v>-23.398245388566487</v>
      </c>
      <c r="M504">
        <f t="shared" si="73"/>
        <v>22.890845126542768</v>
      </c>
      <c r="N504">
        <f t="shared" si="77"/>
        <v>0.91588967305633773</v>
      </c>
      <c r="O504">
        <f t="shared" si="78"/>
        <v>1</v>
      </c>
      <c r="P504">
        <f t="shared" si="79"/>
        <v>21.90702521781342</v>
      </c>
    </row>
    <row r="505" spans="3:16" x14ac:dyDescent="0.25">
      <c r="C505">
        <v>0.47699999999999998</v>
      </c>
      <c r="D505">
        <f t="shared" si="70"/>
        <v>-18.785052808308407</v>
      </c>
      <c r="E505">
        <f t="shared" si="71"/>
        <v>13.968889287991987</v>
      </c>
      <c r="F505">
        <f t="shared" si="74"/>
        <v>0.91526057220688606</v>
      </c>
      <c r="G505">
        <f t="shared" si="75"/>
        <v>1</v>
      </c>
      <c r="H505">
        <f t="shared" si="76"/>
        <v>13.363931853522029</v>
      </c>
      <c r="K505">
        <v>0.47699999999999998</v>
      </c>
      <c r="L505">
        <f t="shared" si="72"/>
        <v>-23.337052808308407</v>
      </c>
      <c r="M505">
        <f t="shared" si="73"/>
        <v>22.878615665998161</v>
      </c>
      <c r="N505">
        <f t="shared" si="77"/>
        <v>0.91675260577623341</v>
      </c>
      <c r="O505">
        <f t="shared" si="78"/>
        <v>1</v>
      </c>
      <c r="P505">
        <f t="shared" si="79"/>
        <v>21.905633600176621</v>
      </c>
    </row>
    <row r="506" spans="3:16" x14ac:dyDescent="0.25">
      <c r="C506">
        <v>0.47799999999999998</v>
      </c>
      <c r="D506">
        <f t="shared" si="70"/>
        <v>-18.747860228050328</v>
      </c>
      <c r="E506">
        <f t="shared" si="71"/>
        <v>13.961456275837575</v>
      </c>
      <c r="F506">
        <f t="shared" si="74"/>
        <v>0.91612360858503561</v>
      </c>
      <c r="G506">
        <f t="shared" si="75"/>
        <v>1</v>
      </c>
      <c r="H506">
        <f t="shared" si="76"/>
        <v>13.363116607075701</v>
      </c>
      <c r="K506">
        <v>0.47799999999999998</v>
      </c>
      <c r="L506">
        <f t="shared" si="72"/>
        <v>-23.27586022805033</v>
      </c>
      <c r="M506">
        <f t="shared" si="73"/>
        <v>22.866386205453558</v>
      </c>
      <c r="N506">
        <f t="shared" si="77"/>
        <v>0.91761108899823096</v>
      </c>
      <c r="O506">
        <f t="shared" si="78"/>
        <v>1</v>
      </c>
      <c r="P506">
        <f t="shared" si="79"/>
        <v>21.904173001695721</v>
      </c>
    </row>
    <row r="507" spans="3:16" x14ac:dyDescent="0.25">
      <c r="C507">
        <v>0.47899999999999998</v>
      </c>
      <c r="D507">
        <f t="shared" si="70"/>
        <v>-18.710667647792249</v>
      </c>
      <c r="E507">
        <f t="shared" si="71"/>
        <v>13.954023263683162</v>
      </c>
      <c r="F507">
        <f t="shared" si="74"/>
        <v>0.91698222760381876</v>
      </c>
      <c r="G507">
        <f t="shared" si="75"/>
        <v>1</v>
      </c>
      <c r="H507">
        <f t="shared" si="76"/>
        <v>13.362259508790329</v>
      </c>
      <c r="K507">
        <v>0.47899999999999998</v>
      </c>
      <c r="L507">
        <f t="shared" si="72"/>
        <v>-23.21466764779225</v>
      </c>
      <c r="M507">
        <f t="shared" si="73"/>
        <v>22.854156744908956</v>
      </c>
      <c r="N507">
        <f t="shared" si="77"/>
        <v>0.91846512272233038</v>
      </c>
      <c r="O507">
        <f t="shared" si="78"/>
        <v>1</v>
      </c>
      <c r="P507">
        <f t="shared" si="79"/>
        <v>21.902643596630142</v>
      </c>
    </row>
    <row r="508" spans="3:16" x14ac:dyDescent="0.25">
      <c r="C508">
        <v>0.48</v>
      </c>
      <c r="D508">
        <f t="shared" si="70"/>
        <v>-18.67347506753417</v>
      </c>
      <c r="E508">
        <f t="shared" si="71"/>
        <v>13.94659025152875</v>
      </c>
      <c r="F508">
        <f t="shared" si="74"/>
        <v>0.91783642926323572</v>
      </c>
      <c r="G508">
        <f t="shared" si="75"/>
        <v>1</v>
      </c>
      <c r="H508">
        <f t="shared" si="76"/>
        <v>13.361360664162587</v>
      </c>
      <c r="K508">
        <v>0.48</v>
      </c>
      <c r="L508">
        <f t="shared" si="72"/>
        <v>-23.153475067534171</v>
      </c>
      <c r="M508">
        <f t="shared" si="73"/>
        <v>22.841927284364353</v>
      </c>
      <c r="N508">
        <f t="shared" si="77"/>
        <v>0.91931470694853168</v>
      </c>
      <c r="O508">
        <f t="shared" si="78"/>
        <v>1</v>
      </c>
      <c r="P508">
        <f t="shared" si="79"/>
        <v>21.901045558456076</v>
      </c>
    </row>
    <row r="509" spans="3:16" x14ac:dyDescent="0.25">
      <c r="C509">
        <v>0.48099999999999998</v>
      </c>
      <c r="D509">
        <f t="shared" si="70"/>
        <v>-18.636282487276091</v>
      </c>
      <c r="E509">
        <f t="shared" si="71"/>
        <v>13.939157239374337</v>
      </c>
      <c r="F509">
        <f t="shared" si="74"/>
        <v>0.9186862135632865</v>
      </c>
      <c r="G509">
        <f t="shared" si="75"/>
        <v>1</v>
      </c>
      <c r="H509">
        <f t="shared" si="76"/>
        <v>13.36042017821595</v>
      </c>
      <c r="K509">
        <v>0.48099999999999998</v>
      </c>
      <c r="L509">
        <f t="shared" si="72"/>
        <v>-23.092282487276094</v>
      </c>
      <c r="M509">
        <f t="shared" si="73"/>
        <v>22.82969782381975</v>
      </c>
      <c r="N509">
        <f t="shared" si="77"/>
        <v>0.92015984167683484</v>
      </c>
      <c r="O509">
        <f t="shared" si="78"/>
        <v>1</v>
      </c>
      <c r="P509">
        <f t="shared" si="79"/>
        <v>21.899379059871642</v>
      </c>
    </row>
    <row r="510" spans="3:16" x14ac:dyDescent="0.25">
      <c r="C510">
        <v>0.48199999999999998</v>
      </c>
      <c r="D510">
        <f t="shared" si="70"/>
        <v>-18.599089907018016</v>
      </c>
      <c r="E510">
        <f t="shared" si="71"/>
        <v>13.931724227219924</v>
      </c>
      <c r="F510">
        <f t="shared" si="74"/>
        <v>0.91953158050397088</v>
      </c>
      <c r="G510">
        <f t="shared" si="75"/>
        <v>1</v>
      </c>
      <c r="H510">
        <f t="shared" si="76"/>
        <v>13.359438155503808</v>
      </c>
      <c r="K510">
        <v>0.48199999999999998</v>
      </c>
      <c r="L510">
        <f t="shared" si="72"/>
        <v>-23.031089907018014</v>
      </c>
      <c r="M510">
        <f t="shared" si="73"/>
        <v>22.817468363275147</v>
      </c>
      <c r="N510">
        <f t="shared" si="77"/>
        <v>0.92100052690723977</v>
      </c>
      <c r="O510">
        <f t="shared" si="78"/>
        <v>1</v>
      </c>
      <c r="P510">
        <f t="shared" si="79"/>
        <v>21.897644272802005</v>
      </c>
    </row>
    <row r="511" spans="3:16" x14ac:dyDescent="0.25">
      <c r="C511">
        <v>0.48299999999999998</v>
      </c>
      <c r="D511">
        <f t="shared" si="70"/>
        <v>-18.561897326759937</v>
      </c>
      <c r="E511">
        <f t="shared" si="71"/>
        <v>13.924291215065512</v>
      </c>
      <c r="F511">
        <f t="shared" si="74"/>
        <v>0.92037253008528919</v>
      </c>
      <c r="G511">
        <f t="shared" si="75"/>
        <v>1</v>
      </c>
      <c r="H511">
        <f t="shared" si="76"/>
        <v>13.35841470011257</v>
      </c>
      <c r="K511">
        <v>0.48299999999999998</v>
      </c>
      <c r="L511">
        <f t="shared" si="72"/>
        <v>-22.969897326759934</v>
      </c>
      <c r="M511">
        <f t="shared" si="73"/>
        <v>22.805238902730544</v>
      </c>
      <c r="N511">
        <f t="shared" si="77"/>
        <v>0.92183676263974657</v>
      </c>
      <c r="O511">
        <f t="shared" si="78"/>
        <v>1</v>
      </c>
      <c r="P511">
        <f t="shared" si="79"/>
        <v>21.895841368404461</v>
      </c>
    </row>
    <row r="512" spans="3:16" x14ac:dyDescent="0.25">
      <c r="C512">
        <v>0.48399999999999999</v>
      </c>
      <c r="D512">
        <f t="shared" si="70"/>
        <v>-18.524704746501857</v>
      </c>
      <c r="E512">
        <f t="shared" si="71"/>
        <v>13.916858202911099</v>
      </c>
      <c r="F512">
        <f t="shared" si="74"/>
        <v>0.92120906230724109</v>
      </c>
      <c r="G512">
        <f t="shared" si="75"/>
        <v>1</v>
      </c>
      <c r="H512">
        <f t="shared" si="76"/>
        <v>13.357349915664702</v>
      </c>
      <c r="K512">
        <v>0.48399999999999999</v>
      </c>
      <c r="L512">
        <f t="shared" si="72"/>
        <v>-22.908704746501858</v>
      </c>
      <c r="M512">
        <f t="shared" si="73"/>
        <v>22.793009442185941</v>
      </c>
      <c r="N512">
        <f t="shared" si="77"/>
        <v>0.92266854887435523</v>
      </c>
      <c r="O512">
        <f t="shared" si="78"/>
        <v>1</v>
      </c>
      <c r="P512">
        <f t="shared" si="79"/>
        <v>21.893970517073463</v>
      </c>
    </row>
    <row r="513" spans="3:16" x14ac:dyDescent="0.25">
      <c r="C513">
        <v>0.48499999999999999</v>
      </c>
      <c r="D513">
        <f t="shared" si="70"/>
        <v>-18.487512166243778</v>
      </c>
      <c r="E513">
        <f t="shared" si="71"/>
        <v>13.909425190756687</v>
      </c>
      <c r="F513">
        <f t="shared" si="74"/>
        <v>0.92204117716982692</v>
      </c>
      <c r="G513">
        <f t="shared" si="75"/>
        <v>1</v>
      </c>
      <c r="H513">
        <f t="shared" si="76"/>
        <v>13.356243905321788</v>
      </c>
      <c r="K513">
        <v>0.48499999999999999</v>
      </c>
      <c r="L513">
        <f t="shared" si="72"/>
        <v>-22.847512166243778</v>
      </c>
      <c r="M513">
        <f t="shared" si="73"/>
        <v>22.780779981641338</v>
      </c>
      <c r="N513">
        <f t="shared" si="77"/>
        <v>0.92349588561106566</v>
      </c>
      <c r="O513">
        <f t="shared" si="78"/>
        <v>1</v>
      </c>
      <c r="P513">
        <f t="shared" si="79"/>
        <v>21.89203188844559</v>
      </c>
    </row>
    <row r="514" spans="3:16" x14ac:dyDescent="0.25">
      <c r="C514">
        <v>0.48599999999999999</v>
      </c>
      <c r="D514">
        <f t="shared" si="70"/>
        <v>-18.450319585985699</v>
      </c>
      <c r="E514">
        <f t="shared" si="71"/>
        <v>13.901992178602274</v>
      </c>
      <c r="F514">
        <f t="shared" si="74"/>
        <v>0.92286887467304646</v>
      </c>
      <c r="G514">
        <f t="shared" si="75"/>
        <v>1</v>
      </c>
      <c r="H514">
        <f t="shared" si="76"/>
        <v>13.355096771787505</v>
      </c>
      <c r="K514">
        <v>0.48599999999999999</v>
      </c>
      <c r="L514">
        <f t="shared" si="72"/>
        <v>-22.786319585985702</v>
      </c>
      <c r="M514">
        <f t="shared" si="73"/>
        <v>22.768550521096735</v>
      </c>
      <c r="N514">
        <f t="shared" si="77"/>
        <v>0.92431877284987807</v>
      </c>
      <c r="O514">
        <f t="shared" si="78"/>
        <v>1</v>
      </c>
      <c r="P514">
        <f t="shared" si="79"/>
        <v>21.8900256514045</v>
      </c>
    </row>
    <row r="515" spans="3:16" x14ac:dyDescent="0.25">
      <c r="C515">
        <v>0.48699999999999999</v>
      </c>
      <c r="D515">
        <f t="shared" si="70"/>
        <v>-18.41312700572762</v>
      </c>
      <c r="E515">
        <f t="shared" si="71"/>
        <v>13.894559166447861</v>
      </c>
      <c r="F515">
        <f t="shared" si="74"/>
        <v>0.9236921548168997</v>
      </c>
      <c r="G515">
        <f t="shared" si="75"/>
        <v>1</v>
      </c>
      <c r="H515">
        <f t="shared" si="76"/>
        <v>13.353908617310621</v>
      </c>
      <c r="K515">
        <v>0.48699999999999999</v>
      </c>
      <c r="L515">
        <f t="shared" si="72"/>
        <v>-22.725127005727622</v>
      </c>
      <c r="M515">
        <f t="shared" si="73"/>
        <v>22.756321060552132</v>
      </c>
      <c r="N515">
        <f t="shared" si="77"/>
        <v>0.92513721059079224</v>
      </c>
      <c r="O515">
        <f t="shared" si="78"/>
        <v>1</v>
      </c>
      <c r="P515">
        <f t="shared" si="79"/>
        <v>21.887951974085805</v>
      </c>
    </row>
    <row r="516" spans="3:16" x14ac:dyDescent="0.25">
      <c r="C516">
        <v>0.48799999999999999</v>
      </c>
      <c r="D516">
        <f t="shared" si="70"/>
        <v>-18.375934425469541</v>
      </c>
      <c r="E516">
        <f t="shared" si="71"/>
        <v>13.887126154293449</v>
      </c>
      <c r="F516">
        <f t="shared" si="74"/>
        <v>0.92451101760138676</v>
      </c>
      <c r="G516">
        <f t="shared" si="75"/>
        <v>1</v>
      </c>
      <c r="H516">
        <f t="shared" si="76"/>
        <v>13.352679543687943</v>
      </c>
      <c r="K516">
        <v>0.48799999999999999</v>
      </c>
      <c r="L516">
        <f t="shared" si="72"/>
        <v>-22.663934425469542</v>
      </c>
      <c r="M516">
        <f t="shared" si="73"/>
        <v>22.744091600007529</v>
      </c>
      <c r="N516">
        <f t="shared" si="77"/>
        <v>0.92595119883380828</v>
      </c>
      <c r="O516">
        <f t="shared" si="78"/>
        <v>1</v>
      </c>
      <c r="P516">
        <f t="shared" si="79"/>
        <v>21.885811023881928</v>
      </c>
    </row>
    <row r="517" spans="3:16" x14ac:dyDescent="0.25">
      <c r="C517">
        <v>0.48899999999999999</v>
      </c>
      <c r="D517">
        <f t="shared" si="70"/>
        <v>-18.338741845211466</v>
      </c>
      <c r="E517">
        <f t="shared" si="71"/>
        <v>13.879693142139036</v>
      </c>
      <c r="F517">
        <f t="shared" si="74"/>
        <v>0.92532546302650753</v>
      </c>
      <c r="G517">
        <f t="shared" si="75"/>
        <v>1</v>
      </c>
      <c r="H517">
        <f t="shared" si="76"/>
        <v>13.351409652267231</v>
      </c>
      <c r="K517">
        <v>0.48899999999999999</v>
      </c>
      <c r="L517">
        <f t="shared" si="72"/>
        <v>-22.602741845211465</v>
      </c>
      <c r="M517">
        <f t="shared" si="73"/>
        <v>22.731862139462926</v>
      </c>
      <c r="N517">
        <f t="shared" si="77"/>
        <v>0.92676073757892607</v>
      </c>
      <c r="O517">
        <f t="shared" si="78"/>
        <v>1</v>
      </c>
      <c r="P517">
        <f t="shared" si="79"/>
        <v>21.883602967446887</v>
      </c>
    </row>
    <row r="518" spans="3:16" x14ac:dyDescent="0.25">
      <c r="C518">
        <v>0.49</v>
      </c>
      <c r="D518">
        <f t="shared" si="70"/>
        <v>-18.301549264953387</v>
      </c>
      <c r="E518">
        <f t="shared" si="71"/>
        <v>13.872260129984625</v>
      </c>
      <c r="F518">
        <f t="shared" si="74"/>
        <v>0.92613549109226201</v>
      </c>
      <c r="G518">
        <f t="shared" si="75"/>
        <v>1</v>
      </c>
      <c r="H518">
        <f t="shared" si="76"/>
        <v>13.350099043950097</v>
      </c>
      <c r="K518">
        <v>0.49</v>
      </c>
      <c r="L518">
        <f t="shared" si="72"/>
        <v>-22.541549264953385</v>
      </c>
      <c r="M518">
        <f t="shared" si="73"/>
        <v>22.719632678918323</v>
      </c>
      <c r="N518">
        <f t="shared" si="77"/>
        <v>0.92756582682614575</v>
      </c>
      <c r="O518">
        <f t="shared" si="78"/>
        <v>1</v>
      </c>
      <c r="P518">
        <f t="shared" si="79"/>
        <v>21.881327970701069</v>
      </c>
    </row>
    <row r="519" spans="3:16" x14ac:dyDescent="0.25">
      <c r="C519">
        <v>0.49099999999999999</v>
      </c>
      <c r="D519">
        <f t="shared" si="70"/>
        <v>-18.264356684695308</v>
      </c>
      <c r="E519">
        <f t="shared" si="71"/>
        <v>13.864827117830211</v>
      </c>
      <c r="F519">
        <f t="shared" si="74"/>
        <v>0.9269411017986503</v>
      </c>
      <c r="G519">
        <f t="shared" si="75"/>
        <v>1</v>
      </c>
      <c r="H519">
        <f t="shared" si="76"/>
        <v>13.348747819194879</v>
      </c>
      <c r="K519">
        <v>0.49099999999999999</v>
      </c>
      <c r="L519">
        <f t="shared" si="72"/>
        <v>-22.480356684695309</v>
      </c>
      <c r="M519">
        <f t="shared" si="73"/>
        <v>22.70740321837372</v>
      </c>
      <c r="N519">
        <f t="shared" si="77"/>
        <v>0.92836646657546729</v>
      </c>
      <c r="O519">
        <f t="shared" si="78"/>
        <v>1</v>
      </c>
      <c r="P519">
        <f t="shared" si="79"/>
        <v>21.878986198835936</v>
      </c>
    </row>
    <row r="520" spans="3:16" x14ac:dyDescent="0.25">
      <c r="C520">
        <v>0.49199999999999999</v>
      </c>
      <c r="D520">
        <f t="shared" si="70"/>
        <v>-18.227164104437229</v>
      </c>
      <c r="E520">
        <f t="shared" si="71"/>
        <v>13.857394105675798</v>
      </c>
      <c r="F520">
        <f t="shared" si="74"/>
        <v>0.92774229514567241</v>
      </c>
      <c r="G520">
        <f t="shared" si="75"/>
        <v>1</v>
      </c>
      <c r="H520">
        <f t="shared" si="76"/>
        <v>13.347356078019477</v>
      </c>
      <c r="K520">
        <v>0.49199999999999999</v>
      </c>
      <c r="L520">
        <f t="shared" si="72"/>
        <v>-22.419164104437229</v>
      </c>
      <c r="M520">
        <f t="shared" si="73"/>
        <v>22.695173757829114</v>
      </c>
      <c r="N520">
        <f t="shared" si="77"/>
        <v>0.9291626568268907</v>
      </c>
      <c r="O520">
        <f t="shared" si="78"/>
        <v>1</v>
      </c>
      <c r="P520">
        <f t="shared" si="79"/>
        <v>21.876577816318672</v>
      </c>
    </row>
    <row r="521" spans="3:16" x14ac:dyDescent="0.25">
      <c r="C521">
        <v>0.49299999999999999</v>
      </c>
      <c r="D521">
        <f t="shared" si="70"/>
        <v>-18.18997152417915</v>
      </c>
      <c r="E521">
        <f t="shared" si="71"/>
        <v>13.849961093521387</v>
      </c>
      <c r="F521">
        <f t="shared" si="74"/>
        <v>0.92853907113332823</v>
      </c>
      <c r="G521">
        <f t="shared" si="75"/>
        <v>1</v>
      </c>
      <c r="H521">
        <f t="shared" si="76"/>
        <v>13.345923920004179</v>
      </c>
      <c r="K521">
        <v>0.49299999999999999</v>
      </c>
      <c r="L521">
        <f t="shared" si="72"/>
        <v>-22.357971524179149</v>
      </c>
      <c r="M521">
        <f t="shared" si="73"/>
        <v>22.682944297284511</v>
      </c>
      <c r="N521">
        <f t="shared" si="77"/>
        <v>0.92995439758041598</v>
      </c>
      <c r="O521">
        <f t="shared" si="78"/>
        <v>1</v>
      </c>
      <c r="P521">
        <f t="shared" si="79"/>
        <v>21.874102986896869</v>
      </c>
    </row>
    <row r="522" spans="3:16" x14ac:dyDescent="0.25">
      <c r="C522">
        <v>0.49399999999999999</v>
      </c>
      <c r="D522">
        <f t="shared" si="70"/>
        <v>-18.152778943921071</v>
      </c>
      <c r="E522">
        <f t="shared" si="71"/>
        <v>13.842528081366973</v>
      </c>
      <c r="F522">
        <f t="shared" si="74"/>
        <v>0.92933142976161787</v>
      </c>
      <c r="G522">
        <f t="shared" si="75"/>
        <v>1</v>
      </c>
      <c r="H522">
        <f t="shared" si="76"/>
        <v>13.344451444294439</v>
      </c>
      <c r="K522">
        <v>0.49399999999999999</v>
      </c>
      <c r="L522">
        <f t="shared" si="72"/>
        <v>-22.296778943921073</v>
      </c>
      <c r="M522">
        <f t="shared" si="73"/>
        <v>22.670714836739908</v>
      </c>
      <c r="N522">
        <f t="shared" si="77"/>
        <v>0.93074168883604302</v>
      </c>
      <c r="O522">
        <f t="shared" si="78"/>
        <v>1</v>
      </c>
      <c r="P522">
        <f t="shared" si="79"/>
        <v>21.871561873603039</v>
      </c>
    </row>
    <row r="523" spans="3:16" x14ac:dyDescent="0.25">
      <c r="C523">
        <v>0.495</v>
      </c>
      <c r="D523">
        <f t="shared" si="70"/>
        <v>-18.115586363662992</v>
      </c>
      <c r="E523">
        <f t="shared" si="71"/>
        <v>13.835095069212562</v>
      </c>
      <c r="F523">
        <f t="shared" si="74"/>
        <v>0.93011937103054121</v>
      </c>
      <c r="G523">
        <f t="shared" si="75"/>
        <v>1</v>
      </c>
      <c r="H523">
        <f t="shared" si="76"/>
        <v>13.342938749603659</v>
      </c>
      <c r="K523">
        <v>0.495</v>
      </c>
      <c r="L523">
        <f t="shared" si="72"/>
        <v>-22.235586363662993</v>
      </c>
      <c r="M523">
        <f t="shared" si="73"/>
        <v>22.658485376195305</v>
      </c>
      <c r="N523">
        <f t="shared" si="77"/>
        <v>0.93152453059377205</v>
      </c>
      <c r="O523">
        <f t="shared" si="78"/>
        <v>1</v>
      </c>
      <c r="P523">
        <f t="shared" si="79"/>
        <v>21.868954638759202</v>
      </c>
    </row>
    <row r="524" spans="3:16" x14ac:dyDescent="0.25">
      <c r="C524">
        <v>0.496</v>
      </c>
      <c r="D524">
        <f t="shared" si="70"/>
        <v>-18.078393783404913</v>
      </c>
      <c r="E524">
        <f t="shared" si="71"/>
        <v>13.827662057058149</v>
      </c>
      <c r="F524">
        <f t="shared" si="74"/>
        <v>0.93090289494009826</v>
      </c>
      <c r="G524">
        <f t="shared" si="75"/>
        <v>1</v>
      </c>
      <c r="H524">
        <f t="shared" si="76"/>
        <v>13.341385934215921</v>
      </c>
      <c r="K524">
        <v>0.496</v>
      </c>
      <c r="L524">
        <f t="shared" si="72"/>
        <v>-22.174393783404913</v>
      </c>
      <c r="M524">
        <f t="shared" si="73"/>
        <v>22.646255915650702</v>
      </c>
      <c r="N524">
        <f t="shared" si="77"/>
        <v>0.93230292285360283</v>
      </c>
      <c r="O524">
        <f t="shared" si="78"/>
        <v>1</v>
      </c>
      <c r="P524">
        <f t="shared" si="79"/>
        <v>21.866281443981386</v>
      </c>
    </row>
    <row r="525" spans="3:16" x14ac:dyDescent="0.25">
      <c r="C525">
        <v>0.497</v>
      </c>
      <c r="D525">
        <f t="shared" si="70"/>
        <v>-18.041201203146837</v>
      </c>
      <c r="E525">
        <f t="shared" si="71"/>
        <v>13.820229044903737</v>
      </c>
      <c r="F525">
        <f t="shared" si="74"/>
        <v>0.93168200149028912</v>
      </c>
      <c r="G525">
        <f t="shared" si="75"/>
        <v>1</v>
      </c>
      <c r="H525">
        <f t="shared" si="76"/>
        <v>13.339793095988703</v>
      </c>
      <c r="K525">
        <v>0.497</v>
      </c>
      <c r="L525">
        <f t="shared" si="72"/>
        <v>-22.113201203146836</v>
      </c>
      <c r="M525">
        <f t="shared" si="73"/>
        <v>22.634026455106099</v>
      </c>
      <c r="N525">
        <f t="shared" si="77"/>
        <v>0.93307686561553538</v>
      </c>
      <c r="O525">
        <f t="shared" si="78"/>
        <v>1</v>
      </c>
      <c r="P525">
        <f t="shared" si="79"/>
        <v>21.863542450184063</v>
      </c>
    </row>
    <row r="526" spans="3:16" x14ac:dyDescent="0.25">
      <c r="C526">
        <v>0.498</v>
      </c>
      <c r="D526">
        <f t="shared" si="70"/>
        <v>-18.004008622888758</v>
      </c>
      <c r="E526">
        <f t="shared" si="71"/>
        <v>13.812796032749324</v>
      </c>
      <c r="F526">
        <f t="shared" si="74"/>
        <v>0.9324566906811137</v>
      </c>
      <c r="G526">
        <f t="shared" si="75"/>
        <v>1</v>
      </c>
      <c r="H526">
        <f t="shared" si="76"/>
        <v>13.338160332355573</v>
      </c>
      <c r="K526">
        <v>0.498</v>
      </c>
      <c r="L526">
        <f t="shared" si="72"/>
        <v>-22.052008622888756</v>
      </c>
      <c r="M526">
        <f t="shared" si="73"/>
        <v>22.621796994561496</v>
      </c>
      <c r="N526">
        <f t="shared" si="77"/>
        <v>0.9338463588795699</v>
      </c>
      <c r="O526">
        <f t="shared" si="78"/>
        <v>1</v>
      </c>
      <c r="P526">
        <f t="shared" si="79"/>
        <v>21.860737817584599</v>
      </c>
    </row>
    <row r="527" spans="3:16" x14ac:dyDescent="0.25">
      <c r="C527">
        <v>0.499</v>
      </c>
      <c r="D527">
        <f t="shared" si="70"/>
        <v>-17.966816042630679</v>
      </c>
      <c r="E527">
        <f t="shared" si="71"/>
        <v>13.80536302059491</v>
      </c>
      <c r="F527">
        <f t="shared" si="74"/>
        <v>0.93322696251257209</v>
      </c>
      <c r="G527">
        <f t="shared" si="75"/>
        <v>1</v>
      </c>
      <c r="H527">
        <f t="shared" si="76"/>
        <v>13.336487740328856</v>
      </c>
      <c r="K527">
        <v>0.499</v>
      </c>
      <c r="L527">
        <f t="shared" si="72"/>
        <v>-21.99081604263068</v>
      </c>
      <c r="M527">
        <f t="shared" si="73"/>
        <v>22.609567534016893</v>
      </c>
      <c r="N527">
        <f t="shared" si="77"/>
        <v>0.93461140264570619</v>
      </c>
      <c r="O527">
        <f t="shared" si="78"/>
        <v>1</v>
      </c>
      <c r="P527">
        <f t="shared" si="79"/>
        <v>21.857867705707612</v>
      </c>
    </row>
    <row r="528" spans="3:16" x14ac:dyDescent="0.25">
      <c r="C528">
        <v>0.5</v>
      </c>
      <c r="D528">
        <f t="shared" si="70"/>
        <v>-17.9296234623726</v>
      </c>
      <c r="E528">
        <f t="shared" si="71"/>
        <v>13.797930008440499</v>
      </c>
      <c r="F528">
        <f t="shared" si="74"/>
        <v>0.9339928169846643</v>
      </c>
      <c r="G528">
        <f t="shared" si="75"/>
        <v>1</v>
      </c>
      <c r="H528">
        <f t="shared" si="76"/>
        <v>13.33477541650228</v>
      </c>
      <c r="K528">
        <v>0.5</v>
      </c>
      <c r="L528">
        <f t="shared" si="72"/>
        <v>-21.9296234623726</v>
      </c>
      <c r="M528">
        <f t="shared" si="73"/>
        <v>22.597338073472287</v>
      </c>
      <c r="N528">
        <f t="shared" si="77"/>
        <v>0.93537199691394435</v>
      </c>
      <c r="O528">
        <f t="shared" si="78"/>
        <v>1</v>
      </c>
      <c r="P528">
        <f t="shared" si="79"/>
        <v>21.854932273389323</v>
      </c>
    </row>
    <row r="529" spans="3:16" x14ac:dyDescent="0.25">
      <c r="C529">
        <v>0.501</v>
      </c>
      <c r="D529">
        <f t="shared" si="70"/>
        <v>-17.892430882114521</v>
      </c>
      <c r="E529">
        <f t="shared" si="71"/>
        <v>13.790496996286086</v>
      </c>
      <c r="F529">
        <f t="shared" si="74"/>
        <v>0.9347542540973901</v>
      </c>
      <c r="G529">
        <f t="shared" si="75"/>
        <v>1</v>
      </c>
      <c r="H529">
        <f t="shared" si="76"/>
        <v>13.333023457053585</v>
      </c>
      <c r="K529">
        <v>0.501</v>
      </c>
      <c r="L529">
        <f t="shared" si="72"/>
        <v>-21.86843088211452</v>
      </c>
      <c r="M529">
        <f t="shared" si="73"/>
        <v>22.585108612927684</v>
      </c>
      <c r="N529">
        <f t="shared" si="77"/>
        <v>0.93612814168428438</v>
      </c>
      <c r="O529">
        <f t="shared" si="78"/>
        <v>1</v>
      </c>
      <c r="P529">
        <f t="shared" si="79"/>
        <v>21.851931678781863</v>
      </c>
    </row>
    <row r="530" spans="3:16" x14ac:dyDescent="0.25">
      <c r="C530">
        <v>0.502</v>
      </c>
      <c r="D530">
        <f t="shared" si="70"/>
        <v>-17.855238301856442</v>
      </c>
      <c r="E530">
        <f t="shared" si="71"/>
        <v>13.783063984131674</v>
      </c>
      <c r="F530">
        <f t="shared" si="74"/>
        <v>0.93551127385074984</v>
      </c>
      <c r="G530">
        <f t="shared" si="75"/>
        <v>1</v>
      </c>
      <c r="H530">
        <f t="shared" si="76"/>
        <v>13.331231957747136</v>
      </c>
      <c r="K530">
        <v>0.502</v>
      </c>
      <c r="L530">
        <f t="shared" si="72"/>
        <v>-21.807238301856444</v>
      </c>
      <c r="M530">
        <f t="shared" si="73"/>
        <v>22.572879152383081</v>
      </c>
      <c r="N530">
        <f t="shared" si="77"/>
        <v>0.93687983695672616</v>
      </c>
      <c r="O530">
        <f t="shared" si="78"/>
        <v>1</v>
      </c>
      <c r="P530">
        <f t="shared" si="79"/>
        <v>21.848866079357521</v>
      </c>
    </row>
    <row r="531" spans="3:16" x14ac:dyDescent="0.25">
      <c r="C531">
        <v>0.503</v>
      </c>
      <c r="D531">
        <f t="shared" si="70"/>
        <v>-17.818045721598363</v>
      </c>
      <c r="E531">
        <f t="shared" si="71"/>
        <v>13.775630971977261</v>
      </c>
      <c r="F531">
        <f t="shared" si="74"/>
        <v>0.93626387624474328</v>
      </c>
      <c r="G531">
        <f t="shared" si="75"/>
        <v>1</v>
      </c>
      <c r="H531">
        <f t="shared" si="76"/>
        <v>13.329401013936474</v>
      </c>
      <c r="K531">
        <v>0.503</v>
      </c>
      <c r="L531">
        <f t="shared" si="72"/>
        <v>-21.746045721598364</v>
      </c>
      <c r="M531">
        <f t="shared" si="73"/>
        <v>22.560649691838478</v>
      </c>
      <c r="N531">
        <f t="shared" si="77"/>
        <v>0.93762708273126993</v>
      </c>
      <c r="O531">
        <f t="shared" si="78"/>
        <v>1</v>
      </c>
      <c r="P531">
        <f t="shared" si="79"/>
        <v>21.845735631912984</v>
      </c>
    </row>
    <row r="532" spans="3:16" x14ac:dyDescent="0.25">
      <c r="C532">
        <v>0.504</v>
      </c>
      <c r="D532">
        <f t="shared" si="70"/>
        <v>-17.780853141340287</v>
      </c>
      <c r="E532">
        <f t="shared" si="71"/>
        <v>13.768197959822849</v>
      </c>
      <c r="F532">
        <f t="shared" si="74"/>
        <v>0.93701206127937031</v>
      </c>
      <c r="G532">
        <f t="shared" si="75"/>
        <v>1</v>
      </c>
      <c r="H532">
        <f t="shared" si="76"/>
        <v>13.327530720566886</v>
      </c>
      <c r="K532">
        <v>0.504</v>
      </c>
      <c r="L532">
        <f t="shared" si="72"/>
        <v>-21.684853141340287</v>
      </c>
      <c r="M532">
        <f t="shared" si="73"/>
        <v>22.548420231293875</v>
      </c>
      <c r="N532">
        <f t="shared" si="77"/>
        <v>0.93836987900791546</v>
      </c>
      <c r="O532">
        <f t="shared" si="78"/>
        <v>1</v>
      </c>
      <c r="P532">
        <f t="shared" si="79"/>
        <v>21.842540492573502</v>
      </c>
    </row>
    <row r="533" spans="3:16" x14ac:dyDescent="0.25">
      <c r="C533">
        <v>0.505</v>
      </c>
      <c r="D533">
        <f t="shared" si="70"/>
        <v>-17.743660561082208</v>
      </c>
      <c r="E533">
        <f t="shared" si="71"/>
        <v>13.760764947668436</v>
      </c>
      <c r="F533">
        <f t="shared" si="74"/>
        <v>0.93775582895463128</v>
      </c>
      <c r="G533">
        <f t="shared" si="75"/>
        <v>1</v>
      </c>
      <c r="H533">
        <f t="shared" si="76"/>
        <v>13.325621172177923</v>
      </c>
      <c r="K533">
        <v>0.505</v>
      </c>
      <c r="L533">
        <f t="shared" si="72"/>
        <v>-21.623660561082207</v>
      </c>
      <c r="M533">
        <f t="shared" si="73"/>
        <v>22.536190770749272</v>
      </c>
      <c r="N533">
        <f t="shared" si="77"/>
        <v>0.93910822578666275</v>
      </c>
      <c r="O533">
        <f t="shared" si="78"/>
        <v>1</v>
      </c>
      <c r="P533">
        <f t="shared" si="79"/>
        <v>21.839280816797068</v>
      </c>
    </row>
    <row r="534" spans="3:16" x14ac:dyDescent="0.25">
      <c r="C534">
        <v>0.50600000000000001</v>
      </c>
      <c r="D534">
        <f t="shared" si="70"/>
        <v>-17.706467980824129</v>
      </c>
      <c r="E534">
        <f t="shared" si="71"/>
        <v>13.753331935514023</v>
      </c>
      <c r="F534">
        <f t="shared" si="74"/>
        <v>0.93849517927052595</v>
      </c>
      <c r="G534">
        <f t="shared" si="75"/>
        <v>1</v>
      </c>
      <c r="H534">
        <f t="shared" si="76"/>
        <v>13.323672462905897</v>
      </c>
      <c r="K534">
        <v>0.50600000000000001</v>
      </c>
      <c r="L534">
        <f t="shared" si="72"/>
        <v>-21.562467980824128</v>
      </c>
      <c r="M534">
        <f t="shared" si="73"/>
        <v>22.523961310204669</v>
      </c>
      <c r="N534">
        <f t="shared" si="77"/>
        <v>0.93984212306751203</v>
      </c>
      <c r="O534">
        <f t="shared" si="78"/>
        <v>1</v>
      </c>
      <c r="P534">
        <f t="shared" si="79"/>
        <v>21.835956759378508</v>
      </c>
    </row>
    <row r="535" spans="3:16" x14ac:dyDescent="0.25">
      <c r="C535">
        <v>0.50700000000000001</v>
      </c>
      <c r="D535">
        <f t="shared" si="70"/>
        <v>-17.66927540056605</v>
      </c>
      <c r="E535">
        <f t="shared" si="71"/>
        <v>13.745898923359611</v>
      </c>
      <c r="F535">
        <f t="shared" si="74"/>
        <v>0.93923011222705444</v>
      </c>
      <c r="G535">
        <f t="shared" si="75"/>
        <v>1</v>
      </c>
      <c r="H535">
        <f t="shared" si="76"/>
        <v>13.321684686486375</v>
      </c>
      <c r="K535">
        <v>0.50700000000000001</v>
      </c>
      <c r="L535">
        <f t="shared" si="72"/>
        <v>-21.501275400566051</v>
      </c>
      <c r="M535">
        <f t="shared" si="73"/>
        <v>22.511731849660066</v>
      </c>
      <c r="N535">
        <f t="shared" si="77"/>
        <v>0.94057157085046306</v>
      </c>
      <c r="O535">
        <f t="shared" si="78"/>
        <v>1</v>
      </c>
      <c r="P535">
        <f t="shared" si="79"/>
        <v>21.832568474453556</v>
      </c>
    </row>
    <row r="536" spans="3:16" x14ac:dyDescent="0.25">
      <c r="C536">
        <v>0.50800000000000001</v>
      </c>
      <c r="D536">
        <f t="shared" si="70"/>
        <v>-17.632082820307971</v>
      </c>
      <c r="E536">
        <f t="shared" si="71"/>
        <v>13.738465911205198</v>
      </c>
      <c r="F536">
        <f t="shared" si="74"/>
        <v>0.93996062782421663</v>
      </c>
      <c r="G536">
        <f t="shared" si="75"/>
        <v>1</v>
      </c>
      <c r="H536">
        <f t="shared" si="76"/>
        <v>13.319657936256631</v>
      </c>
      <c r="K536">
        <v>0.50800000000000001</v>
      </c>
      <c r="L536">
        <f t="shared" si="72"/>
        <v>-21.440082820307971</v>
      </c>
      <c r="M536">
        <f t="shared" si="73"/>
        <v>22.499502389115463</v>
      </c>
      <c r="N536">
        <f t="shared" si="77"/>
        <v>0.94129656913551607</v>
      </c>
      <c r="O536">
        <f t="shared" si="78"/>
        <v>1</v>
      </c>
      <c r="P536">
        <f t="shared" si="79"/>
        <v>21.829116115502906</v>
      </c>
    </row>
    <row r="537" spans="3:16" x14ac:dyDescent="0.25">
      <c r="C537">
        <v>0.50900000000000001</v>
      </c>
      <c r="D537">
        <f t="shared" si="70"/>
        <v>-17.594890240049892</v>
      </c>
      <c r="E537">
        <f t="shared" si="71"/>
        <v>13.731032899050787</v>
      </c>
      <c r="F537">
        <f t="shared" si="74"/>
        <v>0.94068672606201265</v>
      </c>
      <c r="G537">
        <f t="shared" si="75"/>
        <v>1</v>
      </c>
      <c r="H537">
        <f t="shared" si="76"/>
        <v>13.317592305158085</v>
      </c>
      <c r="K537">
        <v>0.50900000000000001</v>
      </c>
      <c r="L537">
        <f t="shared" si="72"/>
        <v>-21.378890240049891</v>
      </c>
      <c r="M537">
        <f t="shared" si="73"/>
        <v>22.48727292857086</v>
      </c>
      <c r="N537">
        <f t="shared" si="77"/>
        <v>0.94201711792267084</v>
      </c>
      <c r="O537">
        <f t="shared" si="78"/>
        <v>1</v>
      </c>
      <c r="P537">
        <f t="shared" si="79"/>
        <v>21.825599835356197</v>
      </c>
    </row>
    <row r="538" spans="3:16" x14ac:dyDescent="0.25">
      <c r="C538">
        <v>0.51</v>
      </c>
      <c r="D538">
        <f t="shared" si="70"/>
        <v>-17.557697659791813</v>
      </c>
      <c r="E538">
        <f t="shared" si="71"/>
        <v>13.723599886896373</v>
      </c>
      <c r="F538">
        <f t="shared" si="74"/>
        <v>0.94140840694044237</v>
      </c>
      <c r="G538">
        <f t="shared" si="75"/>
        <v>1</v>
      </c>
      <c r="H538">
        <f t="shared" si="76"/>
        <v>13.315487885738717</v>
      </c>
      <c r="K538">
        <v>0.51</v>
      </c>
      <c r="L538">
        <f t="shared" si="72"/>
        <v>-21.317697659791815</v>
      </c>
      <c r="M538">
        <f t="shared" si="73"/>
        <v>22.475043468026257</v>
      </c>
      <c r="N538">
        <f t="shared" si="77"/>
        <v>0.94273321721192738</v>
      </c>
      <c r="O538">
        <f t="shared" si="78"/>
        <v>1</v>
      </c>
      <c r="P538">
        <f t="shared" si="79"/>
        <v>21.822019786196005</v>
      </c>
    </row>
    <row r="539" spans="3:16" x14ac:dyDescent="0.25">
      <c r="C539">
        <v>0.51100000000000001</v>
      </c>
      <c r="D539">
        <f t="shared" si="70"/>
        <v>-17.520505079533734</v>
      </c>
      <c r="E539">
        <f t="shared" si="71"/>
        <v>13.716166874741962</v>
      </c>
      <c r="F539">
        <f t="shared" si="74"/>
        <v>0.94212567045950579</v>
      </c>
      <c r="G539">
        <f t="shared" si="75"/>
        <v>1</v>
      </c>
      <c r="H539">
        <f t="shared" si="76"/>
        <v>13.313344770155469</v>
      </c>
      <c r="K539">
        <v>0.51100000000000001</v>
      </c>
      <c r="L539">
        <f t="shared" si="72"/>
        <v>-21.256505079533735</v>
      </c>
      <c r="M539">
        <f t="shared" si="73"/>
        <v>22.462814007481654</v>
      </c>
      <c r="N539">
        <f t="shared" si="77"/>
        <v>0.94344486700328589</v>
      </c>
      <c r="O539">
        <f t="shared" si="78"/>
        <v>1</v>
      </c>
      <c r="P539">
        <f t="shared" si="79"/>
        <v>21.818376119561751</v>
      </c>
    </row>
    <row r="540" spans="3:16" x14ac:dyDescent="0.25">
      <c r="C540">
        <v>0.51200000000000001</v>
      </c>
      <c r="D540">
        <f t="shared" ref="D540:D603" si="80">-$J$23+($J$15+$J$23)*C540</f>
        <v>-17.483312499275659</v>
      </c>
      <c r="E540">
        <f t="shared" ref="E540:E603" si="81">$J$12-$J$11*D540</f>
        <v>13.708733862587549</v>
      </c>
      <c r="F540">
        <f t="shared" si="74"/>
        <v>0.94283851661920304</v>
      </c>
      <c r="G540">
        <f t="shared" si="75"/>
        <v>1</v>
      </c>
      <c r="H540">
        <f t="shared" si="76"/>
        <v>13.311163050176607</v>
      </c>
      <c r="K540">
        <v>0.51200000000000001</v>
      </c>
      <c r="L540">
        <f t="shared" ref="L540:L603" si="82">-$M$23+($M$15+$M$23)*K540</f>
        <v>-21.195312499275659</v>
      </c>
      <c r="M540">
        <f t="shared" ref="M540:M603" si="83">$J$12-$J$11*L540+$E$18</f>
        <v>22.450584546937051</v>
      </c>
      <c r="N540">
        <f t="shared" si="77"/>
        <v>0.94415206729674617</v>
      </c>
      <c r="O540">
        <f t="shared" si="78"/>
        <v>1</v>
      </c>
      <c r="P540">
        <f t="shared" si="79"/>
        <v>21.814668986353603</v>
      </c>
    </row>
    <row r="541" spans="3:16" x14ac:dyDescent="0.25">
      <c r="C541">
        <v>0.51300000000000001</v>
      </c>
      <c r="D541">
        <f t="shared" si="80"/>
        <v>-17.44611991901758</v>
      </c>
      <c r="E541">
        <f t="shared" si="81"/>
        <v>13.701300850433135</v>
      </c>
      <c r="F541">
        <f t="shared" ref="F541:F604" si="84">IF(D541&lt;$J$20,MAX(1-(D541-$J$20)^2/$J$22^2,0),1)</f>
        <v>0.94354694541953399</v>
      </c>
      <c r="G541">
        <f t="shared" ref="G541:G604" si="85">IF(D541&gt;$J$17,MAX(1-(D541-$J$17)^2/($J$15-$J$17)^2,0),1)</f>
        <v>1</v>
      </c>
      <c r="H541">
        <f t="shared" ref="H541:H604" si="86">SQRT(E541^2*F541*G541)</f>
        <v>13.308942817184082</v>
      </c>
      <c r="K541">
        <v>0.51300000000000001</v>
      </c>
      <c r="L541">
        <f t="shared" si="82"/>
        <v>-21.134119919017579</v>
      </c>
      <c r="M541">
        <f t="shared" si="83"/>
        <v>22.438355086392445</v>
      </c>
      <c r="N541">
        <f t="shared" ref="N541:N604" si="87">IF(L541&lt;$J$20,MAX(1-(L541-$J$20)^2/$M$22^2,0),1)</f>
        <v>0.94485481809230831</v>
      </c>
      <c r="O541">
        <f t="shared" ref="O541:O604" si="88">IF(L541&gt;$J$17,MAX(1-(L541-$J$17)^2/($M$15-$J$17)^2,0),1)</f>
        <v>1</v>
      </c>
      <c r="P541">
        <f t="shared" ref="P541:P604" si="89">SQRT(M541^2*N541*O541)</f>
        <v>21.810898536836348</v>
      </c>
    </row>
    <row r="542" spans="3:16" x14ac:dyDescent="0.25">
      <c r="C542">
        <v>0.51400000000000001</v>
      </c>
      <c r="D542">
        <f t="shared" si="80"/>
        <v>-17.408927338759501</v>
      </c>
      <c r="E542">
        <f t="shared" si="81"/>
        <v>13.693867838278724</v>
      </c>
      <c r="F542">
        <f t="shared" si="84"/>
        <v>0.94425095686049876</v>
      </c>
      <c r="G542">
        <f t="shared" si="85"/>
        <v>1</v>
      </c>
      <c r="H542">
        <f t="shared" si="86"/>
        <v>13.306684162175861</v>
      </c>
      <c r="K542">
        <v>0.51400000000000001</v>
      </c>
      <c r="L542">
        <f t="shared" si="82"/>
        <v>-21.072927338759499</v>
      </c>
      <c r="M542">
        <f t="shared" si="83"/>
        <v>22.426125625847842</v>
      </c>
      <c r="N542">
        <f t="shared" si="87"/>
        <v>0.94555311938997233</v>
      </c>
      <c r="O542">
        <f t="shared" si="88"/>
        <v>1</v>
      </c>
      <c r="P542">
        <f t="shared" si="89"/>
        <v>21.807064920643214</v>
      </c>
    </row>
    <row r="543" spans="3:16" x14ac:dyDescent="0.25">
      <c r="C543">
        <v>0.51500000000000001</v>
      </c>
      <c r="D543">
        <f t="shared" si="80"/>
        <v>-17.371734758501422</v>
      </c>
      <c r="E543">
        <f t="shared" si="81"/>
        <v>13.686434826124311</v>
      </c>
      <c r="F543">
        <f t="shared" si="84"/>
        <v>0.94495055094209734</v>
      </c>
      <c r="G543">
        <f t="shared" si="85"/>
        <v>1</v>
      </c>
      <c r="H543">
        <f t="shared" si="86"/>
        <v>13.304387175768227</v>
      </c>
      <c r="K543">
        <v>0.51500000000000001</v>
      </c>
      <c r="L543">
        <f t="shared" si="82"/>
        <v>-21.011734758501422</v>
      </c>
      <c r="M543">
        <f t="shared" si="83"/>
        <v>22.413896165303239</v>
      </c>
      <c r="N543">
        <f t="shared" si="87"/>
        <v>0.94624697118973811</v>
      </c>
      <c r="O543">
        <f t="shared" si="88"/>
        <v>1</v>
      </c>
      <c r="P543">
        <f t="shared" si="89"/>
        <v>21.803168286779663</v>
      </c>
    </row>
    <row r="544" spans="3:16" x14ac:dyDescent="0.25">
      <c r="C544">
        <v>0.51600000000000001</v>
      </c>
      <c r="D544">
        <f t="shared" si="80"/>
        <v>-17.334542178243343</v>
      </c>
      <c r="E544">
        <f t="shared" si="81"/>
        <v>13.679001813969897</v>
      </c>
      <c r="F544">
        <f t="shared" si="84"/>
        <v>0.94564572766432964</v>
      </c>
      <c r="G544">
        <f t="shared" si="85"/>
        <v>1</v>
      </c>
      <c r="H544">
        <f t="shared" si="86"/>
        <v>13.302051948198081</v>
      </c>
      <c r="K544">
        <v>0.51600000000000001</v>
      </c>
      <c r="L544">
        <f t="shared" si="82"/>
        <v>-20.950542178243342</v>
      </c>
      <c r="M544">
        <f t="shared" si="83"/>
        <v>22.401666704758636</v>
      </c>
      <c r="N544">
        <f t="shared" si="87"/>
        <v>0.94693637349160575</v>
      </c>
      <c r="O544">
        <f t="shared" si="88"/>
        <v>1</v>
      </c>
      <c r="P544">
        <f t="shared" si="89"/>
        <v>21.799208783627154</v>
      </c>
    </row>
    <row r="545" spans="3:16" x14ac:dyDescent="0.25">
      <c r="C545">
        <v>0.51700000000000002</v>
      </c>
      <c r="D545">
        <f t="shared" si="80"/>
        <v>-17.297349597985264</v>
      </c>
      <c r="E545">
        <f t="shared" si="81"/>
        <v>13.671568801815486</v>
      </c>
      <c r="F545">
        <f t="shared" si="84"/>
        <v>0.94633648702719564</v>
      </c>
      <c r="G545">
        <f t="shared" si="85"/>
        <v>1</v>
      </c>
      <c r="H545">
        <f t="shared" si="86"/>
        <v>13.299678569325209</v>
      </c>
      <c r="K545">
        <v>0.51700000000000002</v>
      </c>
      <c r="L545">
        <f t="shared" si="82"/>
        <v>-20.889349597985266</v>
      </c>
      <c r="M545">
        <f t="shared" si="83"/>
        <v>22.389437244214033</v>
      </c>
      <c r="N545">
        <f t="shared" si="87"/>
        <v>0.94762132629557527</v>
      </c>
      <c r="O545">
        <f t="shared" si="88"/>
        <v>1</v>
      </c>
      <c r="P545">
        <f t="shared" si="89"/>
        <v>21.795186558946867</v>
      </c>
    </row>
    <row r="546" spans="3:16" x14ac:dyDescent="0.25">
      <c r="C546">
        <v>0.51800000000000002</v>
      </c>
      <c r="D546">
        <f t="shared" si="80"/>
        <v>-17.260157017727185</v>
      </c>
      <c r="E546">
        <f t="shared" si="81"/>
        <v>13.664135789661072</v>
      </c>
      <c r="F546">
        <f t="shared" si="84"/>
        <v>0.94702282903069546</v>
      </c>
      <c r="G546">
        <f t="shared" si="85"/>
        <v>1</v>
      </c>
      <c r="H546">
        <f t="shared" si="86"/>
        <v>13.297267128634532</v>
      </c>
      <c r="K546">
        <v>0.51800000000000002</v>
      </c>
      <c r="L546">
        <f t="shared" si="82"/>
        <v>-20.828157017727186</v>
      </c>
      <c r="M546">
        <f t="shared" si="83"/>
        <v>22.37720778366943</v>
      </c>
      <c r="N546">
        <f t="shared" si="87"/>
        <v>0.94830182960164666</v>
      </c>
      <c r="O546">
        <f t="shared" si="88"/>
        <v>1</v>
      </c>
      <c r="P546">
        <f t="shared" si="89"/>
        <v>21.7911017598834</v>
      </c>
    </row>
    <row r="547" spans="3:16" x14ac:dyDescent="0.25">
      <c r="C547">
        <v>0.51900000000000002</v>
      </c>
      <c r="D547">
        <f t="shared" si="80"/>
        <v>-17.222964437469109</v>
      </c>
      <c r="E547">
        <f t="shared" si="81"/>
        <v>13.656702777506661</v>
      </c>
      <c r="F547">
        <f t="shared" si="84"/>
        <v>0.94770475367482898</v>
      </c>
      <c r="G547">
        <f t="shared" si="85"/>
        <v>1</v>
      </c>
      <c r="H547">
        <f t="shared" si="86"/>
        <v>13.294817715238333</v>
      </c>
      <c r="K547">
        <v>0.51900000000000002</v>
      </c>
      <c r="L547">
        <f t="shared" si="82"/>
        <v>-20.766964437469106</v>
      </c>
      <c r="M547">
        <f t="shared" si="83"/>
        <v>22.364978323124827</v>
      </c>
      <c r="N547">
        <f t="shared" si="87"/>
        <v>0.94897788340981992</v>
      </c>
      <c r="O547">
        <f t="shared" si="88"/>
        <v>1</v>
      </c>
      <c r="P547">
        <f t="shared" si="89"/>
        <v>21.78695453296843</v>
      </c>
    </row>
    <row r="548" spans="3:16" x14ac:dyDescent="0.25">
      <c r="C548">
        <v>0.52</v>
      </c>
      <c r="D548">
        <f t="shared" si="80"/>
        <v>-17.18577185721103</v>
      </c>
      <c r="E548">
        <f t="shared" si="81"/>
        <v>13.649269765352248</v>
      </c>
      <c r="F548">
        <f t="shared" si="84"/>
        <v>0.94838226095959621</v>
      </c>
      <c r="G548">
        <f t="shared" si="85"/>
        <v>1</v>
      </c>
      <c r="H548">
        <f t="shared" si="86"/>
        <v>13.292330417878468</v>
      </c>
      <c r="K548">
        <v>0.52</v>
      </c>
      <c r="L548">
        <f t="shared" si="82"/>
        <v>-20.70577185721103</v>
      </c>
      <c r="M548">
        <f t="shared" si="83"/>
        <v>22.352748862580224</v>
      </c>
      <c r="N548">
        <f t="shared" si="87"/>
        <v>0.94964948772009494</v>
      </c>
      <c r="O548">
        <f t="shared" si="88"/>
        <v>1</v>
      </c>
      <c r="P548">
        <f t="shared" si="89"/>
        <v>21.782745024124345</v>
      </c>
    </row>
    <row r="549" spans="3:16" x14ac:dyDescent="0.25">
      <c r="C549">
        <v>0.52100000000000002</v>
      </c>
      <c r="D549">
        <f t="shared" si="80"/>
        <v>-17.148579276952951</v>
      </c>
      <c r="E549">
        <f t="shared" si="81"/>
        <v>13.641836753197836</v>
      </c>
      <c r="F549">
        <f t="shared" si="84"/>
        <v>0.94905535088499726</v>
      </c>
      <c r="G549">
        <f t="shared" si="85"/>
        <v>1</v>
      </c>
      <c r="H549">
        <f t="shared" si="86"/>
        <v>13.289805324928567</v>
      </c>
      <c r="K549">
        <v>0.52100000000000002</v>
      </c>
      <c r="L549">
        <f t="shared" si="82"/>
        <v>-20.64457927695295</v>
      </c>
      <c r="M549">
        <f t="shared" si="83"/>
        <v>22.340519402035618</v>
      </c>
      <c r="N549">
        <f t="shared" si="87"/>
        <v>0.95031664253247183</v>
      </c>
      <c r="O549">
        <f t="shared" si="88"/>
        <v>1</v>
      </c>
      <c r="P549">
        <f t="shared" si="89"/>
        <v>21.77847337866784</v>
      </c>
    </row>
    <row r="550" spans="3:16" x14ac:dyDescent="0.25">
      <c r="C550">
        <v>0.52200000000000002</v>
      </c>
      <c r="D550">
        <f t="shared" si="80"/>
        <v>-17.111386696694872</v>
      </c>
      <c r="E550">
        <f t="shared" si="81"/>
        <v>13.634403741043423</v>
      </c>
      <c r="F550">
        <f t="shared" si="84"/>
        <v>0.94972402345103213</v>
      </c>
      <c r="G550">
        <f t="shared" si="85"/>
        <v>1</v>
      </c>
      <c r="H550">
        <f t="shared" si="86"/>
        <v>13.287242524396191</v>
      </c>
      <c r="K550">
        <v>0.52200000000000002</v>
      </c>
      <c r="L550">
        <f t="shared" si="82"/>
        <v>-20.58338669669487</v>
      </c>
      <c r="M550">
        <f t="shared" si="83"/>
        <v>22.328289941491015</v>
      </c>
      <c r="N550">
        <f t="shared" si="87"/>
        <v>0.9509793478469506</v>
      </c>
      <c r="O550">
        <f t="shared" si="88"/>
        <v>1</v>
      </c>
      <c r="P550">
        <f t="shared" si="89"/>
        <v>21.774139741313494</v>
      </c>
    </row>
    <row r="551" spans="3:16" x14ac:dyDescent="0.25">
      <c r="C551">
        <v>0.52300000000000002</v>
      </c>
      <c r="D551">
        <f t="shared" si="80"/>
        <v>-17.074194116436793</v>
      </c>
      <c r="E551">
        <f t="shared" si="81"/>
        <v>13.62697072888901</v>
      </c>
      <c r="F551">
        <f t="shared" si="84"/>
        <v>0.9503882786577007</v>
      </c>
      <c r="G551">
        <f t="shared" si="85"/>
        <v>1</v>
      </c>
      <c r="H551">
        <f t="shared" si="86"/>
        <v>13.284642103924998</v>
      </c>
      <c r="K551">
        <v>0.52300000000000002</v>
      </c>
      <c r="L551">
        <f t="shared" si="82"/>
        <v>-20.522194116436793</v>
      </c>
      <c r="M551">
        <f t="shared" si="83"/>
        <v>22.316060480946412</v>
      </c>
      <c r="N551">
        <f t="shared" si="87"/>
        <v>0.95163760366353112</v>
      </c>
      <c r="O551">
        <f t="shared" si="88"/>
        <v>1</v>
      </c>
      <c r="P551">
        <f t="shared" si="89"/>
        <v>21.769744256177272</v>
      </c>
    </row>
    <row r="552" spans="3:16" x14ac:dyDescent="0.25">
      <c r="C552">
        <v>0.52400000000000002</v>
      </c>
      <c r="D552">
        <f t="shared" si="80"/>
        <v>-17.037001536178714</v>
      </c>
      <c r="E552">
        <f t="shared" si="81"/>
        <v>13.619537716734598</v>
      </c>
      <c r="F552">
        <f t="shared" si="84"/>
        <v>0.95104811650500309</v>
      </c>
      <c r="G552">
        <f t="shared" si="85"/>
        <v>1</v>
      </c>
      <c r="H552">
        <f t="shared" si="86"/>
        <v>13.282004150796871</v>
      </c>
      <c r="K552">
        <v>0.52400000000000002</v>
      </c>
      <c r="L552">
        <f t="shared" si="82"/>
        <v>-20.461001536178713</v>
      </c>
      <c r="M552">
        <f t="shared" si="83"/>
        <v>22.303831020401809</v>
      </c>
      <c r="N552">
        <f t="shared" si="87"/>
        <v>0.95229140998221362</v>
      </c>
      <c r="O552">
        <f t="shared" si="88"/>
        <v>1</v>
      </c>
      <c r="P552">
        <f t="shared" si="89"/>
        <v>21.765287066780068</v>
      </c>
    </row>
    <row r="553" spans="3:16" x14ac:dyDescent="0.25">
      <c r="C553">
        <v>0.52500000000000002</v>
      </c>
      <c r="D553">
        <f t="shared" si="80"/>
        <v>-16.999808955920635</v>
      </c>
      <c r="E553">
        <f t="shared" si="81"/>
        <v>13.612104704580185</v>
      </c>
      <c r="F553">
        <f t="shared" si="84"/>
        <v>0.95170353699293919</v>
      </c>
      <c r="G553">
        <f t="shared" si="85"/>
        <v>1</v>
      </c>
      <c r="H553">
        <f t="shared" si="86"/>
        <v>13.279328751934026</v>
      </c>
      <c r="K553">
        <v>0.52500000000000002</v>
      </c>
      <c r="L553">
        <f t="shared" si="82"/>
        <v>-20.399808955920633</v>
      </c>
      <c r="M553">
        <f t="shared" si="83"/>
        <v>22.291601559857206</v>
      </c>
      <c r="N553">
        <f t="shared" si="87"/>
        <v>0.95294076680299789</v>
      </c>
      <c r="O553">
        <f t="shared" si="88"/>
        <v>1</v>
      </c>
      <c r="P553">
        <f t="shared" si="89"/>
        <v>21.760768316051159</v>
      </c>
    </row>
    <row r="554" spans="3:16" x14ac:dyDescent="0.25">
      <c r="C554">
        <v>0.52600000000000002</v>
      </c>
      <c r="D554">
        <f t="shared" si="80"/>
        <v>-16.962616375662556</v>
      </c>
      <c r="E554">
        <f t="shared" si="81"/>
        <v>13.604671692425773</v>
      </c>
      <c r="F554">
        <f t="shared" si="84"/>
        <v>0.95235454012150911</v>
      </c>
      <c r="G554">
        <f t="shared" si="85"/>
        <v>1</v>
      </c>
      <c r="H554">
        <f t="shared" si="86"/>
        <v>13.276615993901132</v>
      </c>
      <c r="K554">
        <v>0.52600000000000002</v>
      </c>
      <c r="L554">
        <f t="shared" si="82"/>
        <v>-20.338616375662554</v>
      </c>
      <c r="M554">
        <f t="shared" si="83"/>
        <v>22.279372099312603</v>
      </c>
      <c r="N554">
        <f t="shared" si="87"/>
        <v>0.95358567412588402</v>
      </c>
      <c r="O554">
        <f t="shared" si="88"/>
        <v>1</v>
      </c>
      <c r="P554">
        <f t="shared" si="89"/>
        <v>21.756188146331652</v>
      </c>
    </row>
    <row r="555" spans="3:16" x14ac:dyDescent="0.25">
      <c r="C555">
        <v>0.52700000000000002</v>
      </c>
      <c r="D555">
        <f t="shared" si="80"/>
        <v>-16.92542379540448</v>
      </c>
      <c r="E555">
        <f t="shared" si="81"/>
        <v>13.59723868027136</v>
      </c>
      <c r="F555">
        <f t="shared" si="84"/>
        <v>0.95300112589071262</v>
      </c>
      <c r="G555">
        <f t="shared" si="85"/>
        <v>1</v>
      </c>
      <c r="H555">
        <f t="shared" si="86"/>
        <v>13.273865962907362</v>
      </c>
      <c r="K555">
        <v>0.52700000000000002</v>
      </c>
      <c r="L555">
        <f t="shared" si="82"/>
        <v>-20.277423795404481</v>
      </c>
      <c r="M555">
        <f t="shared" si="83"/>
        <v>22.267142638768</v>
      </c>
      <c r="N555">
        <f t="shared" si="87"/>
        <v>0.95422613195087191</v>
      </c>
      <c r="O555">
        <f t="shared" si="88"/>
        <v>1</v>
      </c>
      <c r="P555">
        <f t="shared" si="89"/>
        <v>21.75154669937789</v>
      </c>
    </row>
    <row r="556" spans="3:16" x14ac:dyDescent="0.25">
      <c r="C556">
        <v>0.52800000000000002</v>
      </c>
      <c r="D556">
        <f t="shared" si="80"/>
        <v>-16.888231215146401</v>
      </c>
      <c r="E556">
        <f t="shared" si="81"/>
        <v>13.589805668116949</v>
      </c>
      <c r="F556">
        <f t="shared" si="84"/>
        <v>0.95364329430055006</v>
      </c>
      <c r="G556">
        <f t="shared" si="85"/>
        <v>1</v>
      </c>
      <c r="H556">
        <f t="shared" si="86"/>
        <v>13.271078744808477</v>
      </c>
      <c r="K556">
        <v>0.52800000000000002</v>
      </c>
      <c r="L556">
        <f t="shared" si="82"/>
        <v>-20.216231215146401</v>
      </c>
      <c r="M556">
        <f t="shared" si="83"/>
        <v>22.254913178223397</v>
      </c>
      <c r="N556">
        <f t="shared" si="87"/>
        <v>0.95486214027796179</v>
      </c>
      <c r="O556">
        <f t="shared" si="88"/>
        <v>1</v>
      </c>
      <c r="P556">
        <f t="shared" si="89"/>
        <v>21.746844116364855</v>
      </c>
    </row>
    <row r="557" spans="3:16" x14ac:dyDescent="0.25">
      <c r="C557">
        <v>0.52900000000000003</v>
      </c>
      <c r="D557">
        <f t="shared" si="80"/>
        <v>-16.851038634888322</v>
      </c>
      <c r="E557">
        <f t="shared" si="81"/>
        <v>13.582372655962535</v>
      </c>
      <c r="F557">
        <f t="shared" si="84"/>
        <v>0.95428104535102121</v>
      </c>
      <c r="G557">
        <f t="shared" si="85"/>
        <v>1</v>
      </c>
      <c r="H557">
        <f t="shared" si="86"/>
        <v>13.268254425108854</v>
      </c>
      <c r="K557">
        <v>0.52900000000000003</v>
      </c>
      <c r="L557">
        <f t="shared" si="82"/>
        <v>-20.155038634888321</v>
      </c>
      <c r="M557">
        <f t="shared" si="83"/>
        <v>22.242683717678794</v>
      </c>
      <c r="N557">
        <f t="shared" si="87"/>
        <v>0.95549369910715343</v>
      </c>
      <c r="O557">
        <f t="shared" si="88"/>
        <v>1</v>
      </c>
      <c r="P557">
        <f t="shared" si="89"/>
        <v>21.742080537889485</v>
      </c>
    </row>
    <row r="558" spans="3:16" x14ac:dyDescent="0.25">
      <c r="C558">
        <v>0.53</v>
      </c>
      <c r="D558">
        <f t="shared" si="80"/>
        <v>-16.813846054630243</v>
      </c>
      <c r="E558">
        <f t="shared" si="81"/>
        <v>13.574939643808122</v>
      </c>
      <c r="F558">
        <f t="shared" si="84"/>
        <v>0.95491437904212606</v>
      </c>
      <c r="G558">
        <f t="shared" si="85"/>
        <v>1</v>
      </c>
      <c r="H558">
        <f t="shared" si="86"/>
        <v>13.265393088963515</v>
      </c>
      <c r="K558">
        <v>0.53</v>
      </c>
      <c r="L558">
        <f t="shared" si="82"/>
        <v>-20.093846054630241</v>
      </c>
      <c r="M558">
        <f t="shared" si="83"/>
        <v>22.230454257134191</v>
      </c>
      <c r="N558">
        <f t="shared" si="87"/>
        <v>0.95612080843844693</v>
      </c>
      <c r="O558">
        <f t="shared" si="88"/>
        <v>1</v>
      </c>
      <c r="P558">
        <f t="shared" si="89"/>
        <v>21.737256103974048</v>
      </c>
    </row>
    <row r="559" spans="3:16" x14ac:dyDescent="0.25">
      <c r="C559">
        <v>0.53100000000000003</v>
      </c>
      <c r="D559">
        <f t="shared" si="80"/>
        <v>-16.776653474372164</v>
      </c>
      <c r="E559">
        <f t="shared" si="81"/>
        <v>13.567506631653711</v>
      </c>
      <c r="F559">
        <f t="shared" si="84"/>
        <v>0.95554329537386473</v>
      </c>
      <c r="G559">
        <f t="shared" si="85"/>
        <v>1</v>
      </c>
      <c r="H559">
        <f t="shared" si="86"/>
        <v>13.262494821180145</v>
      </c>
      <c r="K559">
        <v>0.53100000000000003</v>
      </c>
      <c r="L559">
        <f t="shared" si="82"/>
        <v>-20.032653474372161</v>
      </c>
      <c r="M559">
        <f t="shared" si="83"/>
        <v>22.218224796589588</v>
      </c>
      <c r="N559">
        <f t="shared" si="87"/>
        <v>0.95674346827184231</v>
      </c>
      <c r="O559">
        <f t="shared" si="88"/>
        <v>1</v>
      </c>
      <c r="P559">
        <f t="shared" si="89"/>
        <v>21.732370954069388</v>
      </c>
    </row>
    <row r="560" spans="3:16" x14ac:dyDescent="0.25">
      <c r="C560">
        <v>0.53200000000000003</v>
      </c>
      <c r="D560">
        <f t="shared" si="80"/>
        <v>-16.739460894114085</v>
      </c>
      <c r="E560">
        <f t="shared" si="81"/>
        <v>13.560073619499297</v>
      </c>
      <c r="F560">
        <f t="shared" si="84"/>
        <v>0.95616779434623722</v>
      </c>
      <c r="G560">
        <f t="shared" si="85"/>
        <v>1</v>
      </c>
      <c r="H560">
        <f t="shared" si="86"/>
        <v>13.259559706221054</v>
      </c>
      <c r="K560">
        <v>0.53200000000000003</v>
      </c>
      <c r="L560">
        <f t="shared" si="82"/>
        <v>-19.971460894114088</v>
      </c>
      <c r="M560">
        <f t="shared" si="83"/>
        <v>22.205995336044985</v>
      </c>
      <c r="N560">
        <f t="shared" si="87"/>
        <v>0.95736167860733945</v>
      </c>
      <c r="O560">
        <f t="shared" si="88"/>
        <v>1</v>
      </c>
      <c r="P560">
        <f t="shared" si="89"/>
        <v>21.727425227058227</v>
      </c>
    </row>
    <row r="561" spans="3:16" x14ac:dyDescent="0.25">
      <c r="C561">
        <v>0.53300000000000003</v>
      </c>
      <c r="D561">
        <f t="shared" si="80"/>
        <v>-16.702268313856006</v>
      </c>
      <c r="E561">
        <f t="shared" si="81"/>
        <v>13.552640607344886</v>
      </c>
      <c r="F561">
        <f t="shared" si="84"/>
        <v>0.95678787595924331</v>
      </c>
      <c r="G561">
        <f t="shared" si="85"/>
        <v>1</v>
      </c>
      <c r="H561">
        <f t="shared" si="86"/>
        <v>13.256587828205189</v>
      </c>
      <c r="K561">
        <v>0.53300000000000003</v>
      </c>
      <c r="L561">
        <f t="shared" si="82"/>
        <v>-19.910268313856008</v>
      </c>
      <c r="M561">
        <f t="shared" si="83"/>
        <v>22.193765875500382</v>
      </c>
      <c r="N561">
        <f t="shared" si="87"/>
        <v>0.95797543944493846</v>
      </c>
      <c r="O561">
        <f t="shared" si="88"/>
        <v>1</v>
      </c>
      <c r="P561">
        <f t="shared" si="89"/>
        <v>21.722419061258396</v>
      </c>
    </row>
    <row r="562" spans="3:16" x14ac:dyDescent="0.25">
      <c r="C562">
        <v>0.53400000000000003</v>
      </c>
      <c r="D562">
        <f t="shared" si="80"/>
        <v>-16.665075733597931</v>
      </c>
      <c r="E562">
        <f t="shared" si="81"/>
        <v>13.545207595190472</v>
      </c>
      <c r="F562">
        <f t="shared" si="84"/>
        <v>0.95740354021288321</v>
      </c>
      <c r="G562">
        <f t="shared" si="85"/>
        <v>1</v>
      </c>
      <c r="H562">
        <f t="shared" si="86"/>
        <v>13.253579270910055</v>
      </c>
      <c r="K562">
        <v>0.53400000000000003</v>
      </c>
      <c r="L562">
        <f t="shared" si="82"/>
        <v>-19.849075733597928</v>
      </c>
      <c r="M562">
        <f t="shared" si="83"/>
        <v>22.181536414955779</v>
      </c>
      <c r="N562">
        <f t="shared" si="87"/>
        <v>0.95858475078463934</v>
      </c>
      <c r="O562">
        <f t="shared" si="88"/>
        <v>1</v>
      </c>
      <c r="P562">
        <f t="shared" si="89"/>
        <v>21.717352594426032</v>
      </c>
    </row>
    <row r="563" spans="3:16" x14ac:dyDescent="0.25">
      <c r="C563">
        <v>0.53500000000000003</v>
      </c>
      <c r="D563">
        <f t="shared" si="80"/>
        <v>-16.627883153339852</v>
      </c>
      <c r="E563">
        <f t="shared" si="81"/>
        <v>13.537774583036061</v>
      </c>
      <c r="F563">
        <f t="shared" si="84"/>
        <v>0.95801478710715693</v>
      </c>
      <c r="G563">
        <f t="shared" si="85"/>
        <v>1</v>
      </c>
      <c r="H563">
        <f t="shared" si="86"/>
        <v>13.250534117773679</v>
      </c>
      <c r="K563">
        <v>0.53500000000000003</v>
      </c>
      <c r="L563">
        <f t="shared" si="82"/>
        <v>-19.787883153339848</v>
      </c>
      <c r="M563">
        <f t="shared" si="83"/>
        <v>22.169306954411173</v>
      </c>
      <c r="N563">
        <f t="shared" si="87"/>
        <v>0.95918961262644209</v>
      </c>
      <c r="O563">
        <f t="shared" si="88"/>
        <v>1</v>
      </c>
      <c r="P563">
        <f t="shared" si="89"/>
        <v>21.712225963758765</v>
      </c>
    </row>
    <row r="564" spans="3:16" x14ac:dyDescent="0.25">
      <c r="C564">
        <v>0.53600000000000003</v>
      </c>
      <c r="D564">
        <f t="shared" si="80"/>
        <v>-16.590690573081773</v>
      </c>
      <c r="E564">
        <f t="shared" si="81"/>
        <v>13.530341570881648</v>
      </c>
      <c r="F564">
        <f t="shared" si="84"/>
        <v>0.95862161664206436</v>
      </c>
      <c r="G564">
        <f t="shared" si="85"/>
        <v>1</v>
      </c>
      <c r="H564">
        <f t="shared" si="86"/>
        <v>13.247452451896505</v>
      </c>
      <c r="K564">
        <v>0.53600000000000003</v>
      </c>
      <c r="L564">
        <f t="shared" si="82"/>
        <v>-19.726690573081768</v>
      </c>
      <c r="M564">
        <f t="shared" si="83"/>
        <v>22.15707749386657</v>
      </c>
      <c r="N564">
        <f t="shared" si="87"/>
        <v>0.95979002497034671</v>
      </c>
      <c r="O564">
        <f t="shared" si="88"/>
        <v>1</v>
      </c>
      <c r="P564">
        <f t="shared" si="89"/>
        <v>21.707039305898903</v>
      </c>
    </row>
    <row r="565" spans="3:16" x14ac:dyDescent="0.25">
      <c r="C565">
        <v>0.53700000000000003</v>
      </c>
      <c r="D565">
        <f t="shared" si="80"/>
        <v>-16.553497992823694</v>
      </c>
      <c r="E565">
        <f t="shared" si="81"/>
        <v>13.522908558727234</v>
      </c>
      <c r="F565">
        <f t="shared" si="84"/>
        <v>0.9592240288176056</v>
      </c>
      <c r="G565">
        <f t="shared" si="85"/>
        <v>1</v>
      </c>
      <c r="H565">
        <f t="shared" si="86"/>
        <v>13.244334356043336</v>
      </c>
      <c r="K565">
        <v>0.53700000000000003</v>
      </c>
      <c r="L565">
        <f t="shared" si="82"/>
        <v>-19.665497992823695</v>
      </c>
      <c r="M565">
        <f t="shared" si="83"/>
        <v>22.144848033321967</v>
      </c>
      <c r="N565">
        <f t="shared" si="87"/>
        <v>0.96038598781635298</v>
      </c>
      <c r="O565">
        <f t="shared" si="88"/>
        <v>1</v>
      </c>
      <c r="P565">
        <f t="shared" si="89"/>
        <v>21.701792756936499</v>
      </c>
    </row>
    <row r="566" spans="3:16" x14ac:dyDescent="0.25">
      <c r="C566">
        <v>0.53800000000000003</v>
      </c>
      <c r="D566">
        <f t="shared" si="80"/>
        <v>-16.516305412565615</v>
      </c>
      <c r="E566">
        <f t="shared" si="81"/>
        <v>13.515475546572823</v>
      </c>
      <c r="F566">
        <f t="shared" si="84"/>
        <v>0.95982202363378055</v>
      </c>
      <c r="G566">
        <f t="shared" si="85"/>
        <v>1</v>
      </c>
      <c r="H566">
        <f t="shared" si="86"/>
        <v>13.241179912645189</v>
      </c>
      <c r="K566">
        <v>0.53800000000000003</v>
      </c>
      <c r="L566">
        <f t="shared" si="82"/>
        <v>-19.604305412565616</v>
      </c>
      <c r="M566">
        <f t="shared" si="83"/>
        <v>22.132618572777364</v>
      </c>
      <c r="N566">
        <f t="shared" si="87"/>
        <v>0.96097750116446135</v>
      </c>
      <c r="O566">
        <f t="shared" si="88"/>
        <v>1</v>
      </c>
      <c r="P566">
        <f t="shared" si="89"/>
        <v>21.696486452412525</v>
      </c>
    </row>
    <row r="567" spans="3:16" x14ac:dyDescent="0.25">
      <c r="C567">
        <v>0.53900000000000003</v>
      </c>
      <c r="D567">
        <f t="shared" si="80"/>
        <v>-16.479112832307536</v>
      </c>
      <c r="E567">
        <f t="shared" si="81"/>
        <v>13.50804253441841</v>
      </c>
      <c r="F567">
        <f t="shared" si="84"/>
        <v>0.96041560109058932</v>
      </c>
      <c r="G567">
        <f t="shared" si="85"/>
        <v>1</v>
      </c>
      <c r="H567">
        <f t="shared" si="86"/>
        <v>13.237989203801181</v>
      </c>
      <c r="K567">
        <v>0.53900000000000003</v>
      </c>
      <c r="L567">
        <f t="shared" si="82"/>
        <v>-19.543112832307536</v>
      </c>
      <c r="M567">
        <f t="shared" si="83"/>
        <v>22.120389112232761</v>
      </c>
      <c r="N567">
        <f t="shared" si="87"/>
        <v>0.96156456501467136</v>
      </c>
      <c r="O567">
        <f t="shared" si="88"/>
        <v>1</v>
      </c>
      <c r="P567">
        <f t="shared" si="89"/>
        <v>21.691120527321882</v>
      </c>
    </row>
    <row r="568" spans="3:16" x14ac:dyDescent="0.25">
      <c r="C568">
        <v>0.54</v>
      </c>
      <c r="D568">
        <f t="shared" si="80"/>
        <v>-16.441920252049457</v>
      </c>
      <c r="E568">
        <f t="shared" si="81"/>
        <v>13.500609522263998</v>
      </c>
      <c r="F568">
        <f t="shared" si="84"/>
        <v>0.9610047611880318</v>
      </c>
      <c r="G568">
        <f t="shared" si="85"/>
        <v>1</v>
      </c>
      <c r="H568">
        <f t="shared" si="86"/>
        <v>13.234762311280399</v>
      </c>
      <c r="K568">
        <v>0.54</v>
      </c>
      <c r="L568">
        <f t="shared" si="82"/>
        <v>-19.481920252049456</v>
      </c>
      <c r="M568">
        <f t="shared" si="83"/>
        <v>22.108159651688158</v>
      </c>
      <c r="N568">
        <f t="shared" si="87"/>
        <v>0.96214717936698335</v>
      </c>
      <c r="O568">
        <f t="shared" si="88"/>
        <v>1</v>
      </c>
      <c r="P568">
        <f t="shared" si="89"/>
        <v>21.685695116116484</v>
      </c>
    </row>
    <row r="569" spans="3:16" x14ac:dyDescent="0.25">
      <c r="C569">
        <v>0.54100000000000004</v>
      </c>
      <c r="D569">
        <f t="shared" si="80"/>
        <v>-16.404727671791377</v>
      </c>
      <c r="E569">
        <f t="shared" si="81"/>
        <v>13.493176510109585</v>
      </c>
      <c r="F569">
        <f t="shared" si="84"/>
        <v>0.96158950392610809</v>
      </c>
      <c r="G569">
        <f t="shared" si="85"/>
        <v>1</v>
      </c>
      <c r="H569">
        <f t="shared" si="86"/>
        <v>13.231499316523713</v>
      </c>
      <c r="K569">
        <v>0.54100000000000004</v>
      </c>
      <c r="L569">
        <f t="shared" si="82"/>
        <v>-19.420727671791376</v>
      </c>
      <c r="M569">
        <f t="shared" si="83"/>
        <v>22.095930191143552</v>
      </c>
      <c r="N569">
        <f t="shared" si="87"/>
        <v>0.96272534422139722</v>
      </c>
      <c r="O569">
        <f t="shared" si="88"/>
        <v>1</v>
      </c>
      <c r="P569">
        <f t="shared" si="89"/>
        <v>21.680210352708269</v>
      </c>
    </row>
    <row r="570" spans="3:16" x14ac:dyDescent="0.25">
      <c r="C570">
        <v>0.54200000000000004</v>
      </c>
      <c r="D570">
        <f t="shared" si="80"/>
        <v>-16.367535091533302</v>
      </c>
      <c r="E570">
        <f t="shared" si="81"/>
        <v>13.485743497955173</v>
      </c>
      <c r="F570">
        <f t="shared" si="84"/>
        <v>0.96216982930481798</v>
      </c>
      <c r="G570">
        <f t="shared" si="85"/>
        <v>1</v>
      </c>
      <c r="H570">
        <f t="shared" si="86"/>
        <v>13.228200300645623</v>
      </c>
      <c r="K570">
        <v>0.54200000000000004</v>
      </c>
      <c r="L570">
        <f t="shared" si="82"/>
        <v>-19.359535091533303</v>
      </c>
      <c r="M570">
        <f t="shared" si="83"/>
        <v>22.083700730598952</v>
      </c>
      <c r="N570">
        <f t="shared" si="87"/>
        <v>0.96329905957791273</v>
      </c>
      <c r="O570">
        <f t="shared" si="88"/>
        <v>1</v>
      </c>
      <c r="P570">
        <f t="shared" si="89"/>
        <v>21.674666370472202</v>
      </c>
    </row>
    <row r="571" spans="3:16" x14ac:dyDescent="0.25">
      <c r="C571">
        <v>0.54300000000000004</v>
      </c>
      <c r="D571">
        <f t="shared" si="80"/>
        <v>-16.330342511275223</v>
      </c>
      <c r="E571">
        <f t="shared" si="81"/>
        <v>13.47831048580076</v>
      </c>
      <c r="F571">
        <f t="shared" si="84"/>
        <v>0.9627457373241618</v>
      </c>
      <c r="G571">
        <f t="shared" si="85"/>
        <v>1</v>
      </c>
      <c r="H571">
        <f t="shared" si="86"/>
        <v>13.224865344436065</v>
      </c>
      <c r="K571">
        <v>0.54300000000000004</v>
      </c>
      <c r="L571">
        <f t="shared" si="82"/>
        <v>-19.298342511275223</v>
      </c>
      <c r="M571">
        <f t="shared" si="83"/>
        <v>22.071471270054346</v>
      </c>
      <c r="N571">
        <f t="shared" si="87"/>
        <v>0.96386832543653023</v>
      </c>
      <c r="O571">
        <f t="shared" si="88"/>
        <v>1</v>
      </c>
      <c r="P571">
        <f t="shared" si="89"/>
        <v>21.669063302249224</v>
      </c>
    </row>
    <row r="572" spans="3:16" x14ac:dyDescent="0.25">
      <c r="C572">
        <v>0.54400000000000004</v>
      </c>
      <c r="D572">
        <f t="shared" si="80"/>
        <v>-16.293149931017144</v>
      </c>
      <c r="E572">
        <f t="shared" si="81"/>
        <v>13.470877473646347</v>
      </c>
      <c r="F572">
        <f t="shared" si="84"/>
        <v>0.96331722798413932</v>
      </c>
      <c r="G572">
        <f t="shared" si="85"/>
        <v>1</v>
      </c>
      <c r="H572">
        <f t="shared" si="86"/>
        <v>13.221494528362189</v>
      </c>
      <c r="K572">
        <v>0.54400000000000004</v>
      </c>
      <c r="L572">
        <f t="shared" si="82"/>
        <v>-19.237149931017143</v>
      </c>
      <c r="M572">
        <f t="shared" si="83"/>
        <v>22.059241809509743</v>
      </c>
      <c r="N572">
        <f t="shared" si="87"/>
        <v>0.96443314179724959</v>
      </c>
      <c r="O572">
        <f t="shared" si="88"/>
        <v>1</v>
      </c>
      <c r="P572">
        <f t="shared" si="89"/>
        <v>21.663401280349223</v>
      </c>
    </row>
    <row r="573" spans="3:16" x14ac:dyDescent="0.25">
      <c r="C573">
        <v>0.54500000000000004</v>
      </c>
      <c r="D573">
        <f t="shared" si="80"/>
        <v>-16.255957350759065</v>
      </c>
      <c r="E573">
        <f t="shared" si="81"/>
        <v>13.463444461491935</v>
      </c>
      <c r="F573">
        <f t="shared" si="84"/>
        <v>0.96388430128475056</v>
      </c>
      <c r="G573">
        <f t="shared" si="85"/>
        <v>1</v>
      </c>
      <c r="H573">
        <f t="shared" si="86"/>
        <v>13.21808793257016</v>
      </c>
      <c r="K573">
        <v>0.54500000000000004</v>
      </c>
      <c r="L573">
        <f t="shared" si="82"/>
        <v>-19.175957350759063</v>
      </c>
      <c r="M573">
        <f t="shared" si="83"/>
        <v>22.04701234896514</v>
      </c>
      <c r="N573">
        <f t="shared" si="87"/>
        <v>0.96499350866007083</v>
      </c>
      <c r="O573">
        <f t="shared" si="88"/>
        <v>1</v>
      </c>
      <c r="P573">
        <f t="shared" si="89"/>
        <v>21.657680436553932</v>
      </c>
    </row>
    <row r="574" spans="3:16" x14ac:dyDescent="0.25">
      <c r="C574">
        <v>0.54600000000000004</v>
      </c>
      <c r="D574">
        <f t="shared" si="80"/>
        <v>-16.218764770500986</v>
      </c>
      <c r="E574">
        <f t="shared" si="81"/>
        <v>13.456011449337522</v>
      </c>
      <c r="F574">
        <f t="shared" si="84"/>
        <v>0.9644469572259956</v>
      </c>
      <c r="G574">
        <f t="shared" si="85"/>
        <v>1</v>
      </c>
      <c r="H574">
        <f t="shared" si="86"/>
        <v>13.214645636886907</v>
      </c>
      <c r="K574">
        <v>0.54600000000000004</v>
      </c>
      <c r="L574">
        <f t="shared" si="82"/>
        <v>-19.114764770500983</v>
      </c>
      <c r="M574">
        <f t="shared" si="83"/>
        <v>22.034782888420537</v>
      </c>
      <c r="N574">
        <f t="shared" si="87"/>
        <v>0.96554942602499383</v>
      </c>
      <c r="O574">
        <f t="shared" si="88"/>
        <v>1</v>
      </c>
      <c r="P574">
        <f t="shared" si="89"/>
        <v>21.651900902119831</v>
      </c>
    </row>
    <row r="575" spans="3:16" x14ac:dyDescent="0.25">
      <c r="C575">
        <v>0.54700000000000004</v>
      </c>
      <c r="D575">
        <f t="shared" si="80"/>
        <v>-16.181572190242907</v>
      </c>
      <c r="E575">
        <f t="shared" si="81"/>
        <v>13.448578437183109</v>
      </c>
      <c r="F575">
        <f t="shared" si="84"/>
        <v>0.96500519580787447</v>
      </c>
      <c r="G575">
        <f t="shared" si="85"/>
        <v>1</v>
      </c>
      <c r="H575">
        <f t="shared" si="86"/>
        <v>13.211167720821871</v>
      </c>
      <c r="K575">
        <v>0.54700000000000004</v>
      </c>
      <c r="L575">
        <f t="shared" si="82"/>
        <v>-19.053572190242903</v>
      </c>
      <c r="M575">
        <f t="shared" si="83"/>
        <v>22.022553427875934</v>
      </c>
      <c r="N575">
        <f t="shared" si="87"/>
        <v>0.9661008938920187</v>
      </c>
      <c r="O575">
        <f t="shared" si="88"/>
        <v>1</v>
      </c>
      <c r="P575">
        <f t="shared" si="89"/>
        <v>21.646062807781014</v>
      </c>
    </row>
    <row r="576" spans="3:16" x14ac:dyDescent="0.25">
      <c r="C576">
        <v>0.54800000000000004</v>
      </c>
      <c r="D576">
        <f t="shared" si="80"/>
        <v>-16.144379609984828</v>
      </c>
      <c r="E576">
        <f t="shared" si="81"/>
        <v>13.441145425028697</v>
      </c>
      <c r="F576">
        <f t="shared" si="84"/>
        <v>0.96555901703038693</v>
      </c>
      <c r="G576">
        <f t="shared" si="85"/>
        <v>1</v>
      </c>
      <c r="H576">
        <f t="shared" si="86"/>
        <v>13.207654263568745</v>
      </c>
      <c r="K576">
        <v>0.54800000000000004</v>
      </c>
      <c r="L576">
        <f t="shared" si="82"/>
        <v>-18.99237960998483</v>
      </c>
      <c r="M576">
        <f t="shared" si="83"/>
        <v>22.010323967331331</v>
      </c>
      <c r="N576">
        <f t="shared" si="87"/>
        <v>0.96664791226114533</v>
      </c>
      <c r="O576">
        <f t="shared" si="88"/>
        <v>1</v>
      </c>
      <c r="P576">
        <f t="shared" si="89"/>
        <v>21.640166283752038</v>
      </c>
    </row>
    <row r="577" spans="3:16" x14ac:dyDescent="0.25">
      <c r="C577">
        <v>0.54900000000000004</v>
      </c>
      <c r="D577">
        <f t="shared" si="80"/>
        <v>-16.107187029726752</v>
      </c>
      <c r="E577">
        <f t="shared" si="81"/>
        <v>13.433712412874286</v>
      </c>
      <c r="F577">
        <f t="shared" si="84"/>
        <v>0.96610842089353322</v>
      </c>
      <c r="G577">
        <f t="shared" si="85"/>
        <v>1</v>
      </c>
      <c r="H577">
        <f t="shared" si="86"/>
        <v>13.204105344007187</v>
      </c>
      <c r="K577">
        <v>0.54900000000000004</v>
      </c>
      <c r="L577">
        <f t="shared" si="82"/>
        <v>-18.93118702972675</v>
      </c>
      <c r="M577">
        <f t="shared" si="83"/>
        <v>21.998094506786728</v>
      </c>
      <c r="N577">
        <f t="shared" si="87"/>
        <v>0.96719048113237394</v>
      </c>
      <c r="O577">
        <f t="shared" si="88"/>
        <v>1</v>
      </c>
      <c r="P577">
        <f t="shared" si="89"/>
        <v>21.634211459730732</v>
      </c>
    </row>
    <row r="578" spans="3:16" x14ac:dyDescent="0.25">
      <c r="C578">
        <v>0.55000000000000004</v>
      </c>
      <c r="D578">
        <f t="shared" si="80"/>
        <v>-16.069994449468673</v>
      </c>
      <c r="E578">
        <f t="shared" si="81"/>
        <v>13.426279400719872</v>
      </c>
      <c r="F578">
        <f t="shared" si="84"/>
        <v>0.96665340739731331</v>
      </c>
      <c r="G578">
        <f t="shared" si="85"/>
        <v>1</v>
      </c>
      <c r="H578">
        <f t="shared" si="86"/>
        <v>13.200521040704521</v>
      </c>
      <c r="K578">
        <v>0.55000000000000004</v>
      </c>
      <c r="L578">
        <f t="shared" si="82"/>
        <v>-18.86999444946867</v>
      </c>
      <c r="M578">
        <f t="shared" si="83"/>
        <v>21.985865046242125</v>
      </c>
      <c r="N578">
        <f t="shared" si="87"/>
        <v>0.96772860050570431</v>
      </c>
      <c r="O578">
        <f t="shared" si="88"/>
        <v>1</v>
      </c>
      <c r="P578">
        <f t="shared" si="89"/>
        <v>21.628198464901008</v>
      </c>
    </row>
    <row r="579" spans="3:16" x14ac:dyDescent="0.25">
      <c r="C579">
        <v>0.55100000000000005</v>
      </c>
      <c r="D579">
        <f t="shared" si="80"/>
        <v>-16.032801869210594</v>
      </c>
      <c r="E579">
        <f t="shared" si="81"/>
        <v>13.418846388565459</v>
      </c>
      <c r="F579">
        <f t="shared" si="84"/>
        <v>0.96719397654172712</v>
      </c>
      <c r="G579">
        <f t="shared" si="85"/>
        <v>1</v>
      </c>
      <c r="H579">
        <f t="shared" si="86"/>
        <v>13.196901431917434</v>
      </c>
      <c r="K579">
        <v>0.55100000000000005</v>
      </c>
      <c r="L579">
        <f t="shared" si="82"/>
        <v>-18.80880186921059</v>
      </c>
      <c r="M579">
        <f t="shared" si="83"/>
        <v>21.973635585697522</v>
      </c>
      <c r="N579">
        <f t="shared" si="87"/>
        <v>0.96826227038113655</v>
      </c>
      <c r="O579">
        <f t="shared" si="88"/>
        <v>1</v>
      </c>
      <c r="P579">
        <f t="shared" si="89"/>
        <v>21.622127427935613</v>
      </c>
    </row>
    <row r="580" spans="3:16" x14ac:dyDescent="0.25">
      <c r="C580">
        <v>0.55200000000000005</v>
      </c>
      <c r="D580">
        <f t="shared" si="80"/>
        <v>-15.995609288952515</v>
      </c>
      <c r="E580">
        <f t="shared" si="81"/>
        <v>13.411413376411048</v>
      </c>
      <c r="F580">
        <f t="shared" si="84"/>
        <v>0.96773012832677474</v>
      </c>
      <c r="G580">
        <f t="shared" si="85"/>
        <v>1</v>
      </c>
      <c r="H580">
        <f t="shared" si="86"/>
        <v>13.193246595593648</v>
      </c>
      <c r="K580">
        <v>0.55200000000000005</v>
      </c>
      <c r="L580">
        <f t="shared" si="82"/>
        <v>-18.747609288952511</v>
      </c>
      <c r="M580">
        <f t="shared" si="83"/>
        <v>21.961406125152919</v>
      </c>
      <c r="N580">
        <f t="shared" si="87"/>
        <v>0.96879149075867066</v>
      </c>
      <c r="O580">
        <f t="shared" si="88"/>
        <v>1</v>
      </c>
      <c r="P580">
        <f t="shared" si="89"/>
        <v>21.6159984769989</v>
      </c>
    </row>
    <row r="581" spans="3:16" x14ac:dyDescent="0.25">
      <c r="C581">
        <v>0.55300000000000005</v>
      </c>
      <c r="D581">
        <f t="shared" si="80"/>
        <v>-15.958416708694436</v>
      </c>
      <c r="E581">
        <f t="shared" si="81"/>
        <v>13.403980364256634</v>
      </c>
      <c r="F581">
        <f t="shared" si="84"/>
        <v>0.96826186275245607</v>
      </c>
      <c r="G581">
        <f t="shared" si="85"/>
        <v>1</v>
      </c>
      <c r="H581">
        <f t="shared" si="86"/>
        <v>13.189556609373572</v>
      </c>
      <c r="K581">
        <v>0.55300000000000005</v>
      </c>
      <c r="L581">
        <f t="shared" si="82"/>
        <v>-18.686416708694438</v>
      </c>
      <c r="M581">
        <f t="shared" si="83"/>
        <v>21.949176664608316</v>
      </c>
      <c r="N581">
        <f t="shared" si="87"/>
        <v>0.96931626163830653</v>
      </c>
      <c r="O581">
        <f t="shared" si="88"/>
        <v>1</v>
      </c>
      <c r="P581">
        <f t="shared" si="89"/>
        <v>21.609811739749524</v>
      </c>
    </row>
    <row r="582" spans="3:16" x14ac:dyDescent="0.25">
      <c r="C582">
        <v>0.55400000000000005</v>
      </c>
      <c r="D582">
        <f t="shared" si="80"/>
        <v>-15.921224128436357</v>
      </c>
      <c r="E582">
        <f t="shared" si="81"/>
        <v>13.396547352102221</v>
      </c>
      <c r="F582">
        <f t="shared" si="84"/>
        <v>0.96878917981877122</v>
      </c>
      <c r="G582">
        <f t="shared" si="85"/>
        <v>1</v>
      </c>
      <c r="H582">
        <f t="shared" si="86"/>
        <v>13.18583155059196</v>
      </c>
      <c r="K582">
        <v>0.55400000000000005</v>
      </c>
      <c r="L582">
        <f t="shared" si="82"/>
        <v>-18.625224128436358</v>
      </c>
      <c r="M582">
        <f t="shared" si="83"/>
        <v>21.936947204063713</v>
      </c>
      <c r="N582">
        <f t="shared" si="87"/>
        <v>0.96983658302004438</v>
      </c>
      <c r="O582">
        <f t="shared" si="88"/>
        <v>1</v>
      </c>
      <c r="P582">
        <f t="shared" si="89"/>
        <v>21.60356734334318</v>
      </c>
    </row>
    <row r="583" spans="3:16" x14ac:dyDescent="0.25">
      <c r="C583">
        <v>0.55500000000000005</v>
      </c>
      <c r="D583">
        <f t="shared" si="80"/>
        <v>-15.884031548178278</v>
      </c>
      <c r="E583">
        <f t="shared" si="81"/>
        <v>13.38911433994781</v>
      </c>
      <c r="F583">
        <f t="shared" si="84"/>
        <v>0.96931207952572007</v>
      </c>
      <c r="G583">
        <f t="shared" si="85"/>
        <v>1</v>
      </c>
      <c r="H583">
        <f t="shared" si="86"/>
        <v>13.182071496279535</v>
      </c>
      <c r="K583">
        <v>0.55500000000000005</v>
      </c>
      <c r="L583">
        <f t="shared" si="82"/>
        <v>-18.564031548178278</v>
      </c>
      <c r="M583">
        <f t="shared" si="83"/>
        <v>21.924717743519111</v>
      </c>
      <c r="N583">
        <f t="shared" si="87"/>
        <v>0.970352454903884</v>
      </c>
      <c r="O583">
        <f t="shared" si="88"/>
        <v>1</v>
      </c>
      <c r="P583">
        <f t="shared" si="89"/>
        <v>21.597265414435242</v>
      </c>
    </row>
    <row r="584" spans="3:16" x14ac:dyDescent="0.25">
      <c r="C584">
        <v>0.55600000000000005</v>
      </c>
      <c r="D584">
        <f t="shared" si="80"/>
        <v>-15.846838967920199</v>
      </c>
      <c r="E584">
        <f t="shared" si="81"/>
        <v>13.381681327793396</v>
      </c>
      <c r="F584">
        <f t="shared" si="84"/>
        <v>0.96983056187330274</v>
      </c>
      <c r="G584">
        <f t="shared" si="85"/>
        <v>1</v>
      </c>
      <c r="H584">
        <f t="shared" si="86"/>
        <v>13.178276523164611</v>
      </c>
      <c r="K584">
        <v>0.55600000000000005</v>
      </c>
      <c r="L584">
        <f t="shared" si="82"/>
        <v>-18.502838967920198</v>
      </c>
      <c r="M584">
        <f t="shared" si="83"/>
        <v>21.912488282974504</v>
      </c>
      <c r="N584">
        <f t="shared" si="87"/>
        <v>0.97086387728982548</v>
      </c>
      <c r="O584">
        <f t="shared" si="88"/>
        <v>1</v>
      </c>
      <c r="P584">
        <f t="shared" si="89"/>
        <v>21.590906079183444</v>
      </c>
    </row>
    <row r="585" spans="3:16" x14ac:dyDescent="0.25">
      <c r="C585">
        <v>0.55700000000000005</v>
      </c>
      <c r="D585">
        <f t="shared" si="80"/>
        <v>-15.809646387662124</v>
      </c>
      <c r="E585">
        <f t="shared" si="81"/>
        <v>13.374248315638985</v>
      </c>
      <c r="F585">
        <f t="shared" si="84"/>
        <v>0.97034462686151901</v>
      </c>
      <c r="G585">
        <f t="shared" si="85"/>
        <v>1</v>
      </c>
      <c r="H585">
        <f t="shared" si="86"/>
        <v>13.174446707674694</v>
      </c>
      <c r="K585">
        <v>0.55700000000000005</v>
      </c>
      <c r="L585">
        <f t="shared" si="82"/>
        <v>-18.441646387662118</v>
      </c>
      <c r="M585">
        <f t="shared" si="83"/>
        <v>21.900258822429901</v>
      </c>
      <c r="N585">
        <f t="shared" si="87"/>
        <v>0.97137085017786873</v>
      </c>
      <c r="O585">
        <f t="shared" si="88"/>
        <v>1</v>
      </c>
      <c r="P585">
        <f t="shared" si="89"/>
        <v>21.58448946325051</v>
      </c>
    </row>
    <row r="586" spans="3:16" x14ac:dyDescent="0.25">
      <c r="C586">
        <v>0.55800000000000005</v>
      </c>
      <c r="D586">
        <f t="shared" si="80"/>
        <v>-15.772453807404045</v>
      </c>
      <c r="E586">
        <f t="shared" si="81"/>
        <v>13.366815303484572</v>
      </c>
      <c r="F586">
        <f t="shared" si="84"/>
        <v>0.97085427449036921</v>
      </c>
      <c r="G586">
        <f t="shared" si="85"/>
        <v>1</v>
      </c>
      <c r="H586">
        <f t="shared" si="86"/>
        <v>13.170582125938076</v>
      </c>
      <c r="K586">
        <v>0.55800000000000005</v>
      </c>
      <c r="L586">
        <f t="shared" si="82"/>
        <v>-18.380453807404045</v>
      </c>
      <c r="M586">
        <f t="shared" si="83"/>
        <v>21.888029361885302</v>
      </c>
      <c r="N586">
        <f t="shared" si="87"/>
        <v>0.97187337356801384</v>
      </c>
      <c r="O586">
        <f t="shared" si="88"/>
        <v>1</v>
      </c>
      <c r="P586">
        <f t="shared" si="89"/>
        <v>21.578015691806758</v>
      </c>
    </row>
    <row r="587" spans="3:16" x14ac:dyDescent="0.25">
      <c r="C587">
        <v>0.55900000000000005</v>
      </c>
      <c r="D587">
        <f t="shared" si="80"/>
        <v>-15.735261227145966</v>
      </c>
      <c r="E587">
        <f t="shared" si="81"/>
        <v>13.35938229133016</v>
      </c>
      <c r="F587">
        <f t="shared" si="84"/>
        <v>0.97135950475985311</v>
      </c>
      <c r="G587">
        <f t="shared" si="85"/>
        <v>1</v>
      </c>
      <c r="H587">
        <f t="shared" si="86"/>
        <v>13.166682853785415</v>
      </c>
      <c r="K587">
        <v>0.55900000000000005</v>
      </c>
      <c r="L587">
        <f t="shared" si="82"/>
        <v>-18.319261227145965</v>
      </c>
      <c r="M587">
        <f t="shared" si="83"/>
        <v>21.875799901340695</v>
      </c>
      <c r="N587">
        <f t="shared" si="87"/>
        <v>0.97237144746026083</v>
      </c>
      <c r="O587">
        <f t="shared" si="88"/>
        <v>1</v>
      </c>
      <c r="P587">
        <f t="shared" si="89"/>
        <v>21.571484889532673</v>
      </c>
    </row>
    <row r="588" spans="3:16" x14ac:dyDescent="0.25">
      <c r="C588">
        <v>0.56000000000000005</v>
      </c>
      <c r="D588">
        <f t="shared" si="80"/>
        <v>-15.698068646887887</v>
      </c>
      <c r="E588">
        <f t="shared" si="81"/>
        <v>13.351949279175747</v>
      </c>
      <c r="F588">
        <f t="shared" si="84"/>
        <v>0.97186031766997072</v>
      </c>
      <c r="G588">
        <f t="shared" si="85"/>
        <v>1</v>
      </c>
      <c r="H588">
        <f t="shared" si="86"/>
        <v>13.162748966751286</v>
      </c>
      <c r="K588">
        <v>0.56000000000000005</v>
      </c>
      <c r="L588">
        <f t="shared" si="82"/>
        <v>-18.258068646887885</v>
      </c>
      <c r="M588">
        <f t="shared" si="83"/>
        <v>21.863570440796092</v>
      </c>
      <c r="N588">
        <f t="shared" si="87"/>
        <v>0.97286507185460969</v>
      </c>
      <c r="O588">
        <f t="shared" si="88"/>
        <v>1</v>
      </c>
      <c r="P588">
        <f t="shared" si="89"/>
        <v>21.564897180621514</v>
      </c>
    </row>
    <row r="589" spans="3:16" x14ac:dyDescent="0.25">
      <c r="C589">
        <v>0.56100000000000005</v>
      </c>
      <c r="D589">
        <f t="shared" si="80"/>
        <v>-15.660876066629807</v>
      </c>
      <c r="E589">
        <f t="shared" si="81"/>
        <v>13.344516267021334</v>
      </c>
      <c r="F589">
        <f t="shared" si="84"/>
        <v>0.97235671322072215</v>
      </c>
      <c r="G589">
        <f t="shared" si="85"/>
        <v>1</v>
      </c>
      <c r="H589">
        <f t="shared" si="86"/>
        <v>13.158780540075751</v>
      </c>
      <c r="K589">
        <v>0.56100000000000005</v>
      </c>
      <c r="L589">
        <f t="shared" si="82"/>
        <v>-18.196876066629805</v>
      </c>
      <c r="M589">
        <f t="shared" si="83"/>
        <v>21.851340980251489</v>
      </c>
      <c r="N589">
        <f t="shared" si="87"/>
        <v>0.97335424675106041</v>
      </c>
      <c r="O589">
        <f t="shared" si="88"/>
        <v>1</v>
      </c>
      <c r="P589">
        <f t="shared" si="89"/>
        <v>21.558252688781817</v>
      </c>
    </row>
    <row r="590" spans="3:16" x14ac:dyDescent="0.25">
      <c r="C590">
        <v>0.56200000000000006</v>
      </c>
      <c r="D590">
        <f t="shared" si="80"/>
        <v>-15.623683486371728</v>
      </c>
      <c r="E590">
        <f t="shared" si="81"/>
        <v>13.337083254866922</v>
      </c>
      <c r="F590">
        <f t="shared" si="84"/>
        <v>0.97284869141210739</v>
      </c>
      <c r="G590">
        <f t="shared" si="85"/>
        <v>1</v>
      </c>
      <c r="H590">
        <f t="shared" si="86"/>
        <v>13.154777648705878</v>
      </c>
      <c r="K590">
        <v>0.56200000000000006</v>
      </c>
      <c r="L590">
        <f t="shared" si="82"/>
        <v>-18.135683486371725</v>
      </c>
      <c r="M590">
        <f t="shared" si="83"/>
        <v>21.839111519706883</v>
      </c>
      <c r="N590">
        <f t="shared" si="87"/>
        <v>0.97383897214961301</v>
      </c>
      <c r="O590">
        <f t="shared" si="88"/>
        <v>1</v>
      </c>
      <c r="P590">
        <f t="shared" si="89"/>
        <v>21.551551537239934</v>
      </c>
    </row>
    <row r="591" spans="3:16" x14ac:dyDescent="0.25">
      <c r="C591">
        <v>0.56299999999999994</v>
      </c>
      <c r="D591">
        <f t="shared" si="80"/>
        <v>-15.586490906113657</v>
      </c>
      <c r="E591">
        <f t="shared" si="81"/>
        <v>13.329650242712511</v>
      </c>
      <c r="F591">
        <f t="shared" si="84"/>
        <v>0.97333625224412623</v>
      </c>
      <c r="G591">
        <f t="shared" si="85"/>
        <v>1</v>
      </c>
      <c r="H591">
        <f t="shared" si="86"/>
        <v>13.150740367297272</v>
      </c>
      <c r="K591">
        <v>0.56299999999999994</v>
      </c>
      <c r="L591">
        <f t="shared" si="82"/>
        <v>-18.07449090611366</v>
      </c>
      <c r="M591">
        <f t="shared" si="83"/>
        <v>21.826882059162283</v>
      </c>
      <c r="N591">
        <f t="shared" si="87"/>
        <v>0.97431924805026726</v>
      </c>
      <c r="O591">
        <f t="shared" si="88"/>
        <v>1</v>
      </c>
      <c r="P591">
        <f t="shared" si="89"/>
        <v>21.544793848742536</v>
      </c>
    </row>
    <row r="592" spans="3:16" x14ac:dyDescent="0.25">
      <c r="C592">
        <v>0.56399999999999995</v>
      </c>
      <c r="D592">
        <f t="shared" si="80"/>
        <v>-15.549298325855577</v>
      </c>
      <c r="E592">
        <f t="shared" si="81"/>
        <v>13.322217230558099</v>
      </c>
      <c r="F592">
        <f t="shared" si="84"/>
        <v>0.97381939571677889</v>
      </c>
      <c r="G592">
        <f t="shared" si="85"/>
        <v>1</v>
      </c>
      <c r="H592">
        <f t="shared" si="86"/>
        <v>13.146668770215596</v>
      </c>
      <c r="K592">
        <v>0.56399999999999995</v>
      </c>
      <c r="L592">
        <f t="shared" si="82"/>
        <v>-18.01329832585558</v>
      </c>
      <c r="M592">
        <f t="shared" si="83"/>
        <v>21.81465259861768</v>
      </c>
      <c r="N592">
        <f t="shared" si="87"/>
        <v>0.97479507445302349</v>
      </c>
      <c r="O592">
        <f t="shared" si="88"/>
        <v>1</v>
      </c>
      <c r="P592">
        <f t="shared" si="89"/>
        <v>21.537979745559088</v>
      </c>
    </row>
    <row r="593" spans="3:16" x14ac:dyDescent="0.25">
      <c r="C593">
        <v>0.56499999999999995</v>
      </c>
      <c r="D593">
        <f t="shared" si="80"/>
        <v>-15.512105745597498</v>
      </c>
      <c r="E593">
        <f t="shared" si="81"/>
        <v>13.314784218403686</v>
      </c>
      <c r="F593">
        <f t="shared" si="84"/>
        <v>0.97429812183006537</v>
      </c>
      <c r="G593">
        <f t="shared" si="85"/>
        <v>1</v>
      </c>
      <c r="H593">
        <f t="shared" si="86"/>
        <v>13.142562931538047</v>
      </c>
      <c r="K593">
        <v>0.56499999999999995</v>
      </c>
      <c r="L593">
        <f t="shared" si="82"/>
        <v>-17.9521057455975</v>
      </c>
      <c r="M593">
        <f t="shared" si="83"/>
        <v>21.802423138073078</v>
      </c>
      <c r="N593">
        <f t="shared" si="87"/>
        <v>0.97526645135788159</v>
      </c>
      <c r="O593">
        <f t="shared" si="88"/>
        <v>1</v>
      </c>
      <c r="P593">
        <f t="shared" si="89"/>
        <v>21.531109349484304</v>
      </c>
    </row>
    <row r="594" spans="3:16" x14ac:dyDescent="0.25">
      <c r="C594">
        <v>0.56599999999999995</v>
      </c>
      <c r="D594">
        <f t="shared" si="80"/>
        <v>-15.474913165339419</v>
      </c>
      <c r="E594">
        <f t="shared" si="81"/>
        <v>13.307351206249272</v>
      </c>
      <c r="F594">
        <f t="shared" si="84"/>
        <v>0.97477243058398555</v>
      </c>
      <c r="G594">
        <f t="shared" si="85"/>
        <v>1</v>
      </c>
      <c r="H594">
        <f t="shared" si="86"/>
        <v>13.138422925054869</v>
      </c>
      <c r="K594">
        <v>0.56599999999999995</v>
      </c>
      <c r="L594">
        <f t="shared" si="82"/>
        <v>-17.89091316533942</v>
      </c>
      <c r="M594">
        <f t="shared" si="83"/>
        <v>21.790193677528475</v>
      </c>
      <c r="N594">
        <f t="shared" si="87"/>
        <v>0.97573337876484145</v>
      </c>
      <c r="O594">
        <f t="shared" si="88"/>
        <v>1</v>
      </c>
      <c r="P594">
        <f t="shared" si="89"/>
        <v>21.524182781840594</v>
      </c>
    </row>
    <row r="595" spans="3:16" x14ac:dyDescent="0.25">
      <c r="C595">
        <v>0.56699999999999995</v>
      </c>
      <c r="D595">
        <f t="shared" si="80"/>
        <v>-15.43772058508134</v>
      </c>
      <c r="E595">
        <f t="shared" si="81"/>
        <v>13.299918194094861</v>
      </c>
      <c r="F595">
        <f t="shared" si="84"/>
        <v>0.97524232197853955</v>
      </c>
      <c r="G595">
        <f t="shared" si="85"/>
        <v>1</v>
      </c>
      <c r="H595">
        <f t="shared" si="86"/>
        <v>13.134248824270804</v>
      </c>
      <c r="K595">
        <v>0.56699999999999995</v>
      </c>
      <c r="L595">
        <f t="shared" si="82"/>
        <v>-17.82972058508134</v>
      </c>
      <c r="M595">
        <f t="shared" si="83"/>
        <v>21.777964216983868</v>
      </c>
      <c r="N595">
        <f t="shared" si="87"/>
        <v>0.97619585667390329</v>
      </c>
      <c r="O595">
        <f t="shared" si="88"/>
        <v>1</v>
      </c>
      <c r="P595">
        <f t="shared" si="89"/>
        <v>21.517200163480471</v>
      </c>
    </row>
    <row r="596" spans="3:16" x14ac:dyDescent="0.25">
      <c r="C596">
        <v>0.56799999999999995</v>
      </c>
      <c r="D596">
        <f t="shared" si="80"/>
        <v>-15.400528004823261</v>
      </c>
      <c r="E596">
        <f t="shared" si="81"/>
        <v>13.292485181940448</v>
      </c>
      <c r="F596">
        <f t="shared" si="84"/>
        <v>0.97570779601372726</v>
      </c>
      <c r="G596">
        <f t="shared" si="85"/>
        <v>1</v>
      </c>
      <c r="H596">
        <f t="shared" si="86"/>
        <v>13.130040702406564</v>
      </c>
      <c r="K596">
        <v>0.56799999999999995</v>
      </c>
      <c r="L596">
        <f t="shared" si="82"/>
        <v>-17.76852800482326</v>
      </c>
      <c r="M596">
        <f t="shared" si="83"/>
        <v>21.765734756439265</v>
      </c>
      <c r="N596">
        <f t="shared" si="87"/>
        <v>0.9766538850850669</v>
      </c>
      <c r="O596">
        <f t="shared" si="88"/>
        <v>1</v>
      </c>
      <c r="P596">
        <f t="shared" si="89"/>
        <v>21.510161614788956</v>
      </c>
    </row>
    <row r="597" spans="3:16" x14ac:dyDescent="0.25">
      <c r="C597">
        <v>0.56899999999999995</v>
      </c>
      <c r="D597">
        <f t="shared" si="80"/>
        <v>-15.363335424565182</v>
      </c>
      <c r="E597">
        <f t="shared" si="81"/>
        <v>13.285052169786034</v>
      </c>
      <c r="F597">
        <f t="shared" si="84"/>
        <v>0.97616885268954878</v>
      </c>
      <c r="G597">
        <f t="shared" si="85"/>
        <v>1</v>
      </c>
      <c r="H597">
        <f t="shared" si="86"/>
        <v>13.125798632400276</v>
      </c>
      <c r="K597">
        <v>0.56899999999999995</v>
      </c>
      <c r="L597">
        <f t="shared" si="82"/>
        <v>-17.707335424565187</v>
      </c>
      <c r="M597">
        <f t="shared" si="83"/>
        <v>21.753505295894662</v>
      </c>
      <c r="N597">
        <f t="shared" si="87"/>
        <v>0.97710746399833226</v>
      </c>
      <c r="O597">
        <f t="shared" si="88"/>
        <v>1</v>
      </c>
      <c r="P597">
        <f t="shared" si="89"/>
        <v>21.503067255685945</v>
      </c>
    </row>
    <row r="598" spans="3:16" x14ac:dyDescent="0.25">
      <c r="C598">
        <v>0.56999999999999995</v>
      </c>
      <c r="D598">
        <f t="shared" si="80"/>
        <v>-15.326142844307103</v>
      </c>
      <c r="E598">
        <f t="shared" si="81"/>
        <v>13.277619157631623</v>
      </c>
      <c r="F598">
        <f t="shared" si="84"/>
        <v>0.97662549200600401</v>
      </c>
      <c r="G598">
        <f t="shared" si="85"/>
        <v>1</v>
      </c>
      <c r="H598">
        <f t="shared" si="86"/>
        <v>13.121522686908921</v>
      </c>
      <c r="K598">
        <v>0.56999999999999995</v>
      </c>
      <c r="L598">
        <f t="shared" si="82"/>
        <v>-17.646142844307107</v>
      </c>
      <c r="M598">
        <f t="shared" si="83"/>
        <v>21.741275835350059</v>
      </c>
      <c r="N598">
        <f t="shared" si="87"/>
        <v>0.9775565934136996</v>
      </c>
      <c r="O598">
        <f t="shared" si="88"/>
        <v>1</v>
      </c>
      <c r="P598">
        <f t="shared" si="89"/>
        <v>21.495917205628569</v>
      </c>
    </row>
    <row r="599" spans="3:16" x14ac:dyDescent="0.25">
      <c r="C599">
        <v>0.57099999999999995</v>
      </c>
      <c r="D599">
        <f t="shared" si="80"/>
        <v>-15.288950264049028</v>
      </c>
      <c r="E599">
        <f t="shared" si="81"/>
        <v>13.270186145477211</v>
      </c>
      <c r="F599">
        <f t="shared" si="84"/>
        <v>0.97707771396309306</v>
      </c>
      <c r="G599">
        <f t="shared" si="85"/>
        <v>1</v>
      </c>
      <c r="H599">
        <f t="shared" si="86"/>
        <v>13.117212938309754</v>
      </c>
      <c r="K599">
        <v>0.57099999999999995</v>
      </c>
      <c r="L599">
        <f t="shared" si="82"/>
        <v>-17.584950264049027</v>
      </c>
      <c r="M599">
        <f t="shared" si="83"/>
        <v>21.729046374805456</v>
      </c>
      <c r="N599">
        <f t="shared" si="87"/>
        <v>0.97800127333116871</v>
      </c>
      <c r="O599">
        <f t="shared" si="88"/>
        <v>1</v>
      </c>
      <c r="P599">
        <f t="shared" si="89"/>
        <v>21.488711583613522</v>
      </c>
    </row>
    <row r="600" spans="3:16" x14ac:dyDescent="0.25">
      <c r="C600">
        <v>0.57199999999999995</v>
      </c>
      <c r="D600">
        <f t="shared" si="80"/>
        <v>-15.251757683790949</v>
      </c>
      <c r="E600">
        <f t="shared" si="81"/>
        <v>13.262753133322798</v>
      </c>
      <c r="F600">
        <f t="shared" si="84"/>
        <v>0.97752551856081582</v>
      </c>
      <c r="G600">
        <f t="shared" si="85"/>
        <v>1</v>
      </c>
      <c r="H600">
        <f t="shared" si="86"/>
        <v>13.112869458701708</v>
      </c>
      <c r="K600">
        <v>0.57199999999999995</v>
      </c>
      <c r="L600">
        <f t="shared" si="82"/>
        <v>-17.523757683790947</v>
      </c>
      <c r="M600">
        <f t="shared" si="83"/>
        <v>21.716816914260853</v>
      </c>
      <c r="N600">
        <f t="shared" si="87"/>
        <v>0.97844150375073968</v>
      </c>
      <c r="O600">
        <f t="shared" si="88"/>
        <v>1</v>
      </c>
      <c r="P600">
        <f t="shared" si="89"/>
        <v>21.4814505081794</v>
      </c>
    </row>
    <row r="601" spans="3:16" x14ac:dyDescent="0.25">
      <c r="C601">
        <v>0.57299999999999995</v>
      </c>
      <c r="D601">
        <f t="shared" si="80"/>
        <v>-15.21456510353287</v>
      </c>
      <c r="E601">
        <f t="shared" si="81"/>
        <v>13.255320121168385</v>
      </c>
      <c r="F601">
        <f t="shared" si="84"/>
        <v>0.97796890579917228</v>
      </c>
      <c r="G601">
        <f t="shared" si="85"/>
        <v>1</v>
      </c>
      <c r="H601">
        <f t="shared" si="86"/>
        <v>13.108492319906814</v>
      </c>
      <c r="K601">
        <v>0.57299999999999995</v>
      </c>
      <c r="L601">
        <f t="shared" si="82"/>
        <v>-17.462565103532867</v>
      </c>
      <c r="M601">
        <f t="shared" si="83"/>
        <v>21.70458745371625</v>
      </c>
      <c r="N601">
        <f t="shared" si="87"/>
        <v>0.97887728467241253</v>
      </c>
      <c r="O601">
        <f t="shared" si="88"/>
        <v>1</v>
      </c>
      <c r="P601">
        <f t="shared" si="89"/>
        <v>21.474134097408957</v>
      </c>
    </row>
    <row r="602" spans="3:16" x14ac:dyDescent="0.25">
      <c r="C602">
        <v>0.57399999999999995</v>
      </c>
      <c r="D602">
        <f t="shared" si="80"/>
        <v>-15.177372523274791</v>
      </c>
      <c r="E602">
        <f t="shared" si="81"/>
        <v>13.247887109013973</v>
      </c>
      <c r="F602">
        <f t="shared" si="84"/>
        <v>0.97840787567816256</v>
      </c>
      <c r="G602">
        <f t="shared" si="85"/>
        <v>1</v>
      </c>
      <c r="H602">
        <f t="shared" si="86"/>
        <v>13.104081593471578</v>
      </c>
      <c r="K602">
        <v>0.57399999999999995</v>
      </c>
      <c r="L602">
        <f t="shared" si="82"/>
        <v>-17.401372523274794</v>
      </c>
      <c r="M602">
        <f t="shared" si="83"/>
        <v>21.692357993171647</v>
      </c>
      <c r="N602">
        <f t="shared" si="87"/>
        <v>0.97930861609618713</v>
      </c>
      <c r="O602">
        <f t="shared" si="88"/>
        <v>1</v>
      </c>
      <c r="P602">
        <f t="shared" si="89"/>
        <v>21.466762468931414</v>
      </c>
    </row>
    <row r="603" spans="3:16" x14ac:dyDescent="0.25">
      <c r="C603">
        <v>0.57499999999999996</v>
      </c>
      <c r="D603">
        <f t="shared" si="80"/>
        <v>-15.140179943016712</v>
      </c>
      <c r="E603">
        <f t="shared" si="81"/>
        <v>13.24045409685956</v>
      </c>
      <c r="F603">
        <f t="shared" si="84"/>
        <v>0.97884242819778666</v>
      </c>
      <c r="G603">
        <f t="shared" si="85"/>
        <v>1</v>
      </c>
      <c r="H603">
        <f t="shared" si="86"/>
        <v>13.099637350668349</v>
      </c>
      <c r="K603">
        <v>0.57499999999999996</v>
      </c>
      <c r="L603">
        <f t="shared" si="82"/>
        <v>-17.340179943016715</v>
      </c>
      <c r="M603">
        <f t="shared" si="83"/>
        <v>21.680128532627045</v>
      </c>
      <c r="N603">
        <f t="shared" si="87"/>
        <v>0.97973549802206372</v>
      </c>
      <c r="O603">
        <f t="shared" si="88"/>
        <v>1</v>
      </c>
      <c r="P603">
        <f t="shared" si="89"/>
        <v>21.459335739924718</v>
      </c>
    </row>
    <row r="604" spans="3:16" x14ac:dyDescent="0.25">
      <c r="C604">
        <v>0.57599999999999996</v>
      </c>
      <c r="D604">
        <f t="shared" ref="D604:D667" si="90">-$J$23+($J$15+$J$23)*C604</f>
        <v>-15.102987362758633</v>
      </c>
      <c r="E604">
        <f t="shared" ref="E604:E667" si="91">$J$12-$J$11*D604</f>
        <v>13.233021084705147</v>
      </c>
      <c r="F604">
        <f t="shared" si="84"/>
        <v>0.97927256335804447</v>
      </c>
      <c r="G604">
        <f t="shared" si="85"/>
        <v>1</v>
      </c>
      <c r="H604">
        <f t="shared" si="86"/>
        <v>13.095159662496691</v>
      </c>
      <c r="K604">
        <v>0.57599999999999996</v>
      </c>
      <c r="L604">
        <f t="shared" ref="L604:L667" si="92">-$M$23+($M$15+$M$23)*K604</f>
        <v>-17.278987362758635</v>
      </c>
      <c r="M604">
        <f t="shared" ref="M604:M667" si="93">$J$12-$J$11*L604+$E$18</f>
        <v>21.667899072082442</v>
      </c>
      <c r="N604">
        <f t="shared" si="87"/>
        <v>0.98015793045004207</v>
      </c>
      <c r="O604">
        <f t="shared" si="88"/>
        <v>1</v>
      </c>
      <c r="P604">
        <f t="shared" si="89"/>
        <v>21.451854027117744</v>
      </c>
    </row>
    <row r="605" spans="3:16" x14ac:dyDescent="0.25">
      <c r="C605">
        <v>0.57699999999999996</v>
      </c>
      <c r="D605">
        <f t="shared" si="90"/>
        <v>-15.065794782500554</v>
      </c>
      <c r="E605">
        <f t="shared" si="91"/>
        <v>13.225588072550735</v>
      </c>
      <c r="F605">
        <f t="shared" ref="F605:F668" si="94">IF(D605&lt;$J$20,MAX(1-(D605-$J$20)^2/$J$22^2,0),1)</f>
        <v>0.97969828115893598</v>
      </c>
      <c r="G605">
        <f t="shared" ref="G605:G668" si="95">IF(D605&gt;$J$17,MAX(1-(D605-$J$17)^2/($J$15-$J$17)^2,0),1)</f>
        <v>1</v>
      </c>
      <c r="H605">
        <f t="shared" ref="H605:H668" si="96">SQRT(E605^2*F605*G605)</f>
        <v>13.090648599684746</v>
      </c>
      <c r="K605">
        <v>0.57699999999999996</v>
      </c>
      <c r="L605">
        <f t="shared" si="92"/>
        <v>-17.217794782500555</v>
      </c>
      <c r="M605">
        <f t="shared" si="93"/>
        <v>21.655669611537839</v>
      </c>
      <c r="N605">
        <f t="shared" ref="N605:N668" si="97">IF(L605&lt;$J$20,MAX(1-(L605-$J$20)^2/$M$22^2,0),1)</f>
        <v>0.98057591338012229</v>
      </c>
      <c r="O605">
        <f t="shared" ref="O605:O668" si="98">IF(L605&gt;$J$17,MAX(1-(L605-$J$17)^2/($M$15-$J$17)^2,0),1)</f>
        <v>1</v>
      </c>
      <c r="P605">
        <f t="shared" ref="P605:P668" si="99">SQRT(M605^2*N605*O605)</f>
        <v>21.444317446792549</v>
      </c>
    </row>
    <row r="606" spans="3:16" x14ac:dyDescent="0.25">
      <c r="C606">
        <v>0.57799999999999996</v>
      </c>
      <c r="D606">
        <f t="shared" si="90"/>
        <v>-15.028602202242478</v>
      </c>
      <c r="E606">
        <f t="shared" si="91"/>
        <v>13.218155060396324</v>
      </c>
      <c r="F606">
        <f t="shared" si="94"/>
        <v>0.98011958160046131</v>
      </c>
      <c r="G606">
        <f t="shared" si="95"/>
        <v>1</v>
      </c>
      <c r="H606">
        <f t="shared" si="96"/>
        <v>13.086104232690555</v>
      </c>
      <c r="K606">
        <v>0.57799999999999996</v>
      </c>
      <c r="L606">
        <f t="shared" si="92"/>
        <v>-17.156602202242475</v>
      </c>
      <c r="M606">
        <f t="shared" si="93"/>
        <v>21.643440150993236</v>
      </c>
      <c r="N606">
        <f t="shared" si="97"/>
        <v>0.98098944681230438</v>
      </c>
      <c r="O606">
        <f t="shared" si="98"/>
        <v>1</v>
      </c>
      <c r="P606">
        <f t="shared" si="99"/>
        <v>21.436726114786566</v>
      </c>
    </row>
    <row r="607" spans="3:16" x14ac:dyDescent="0.25">
      <c r="C607">
        <v>0.57899999999999996</v>
      </c>
      <c r="D607">
        <f t="shared" si="90"/>
        <v>-14.991409621984399</v>
      </c>
      <c r="E607">
        <f t="shared" si="91"/>
        <v>13.210722048241911</v>
      </c>
      <c r="F607">
        <f t="shared" si="94"/>
        <v>0.98053646468262035</v>
      </c>
      <c r="G607">
        <f t="shared" si="95"/>
        <v>1</v>
      </c>
      <c r="H607">
        <f t="shared" si="96"/>
        <v>13.081526631703399</v>
      </c>
      <c r="K607">
        <v>0.57899999999999996</v>
      </c>
      <c r="L607">
        <f t="shared" si="92"/>
        <v>-17.095409621984402</v>
      </c>
      <c r="M607">
        <f t="shared" si="93"/>
        <v>21.631210690448633</v>
      </c>
      <c r="N607">
        <f t="shared" si="97"/>
        <v>0.98139853074658823</v>
      </c>
      <c r="O607">
        <f t="shared" si="98"/>
        <v>1</v>
      </c>
      <c r="P607">
        <f t="shared" si="99"/>
        <v>21.429080146494762</v>
      </c>
    </row>
    <row r="608" spans="3:16" x14ac:dyDescent="0.25">
      <c r="C608">
        <v>0.57999999999999996</v>
      </c>
      <c r="D608">
        <f t="shared" si="90"/>
        <v>-14.95421704172632</v>
      </c>
      <c r="E608">
        <f t="shared" si="91"/>
        <v>13.203289036087497</v>
      </c>
      <c r="F608">
        <f t="shared" si="94"/>
        <v>0.9809489304054132</v>
      </c>
      <c r="G608">
        <f t="shared" si="95"/>
        <v>1</v>
      </c>
      <c r="H608">
        <f t="shared" si="96"/>
        <v>13.076915866645125</v>
      </c>
      <c r="K608">
        <v>0.57999999999999996</v>
      </c>
      <c r="L608">
        <f t="shared" si="92"/>
        <v>-17.034217041726322</v>
      </c>
      <c r="M608">
        <f t="shared" si="93"/>
        <v>21.61898122990403</v>
      </c>
      <c r="N608">
        <f t="shared" si="97"/>
        <v>0.98180316518297395</v>
      </c>
      <c r="O608">
        <f t="shared" si="98"/>
        <v>1</v>
      </c>
      <c r="P608">
        <f t="shared" si="99"/>
        <v>21.421379656871832</v>
      </c>
    </row>
    <row r="609" spans="3:16" x14ac:dyDescent="0.25">
      <c r="C609">
        <v>0.58099999999999996</v>
      </c>
      <c r="D609">
        <f t="shared" si="90"/>
        <v>-14.917024461468241</v>
      </c>
      <c r="E609">
        <f t="shared" si="91"/>
        <v>13.195856023933086</v>
      </c>
      <c r="F609">
        <f t="shared" si="94"/>
        <v>0.98135697876883976</v>
      </c>
      <c r="G609">
        <f t="shared" si="95"/>
        <v>1</v>
      </c>
      <c r="H609">
        <f t="shared" si="96"/>
        <v>13.07227200717144</v>
      </c>
      <c r="K609">
        <v>0.58099999999999996</v>
      </c>
      <c r="L609">
        <f t="shared" si="92"/>
        <v>-16.973024461468242</v>
      </c>
      <c r="M609">
        <f t="shared" si="93"/>
        <v>21.606751769359427</v>
      </c>
      <c r="N609">
        <f t="shared" si="97"/>
        <v>0.98220335012146154</v>
      </c>
      <c r="O609">
        <f t="shared" si="98"/>
        <v>1</v>
      </c>
      <c r="P609">
        <f t="shared" si="99"/>
        <v>21.413624760434317</v>
      </c>
    </row>
    <row r="610" spans="3:16" x14ac:dyDescent="0.25">
      <c r="C610">
        <v>0.58199999999999996</v>
      </c>
      <c r="D610">
        <f t="shared" si="90"/>
        <v>-14.879831881210162</v>
      </c>
      <c r="E610">
        <f t="shared" si="91"/>
        <v>13.188423011778672</v>
      </c>
      <c r="F610">
        <f t="shared" si="94"/>
        <v>0.98176060977290014</v>
      </c>
      <c r="G610">
        <f t="shared" si="95"/>
        <v>1</v>
      </c>
      <c r="H610">
        <f t="shared" si="96"/>
        <v>13.067595122673207</v>
      </c>
      <c r="K610">
        <v>0.58199999999999996</v>
      </c>
      <c r="L610">
        <f t="shared" si="92"/>
        <v>-16.911831881210162</v>
      </c>
      <c r="M610">
        <f t="shared" si="93"/>
        <v>21.59452230881482</v>
      </c>
      <c r="N610">
        <f t="shared" si="97"/>
        <v>0.982599085562051</v>
      </c>
      <c r="O610">
        <f t="shared" si="98"/>
        <v>1</v>
      </c>
      <c r="P610">
        <f t="shared" si="99"/>
        <v>21.405815571262742</v>
      </c>
    </row>
    <row r="611" spans="3:16" x14ac:dyDescent="0.25">
      <c r="C611">
        <v>0.58299999999999996</v>
      </c>
      <c r="D611">
        <f t="shared" si="90"/>
        <v>-14.842639300952083</v>
      </c>
      <c r="E611">
        <f t="shared" si="91"/>
        <v>13.180989999624259</v>
      </c>
      <c r="F611">
        <f t="shared" si="94"/>
        <v>0.98215982341759434</v>
      </c>
      <c r="G611">
        <f t="shared" si="95"/>
        <v>1</v>
      </c>
      <c r="H611">
        <f t="shared" si="96"/>
        <v>13.062885282277749</v>
      </c>
      <c r="K611">
        <v>0.58299999999999996</v>
      </c>
      <c r="L611">
        <f t="shared" si="92"/>
        <v>-16.850639300952082</v>
      </c>
      <c r="M611">
        <f t="shared" si="93"/>
        <v>21.582292848270217</v>
      </c>
      <c r="N611">
        <f t="shared" si="97"/>
        <v>0.98299037150474222</v>
      </c>
      <c r="O611">
        <f t="shared" si="98"/>
        <v>1</v>
      </c>
      <c r="P611">
        <f t="shared" si="99"/>
        <v>21.397952203003733</v>
      </c>
    </row>
    <row r="612" spans="3:16" x14ac:dyDescent="0.25">
      <c r="C612">
        <v>0.58399999999999996</v>
      </c>
      <c r="D612">
        <f t="shared" si="90"/>
        <v>-14.805446720694004</v>
      </c>
      <c r="E612">
        <f t="shared" si="91"/>
        <v>13.173556987469848</v>
      </c>
      <c r="F612">
        <f t="shared" si="94"/>
        <v>0.98255461970292213</v>
      </c>
      <c r="G612">
        <f t="shared" si="95"/>
        <v>1</v>
      </c>
      <c r="H612">
        <f t="shared" si="96"/>
        <v>13.058142554850104</v>
      </c>
      <c r="K612">
        <v>0.58399999999999996</v>
      </c>
      <c r="L612">
        <f t="shared" si="92"/>
        <v>-16.789446720694009</v>
      </c>
      <c r="M612">
        <f t="shared" si="93"/>
        <v>21.570063387725618</v>
      </c>
      <c r="N612">
        <f t="shared" si="97"/>
        <v>0.98337720794953531</v>
      </c>
      <c r="O612">
        <f t="shared" si="98"/>
        <v>1</v>
      </c>
      <c r="P612">
        <f t="shared" si="99"/>
        <v>21.390034768872084</v>
      </c>
    </row>
    <row r="613" spans="3:16" x14ac:dyDescent="0.25">
      <c r="C613">
        <v>0.58499999999999996</v>
      </c>
      <c r="D613">
        <f t="shared" si="90"/>
        <v>-14.768254140435925</v>
      </c>
      <c r="E613">
        <f t="shared" si="91"/>
        <v>13.166123975315434</v>
      </c>
      <c r="F613">
        <f t="shared" si="94"/>
        <v>0.98294499862888374</v>
      </c>
      <c r="G613">
        <f t="shared" si="95"/>
        <v>1</v>
      </c>
      <c r="H613">
        <f t="shared" si="96"/>
        <v>13.053367008994289</v>
      </c>
      <c r="K613">
        <v>0.58499999999999996</v>
      </c>
      <c r="L613">
        <f t="shared" si="92"/>
        <v>-16.728254140435929</v>
      </c>
      <c r="M613">
        <f t="shared" si="93"/>
        <v>21.557833927181012</v>
      </c>
      <c r="N613">
        <f t="shared" si="97"/>
        <v>0.98375959489643028</v>
      </c>
      <c r="O613">
        <f t="shared" si="98"/>
        <v>1</v>
      </c>
      <c r="P613">
        <f t="shared" si="99"/>
        <v>21.382063381652831</v>
      </c>
    </row>
    <row r="614" spans="3:16" x14ac:dyDescent="0.25">
      <c r="C614">
        <v>0.58599999999999997</v>
      </c>
      <c r="D614">
        <f t="shared" si="90"/>
        <v>-14.731061560177849</v>
      </c>
      <c r="E614">
        <f t="shared" si="91"/>
        <v>13.158690963161023</v>
      </c>
      <c r="F614">
        <f t="shared" si="94"/>
        <v>0.98333096019547916</v>
      </c>
      <c r="G614">
        <f t="shared" si="95"/>
        <v>1</v>
      </c>
      <c r="H614">
        <f t="shared" si="96"/>
        <v>13.048558713054575</v>
      </c>
      <c r="K614">
        <v>0.58599999999999997</v>
      </c>
      <c r="L614">
        <f t="shared" si="92"/>
        <v>-16.667061560177849</v>
      </c>
      <c r="M614">
        <f t="shared" si="93"/>
        <v>21.545604466636409</v>
      </c>
      <c r="N614">
        <f t="shared" si="97"/>
        <v>0.98413753234542711</v>
      </c>
      <c r="O614">
        <f t="shared" si="98"/>
        <v>1</v>
      </c>
      <c r="P614">
        <f t="shared" si="99"/>
        <v>21.374038153703339</v>
      </c>
    </row>
    <row r="615" spans="3:16" x14ac:dyDescent="0.25">
      <c r="C615">
        <v>0.58699999999999997</v>
      </c>
      <c r="D615">
        <f t="shared" si="90"/>
        <v>-14.69386897991977</v>
      </c>
      <c r="E615">
        <f t="shared" si="91"/>
        <v>13.15125795100661</v>
      </c>
      <c r="F615">
        <f t="shared" si="94"/>
        <v>0.9837125044027083</v>
      </c>
      <c r="G615">
        <f t="shared" si="95"/>
        <v>1</v>
      </c>
      <c r="H615">
        <f t="shared" si="96"/>
        <v>13.043717735116701</v>
      </c>
      <c r="K615">
        <v>0.58699999999999997</v>
      </c>
      <c r="L615">
        <f t="shared" si="92"/>
        <v>-16.605868979919769</v>
      </c>
      <c r="M615">
        <f t="shared" si="93"/>
        <v>21.533375006091806</v>
      </c>
      <c r="N615">
        <f t="shared" si="97"/>
        <v>0.98451102029652582</v>
      </c>
      <c r="O615">
        <f t="shared" si="98"/>
        <v>1</v>
      </c>
      <c r="P615">
        <f t="shared" si="99"/>
        <v>21.365959196955295</v>
      </c>
    </row>
    <row r="616" spans="3:16" x14ac:dyDescent="0.25">
      <c r="C616">
        <v>0.58799999999999997</v>
      </c>
      <c r="D616">
        <f t="shared" si="90"/>
        <v>-14.656676399661691</v>
      </c>
      <c r="E616">
        <f t="shared" si="91"/>
        <v>13.143824938852198</v>
      </c>
      <c r="F616">
        <f t="shared" si="94"/>
        <v>0.98408963125057125</v>
      </c>
      <c r="G616">
        <f t="shared" si="95"/>
        <v>1</v>
      </c>
      <c r="H616">
        <f t="shared" si="96"/>
        <v>13.03884414300912</v>
      </c>
      <c r="K616">
        <v>0.58799999999999997</v>
      </c>
      <c r="L616">
        <f t="shared" si="92"/>
        <v>-16.544676399661689</v>
      </c>
      <c r="M616">
        <f t="shared" si="93"/>
        <v>21.521145545547199</v>
      </c>
      <c r="N616">
        <f t="shared" si="97"/>
        <v>0.98488005874972628</v>
      </c>
      <c r="O616">
        <f t="shared" si="98"/>
        <v>1</v>
      </c>
      <c r="P616">
        <f t="shared" si="99"/>
        <v>21.35782662291675</v>
      </c>
    </row>
    <row r="617" spans="3:16" x14ac:dyDescent="0.25">
      <c r="C617">
        <v>0.58899999999999997</v>
      </c>
      <c r="D617">
        <f t="shared" si="90"/>
        <v>-14.619483819403612</v>
      </c>
      <c r="E617">
        <f t="shared" si="91"/>
        <v>13.136391926697785</v>
      </c>
      <c r="F617">
        <f t="shared" si="94"/>
        <v>0.98446234073906791</v>
      </c>
      <c r="G617">
        <f t="shared" si="95"/>
        <v>1</v>
      </c>
      <c r="H617">
        <f t="shared" si="96"/>
        <v>13.033938004304224</v>
      </c>
      <c r="K617">
        <v>0.58899999999999997</v>
      </c>
      <c r="L617">
        <f t="shared" si="92"/>
        <v>-16.48348381940361</v>
      </c>
      <c r="M617">
        <f t="shared" si="93"/>
        <v>21.508916085002596</v>
      </c>
      <c r="N617">
        <f t="shared" si="97"/>
        <v>0.98524464770502862</v>
      </c>
      <c r="O617">
        <f t="shared" si="98"/>
        <v>1</v>
      </c>
      <c r="P617">
        <f t="shared" si="99"/>
        <v>21.34964054267413</v>
      </c>
    </row>
    <row r="618" spans="3:16" x14ac:dyDescent="0.25">
      <c r="C618">
        <v>0.59</v>
      </c>
      <c r="D618">
        <f t="shared" si="90"/>
        <v>-14.582291239145533</v>
      </c>
      <c r="E618">
        <f t="shared" si="91"/>
        <v>13.128958914543372</v>
      </c>
      <c r="F618">
        <f t="shared" si="94"/>
        <v>0.98483063286819827</v>
      </c>
      <c r="G618">
        <f t="shared" si="95"/>
        <v>1</v>
      </c>
      <c r="H618">
        <f t="shared" si="96"/>
        <v>13.028999386319542</v>
      </c>
      <c r="K618">
        <v>0.59</v>
      </c>
      <c r="L618">
        <f t="shared" si="92"/>
        <v>-16.422291239145537</v>
      </c>
      <c r="M618">
        <f t="shared" si="93"/>
        <v>21.496686624457997</v>
      </c>
      <c r="N618">
        <f t="shared" si="97"/>
        <v>0.98560478716243283</v>
      </c>
      <c r="O618">
        <f t="shared" si="98"/>
        <v>1</v>
      </c>
      <c r="P618">
        <f t="shared" si="99"/>
        <v>21.341401066894193</v>
      </c>
    </row>
    <row r="619" spans="3:16" x14ac:dyDescent="0.25">
      <c r="C619">
        <v>0.59099999999999997</v>
      </c>
      <c r="D619">
        <f t="shared" si="90"/>
        <v>-14.545098658887454</v>
      </c>
      <c r="E619">
        <f t="shared" si="91"/>
        <v>13.12152590238896</v>
      </c>
      <c r="F619">
        <f t="shared" si="94"/>
        <v>0.98519450763796246</v>
      </c>
      <c r="G619">
        <f t="shared" si="95"/>
        <v>1</v>
      </c>
      <c r="H619">
        <f t="shared" si="96"/>
        <v>13.02402835611896</v>
      </c>
      <c r="K619">
        <v>0.59099999999999997</v>
      </c>
      <c r="L619">
        <f t="shared" si="92"/>
        <v>-16.361098658887457</v>
      </c>
      <c r="M619">
        <f t="shared" si="93"/>
        <v>21.48445716391339</v>
      </c>
      <c r="N619">
        <f t="shared" si="97"/>
        <v>0.98596047712193879</v>
      </c>
      <c r="O619">
        <f t="shared" si="98"/>
        <v>1</v>
      </c>
      <c r="P619">
        <f t="shared" si="99"/>
        <v>21.333108305826013</v>
      </c>
    </row>
    <row r="620" spans="3:16" x14ac:dyDescent="0.25">
      <c r="C620">
        <v>0.59199999999999997</v>
      </c>
      <c r="D620">
        <f t="shared" si="90"/>
        <v>-14.507906078629375</v>
      </c>
      <c r="E620">
        <f t="shared" si="91"/>
        <v>13.114092890234547</v>
      </c>
      <c r="F620">
        <f t="shared" si="94"/>
        <v>0.98555396504836046</v>
      </c>
      <c r="G620">
        <f t="shared" si="95"/>
        <v>1</v>
      </c>
      <c r="H620">
        <f t="shared" si="96"/>
        <v>13.019024980513883</v>
      </c>
      <c r="K620">
        <v>0.59199999999999997</v>
      </c>
      <c r="L620">
        <f t="shared" si="92"/>
        <v>-16.299906078629377</v>
      </c>
      <c r="M620">
        <f t="shared" si="93"/>
        <v>21.472227703368787</v>
      </c>
      <c r="N620">
        <f t="shared" si="97"/>
        <v>0.98631171758354674</v>
      </c>
      <c r="O620">
        <f t="shared" si="98"/>
        <v>1</v>
      </c>
      <c r="P620">
        <f t="shared" si="99"/>
        <v>21.324762369302935</v>
      </c>
    </row>
    <row r="621" spans="3:16" x14ac:dyDescent="0.25">
      <c r="C621">
        <v>0.59299999999999997</v>
      </c>
      <c r="D621">
        <f t="shared" si="90"/>
        <v>-14.4707134983713</v>
      </c>
      <c r="E621">
        <f t="shared" si="91"/>
        <v>13.106659878080135</v>
      </c>
      <c r="F621">
        <f t="shared" si="94"/>
        <v>0.98590900509939206</v>
      </c>
      <c r="G621">
        <f t="shared" si="95"/>
        <v>1</v>
      </c>
      <c r="H621">
        <f t="shared" si="96"/>
        <v>13.013989326064443</v>
      </c>
      <c r="K621">
        <v>0.59299999999999997</v>
      </c>
      <c r="L621">
        <f t="shared" si="92"/>
        <v>-16.238713498371297</v>
      </c>
      <c r="M621">
        <f t="shared" si="93"/>
        <v>21.459998242824184</v>
      </c>
      <c r="N621">
        <f t="shared" si="97"/>
        <v>0.98665850854725645</v>
      </c>
      <c r="O621">
        <f t="shared" si="98"/>
        <v>1</v>
      </c>
      <c r="P621">
        <f t="shared" si="99"/>
        <v>21.316363366744508</v>
      </c>
    </row>
    <row r="622" spans="3:16" x14ac:dyDescent="0.25">
      <c r="C622">
        <v>0.59399999999999997</v>
      </c>
      <c r="D622">
        <f t="shared" si="90"/>
        <v>-14.433520918113221</v>
      </c>
      <c r="E622">
        <f t="shared" si="91"/>
        <v>13.099226865925722</v>
      </c>
      <c r="F622">
        <f t="shared" si="94"/>
        <v>0.98625962779105758</v>
      </c>
      <c r="G622">
        <f t="shared" si="95"/>
        <v>1</v>
      </c>
      <c r="H622">
        <f t="shared" si="96"/>
        <v>13.008921459080653</v>
      </c>
      <c r="K622">
        <v>0.59399999999999997</v>
      </c>
      <c r="L622">
        <f t="shared" si="92"/>
        <v>-16.177520918113217</v>
      </c>
      <c r="M622">
        <f t="shared" si="93"/>
        <v>21.447768782279582</v>
      </c>
      <c r="N622">
        <f t="shared" si="97"/>
        <v>0.98700085001306803</v>
      </c>
      <c r="O622">
        <f t="shared" si="98"/>
        <v>1</v>
      </c>
      <c r="P622">
        <f t="shared" si="99"/>
        <v>21.307911407158379</v>
      </c>
    </row>
    <row r="623" spans="3:16" x14ac:dyDescent="0.25">
      <c r="C623">
        <v>0.59499999999999997</v>
      </c>
      <c r="D623">
        <f t="shared" si="90"/>
        <v>-14.396328337855142</v>
      </c>
      <c r="E623">
        <f t="shared" si="91"/>
        <v>13.091793853771311</v>
      </c>
      <c r="F623">
        <f t="shared" si="94"/>
        <v>0.98660583312335681</v>
      </c>
      <c r="G623">
        <f t="shared" si="95"/>
        <v>1</v>
      </c>
      <c r="H623">
        <f t="shared" si="96"/>
        <v>13.003821445623574</v>
      </c>
      <c r="K623">
        <v>0.59499999999999997</v>
      </c>
      <c r="L623">
        <f t="shared" si="92"/>
        <v>-16.116328337855144</v>
      </c>
      <c r="M623">
        <f t="shared" si="93"/>
        <v>21.435539321734979</v>
      </c>
      <c r="N623">
        <f t="shared" si="97"/>
        <v>0.98733874198098137</v>
      </c>
      <c r="O623">
        <f t="shared" si="98"/>
        <v>1</v>
      </c>
      <c r="P623">
        <f t="shared" si="99"/>
        <v>21.299406599142234</v>
      </c>
    </row>
    <row r="624" spans="3:16" x14ac:dyDescent="0.25">
      <c r="C624">
        <v>0.59599999999999997</v>
      </c>
      <c r="D624">
        <f t="shared" si="90"/>
        <v>-14.359135757597063</v>
      </c>
      <c r="E624">
        <f t="shared" si="91"/>
        <v>13.084360841616897</v>
      </c>
      <c r="F624">
        <f t="shared" si="94"/>
        <v>0.98694762109628975</v>
      </c>
      <c r="G624">
        <f t="shared" si="95"/>
        <v>1</v>
      </c>
      <c r="H624">
        <f t="shared" si="96"/>
        <v>12.998689351506453</v>
      </c>
      <c r="K624">
        <v>0.59599999999999997</v>
      </c>
      <c r="L624">
        <f t="shared" si="92"/>
        <v>-16.055135757597064</v>
      </c>
      <c r="M624">
        <f t="shared" si="93"/>
        <v>21.423309861190376</v>
      </c>
      <c r="N624">
        <f t="shared" si="97"/>
        <v>0.98767218445099669</v>
      </c>
      <c r="O624">
        <f t="shared" si="98"/>
        <v>1</v>
      </c>
      <c r="P624">
        <f t="shared" si="99"/>
        <v>21.290849050885647</v>
      </c>
    </row>
    <row r="625" spans="3:16" x14ac:dyDescent="0.25">
      <c r="C625">
        <v>0.59699999999999998</v>
      </c>
      <c r="D625">
        <f t="shared" si="90"/>
        <v>-14.321943177338984</v>
      </c>
      <c r="E625">
        <f t="shared" si="91"/>
        <v>13.076927829462484</v>
      </c>
      <c r="F625">
        <f t="shared" si="94"/>
        <v>0.98728499170985651</v>
      </c>
      <c r="G625">
        <f t="shared" si="95"/>
        <v>1</v>
      </c>
      <c r="H625">
        <f t="shared" si="96"/>
        <v>12.993525242295886</v>
      </c>
      <c r="K625">
        <v>0.59699999999999998</v>
      </c>
      <c r="L625">
        <f t="shared" si="92"/>
        <v>-15.993943177338984</v>
      </c>
      <c r="M625">
        <f t="shared" si="93"/>
        <v>21.411080400645773</v>
      </c>
      <c r="N625">
        <f t="shared" si="97"/>
        <v>0.98800117742311377</v>
      </c>
      <c r="O625">
        <f t="shared" si="98"/>
        <v>1</v>
      </c>
      <c r="P625">
        <f t="shared" si="99"/>
        <v>21.282238870171973</v>
      </c>
    </row>
    <row r="626" spans="3:16" x14ac:dyDescent="0.25">
      <c r="C626">
        <v>0.59799999999999998</v>
      </c>
      <c r="D626">
        <f t="shared" si="90"/>
        <v>-14.284750597080905</v>
      </c>
      <c r="E626">
        <f t="shared" si="91"/>
        <v>13.069494817308072</v>
      </c>
      <c r="F626">
        <f t="shared" si="94"/>
        <v>0.98761794496405697</v>
      </c>
      <c r="G626">
        <f t="shared" si="95"/>
        <v>1</v>
      </c>
      <c r="H626">
        <f t="shared" si="96"/>
        <v>12.988329183312931</v>
      </c>
      <c r="K626">
        <v>0.59799999999999998</v>
      </c>
      <c r="L626">
        <f t="shared" si="92"/>
        <v>-15.932750597080904</v>
      </c>
      <c r="M626">
        <f t="shared" si="93"/>
        <v>21.39885094010117</v>
      </c>
      <c r="N626">
        <f t="shared" si="97"/>
        <v>0.98832572089733273</v>
      </c>
      <c r="O626">
        <f t="shared" si="98"/>
        <v>1</v>
      </c>
      <c r="P626">
        <f t="shared" si="99"/>
        <v>21.273576164380181</v>
      </c>
    </row>
    <row r="627" spans="3:16" x14ac:dyDescent="0.25">
      <c r="C627">
        <v>0.59899999999999998</v>
      </c>
      <c r="D627">
        <f t="shared" si="90"/>
        <v>-14.247558016822826</v>
      </c>
      <c r="E627">
        <f t="shared" si="91"/>
        <v>13.062061805153659</v>
      </c>
      <c r="F627">
        <f t="shared" si="94"/>
        <v>0.98794648085889125</v>
      </c>
      <c r="G627">
        <f t="shared" si="95"/>
        <v>1</v>
      </c>
      <c r="H627">
        <f t="shared" si="96"/>
        <v>12.983101239634223</v>
      </c>
      <c r="K627">
        <v>0.59899999999999998</v>
      </c>
      <c r="L627">
        <f t="shared" si="92"/>
        <v>-15.871558016822824</v>
      </c>
      <c r="M627">
        <f t="shared" si="93"/>
        <v>21.386621479556567</v>
      </c>
      <c r="N627">
        <f t="shared" si="97"/>
        <v>0.98864581487365355</v>
      </c>
      <c r="O627">
        <f t="shared" si="98"/>
        <v>1</v>
      </c>
      <c r="P627">
        <f t="shared" si="99"/>
        <v>21.264861040486704</v>
      </c>
    </row>
    <row r="628" spans="3:16" x14ac:dyDescent="0.25">
      <c r="C628">
        <v>0.6</v>
      </c>
      <c r="D628">
        <f t="shared" si="90"/>
        <v>-14.210365436564746</v>
      </c>
      <c r="E628">
        <f t="shared" si="91"/>
        <v>13.054628792999246</v>
      </c>
      <c r="F628">
        <f t="shared" si="94"/>
        <v>0.98827059939435924</v>
      </c>
      <c r="G628">
        <f t="shared" si="95"/>
        <v>1</v>
      </c>
      <c r="H628">
        <f t="shared" si="96"/>
        <v>12.977841476093108</v>
      </c>
      <c r="K628">
        <v>0.6</v>
      </c>
      <c r="L628">
        <f t="shared" si="92"/>
        <v>-15.810365436564751</v>
      </c>
      <c r="M628">
        <f t="shared" si="93"/>
        <v>21.374392019011964</v>
      </c>
      <c r="N628">
        <f t="shared" si="97"/>
        <v>0.98896145935207613</v>
      </c>
      <c r="O628">
        <f t="shared" si="98"/>
        <v>1</v>
      </c>
      <c r="P628">
        <f t="shared" si="99"/>
        <v>21.256093605067253</v>
      </c>
    </row>
    <row r="629" spans="3:16" x14ac:dyDescent="0.25">
      <c r="C629">
        <v>0.60099999999999998</v>
      </c>
      <c r="D629">
        <f t="shared" si="90"/>
        <v>-14.173172856306671</v>
      </c>
      <c r="E629">
        <f t="shared" si="91"/>
        <v>13.047195780844834</v>
      </c>
      <c r="F629">
        <f t="shared" si="94"/>
        <v>0.98859030057046093</v>
      </c>
      <c r="G629">
        <f t="shared" si="95"/>
        <v>1</v>
      </c>
      <c r="H629">
        <f t="shared" si="96"/>
        <v>12.972549957280727</v>
      </c>
      <c r="K629">
        <v>0.60099999999999998</v>
      </c>
      <c r="L629">
        <f t="shared" si="92"/>
        <v>-15.749172856306672</v>
      </c>
      <c r="M629">
        <f t="shared" si="93"/>
        <v>21.362162558467361</v>
      </c>
      <c r="N629">
        <f t="shared" si="97"/>
        <v>0.98927265433260059</v>
      </c>
      <c r="O629">
        <f t="shared" si="98"/>
        <v>1</v>
      </c>
      <c r="P629">
        <f t="shared" si="99"/>
        <v>21.247273964298632</v>
      </c>
    </row>
    <row r="630" spans="3:16" x14ac:dyDescent="0.25">
      <c r="C630">
        <v>0.60199999999999998</v>
      </c>
      <c r="D630">
        <f t="shared" si="90"/>
        <v>-14.135980276048592</v>
      </c>
      <c r="E630">
        <f t="shared" si="91"/>
        <v>13.039762768690423</v>
      </c>
      <c r="F630">
        <f t="shared" si="94"/>
        <v>0.98890558438719656</v>
      </c>
      <c r="G630">
        <f t="shared" si="95"/>
        <v>1</v>
      </c>
      <c r="H630">
        <f t="shared" si="96"/>
        <v>12.967226747547112</v>
      </c>
      <c r="K630">
        <v>0.60199999999999998</v>
      </c>
      <c r="L630">
        <f t="shared" si="92"/>
        <v>-15.687980276048592</v>
      </c>
      <c r="M630">
        <f t="shared" si="93"/>
        <v>21.349933097922758</v>
      </c>
      <c r="N630">
        <f t="shared" si="97"/>
        <v>0.98957939981522691</v>
      </c>
      <c r="O630">
        <f t="shared" si="98"/>
        <v>1</v>
      </c>
      <c r="P630">
        <f t="shared" si="99"/>
        <v>21.238402223960509</v>
      </c>
    </row>
    <row r="631" spans="3:16" x14ac:dyDescent="0.25">
      <c r="C631">
        <v>0.60299999999999998</v>
      </c>
      <c r="D631">
        <f t="shared" si="90"/>
        <v>-14.098787695790513</v>
      </c>
      <c r="E631">
        <f t="shared" si="91"/>
        <v>13.03232975653601</v>
      </c>
      <c r="F631">
        <f t="shared" si="94"/>
        <v>0.98921645084456578</v>
      </c>
      <c r="G631">
        <f t="shared" si="95"/>
        <v>1</v>
      </c>
      <c r="H631">
        <f t="shared" si="96"/>
        <v>12.961871911002268</v>
      </c>
      <c r="K631">
        <v>0.60299999999999998</v>
      </c>
      <c r="L631">
        <f t="shared" si="92"/>
        <v>-15.626787695790512</v>
      </c>
      <c r="M631">
        <f t="shared" si="93"/>
        <v>21.337703637378155</v>
      </c>
      <c r="N631">
        <f t="shared" si="97"/>
        <v>0.98988169579995511</v>
      </c>
      <c r="O631">
        <f t="shared" si="98"/>
        <v>1</v>
      </c>
      <c r="P631">
        <f t="shared" si="99"/>
        <v>21.229478489437202</v>
      </c>
    </row>
    <row r="632" spans="3:16" x14ac:dyDescent="0.25">
      <c r="C632">
        <v>0.60399999999999998</v>
      </c>
      <c r="D632">
        <f t="shared" si="90"/>
        <v>-14.061595115532434</v>
      </c>
      <c r="E632">
        <f t="shared" si="91"/>
        <v>13.024896744381596</v>
      </c>
      <c r="F632">
        <f t="shared" si="94"/>
        <v>0.98952289994256881</v>
      </c>
      <c r="G632">
        <f t="shared" si="95"/>
        <v>1</v>
      </c>
      <c r="H632">
        <f t="shared" si="96"/>
        <v>12.956485511517251</v>
      </c>
      <c r="K632">
        <v>0.60399999999999998</v>
      </c>
      <c r="L632">
        <f t="shared" si="92"/>
        <v>-15.565595115532432</v>
      </c>
      <c r="M632">
        <f t="shared" si="93"/>
        <v>21.325474176833549</v>
      </c>
      <c r="N632">
        <f t="shared" si="97"/>
        <v>0.99017954228678506</v>
      </c>
      <c r="O632">
        <f t="shared" si="98"/>
        <v>1</v>
      </c>
      <c r="P632">
        <f t="shared" si="99"/>
        <v>21.220502865719435</v>
      </c>
    </row>
    <row r="633" spans="3:16" x14ac:dyDescent="0.25">
      <c r="C633">
        <v>0.60499999999999998</v>
      </c>
      <c r="D633">
        <f t="shared" si="90"/>
        <v>-14.024402535274355</v>
      </c>
      <c r="E633">
        <f t="shared" si="91"/>
        <v>13.017463732227185</v>
      </c>
      <c r="F633">
        <f t="shared" si="94"/>
        <v>0.98982493168120567</v>
      </c>
      <c r="G633">
        <f t="shared" si="95"/>
        <v>1</v>
      </c>
      <c r="H633">
        <f t="shared" si="96"/>
        <v>12.951067612725232</v>
      </c>
      <c r="K633">
        <v>0.60499999999999998</v>
      </c>
      <c r="L633">
        <f t="shared" si="92"/>
        <v>-15.504402535274359</v>
      </c>
      <c r="M633">
        <f t="shared" si="93"/>
        <v>21.313244716288949</v>
      </c>
      <c r="N633">
        <f t="shared" si="97"/>
        <v>0.99047293927571689</v>
      </c>
      <c r="O633">
        <f t="shared" si="98"/>
        <v>1</v>
      </c>
      <c r="P633">
        <f t="shared" si="99"/>
        <v>21.211475457406092</v>
      </c>
    </row>
    <row r="634" spans="3:16" x14ac:dyDescent="0.25">
      <c r="C634">
        <v>0.60599999999999998</v>
      </c>
      <c r="D634">
        <f t="shared" si="90"/>
        <v>-13.987209955016276</v>
      </c>
      <c r="E634">
        <f t="shared" si="91"/>
        <v>13.010030720072772</v>
      </c>
      <c r="F634">
        <f t="shared" si="94"/>
        <v>0.99012254606047623</v>
      </c>
      <c r="G634">
        <f t="shared" si="95"/>
        <v>1</v>
      </c>
      <c r="H634">
        <f t="shared" si="96"/>
        <v>12.945618278022542</v>
      </c>
      <c r="K634">
        <v>0.60599999999999998</v>
      </c>
      <c r="L634">
        <f t="shared" si="92"/>
        <v>-15.443209955016279</v>
      </c>
      <c r="M634">
        <f t="shared" si="93"/>
        <v>21.301015255744343</v>
      </c>
      <c r="N634">
        <f t="shared" si="97"/>
        <v>0.9907618867667507</v>
      </c>
      <c r="O634">
        <f t="shared" si="98"/>
        <v>1</v>
      </c>
      <c r="P634">
        <f t="shared" si="99"/>
        <v>21.202396368705909</v>
      </c>
    </row>
    <row r="635" spans="3:16" x14ac:dyDescent="0.25">
      <c r="C635">
        <v>0.60699999999999998</v>
      </c>
      <c r="D635">
        <f t="shared" si="90"/>
        <v>-13.950017374758197</v>
      </c>
      <c r="E635">
        <f t="shared" si="91"/>
        <v>13.002597707918358</v>
      </c>
      <c r="F635">
        <f t="shared" si="94"/>
        <v>0.9904157430803805</v>
      </c>
      <c r="G635">
        <f t="shared" si="95"/>
        <v>1</v>
      </c>
      <c r="H635">
        <f t="shared" si="96"/>
        <v>12.94013757056973</v>
      </c>
      <c r="K635">
        <v>0.60699999999999998</v>
      </c>
      <c r="L635">
        <f t="shared" si="92"/>
        <v>-15.382017374758199</v>
      </c>
      <c r="M635">
        <f t="shared" si="93"/>
        <v>21.28878579519974</v>
      </c>
      <c r="N635">
        <f t="shared" si="97"/>
        <v>0.99104638475988616</v>
      </c>
      <c r="O635">
        <f t="shared" si="98"/>
        <v>1</v>
      </c>
      <c r="P635">
        <f t="shared" si="99"/>
        <v>21.193265703439238</v>
      </c>
    </row>
    <row r="636" spans="3:16" x14ac:dyDescent="0.25">
      <c r="C636">
        <v>0.60799999999999998</v>
      </c>
      <c r="D636">
        <f t="shared" si="90"/>
        <v>-13.912824794500118</v>
      </c>
      <c r="E636">
        <f t="shared" si="91"/>
        <v>12.995164695763947</v>
      </c>
      <c r="F636">
        <f t="shared" si="94"/>
        <v>0.99070452274091858</v>
      </c>
      <c r="G636">
        <f t="shared" si="95"/>
        <v>1</v>
      </c>
      <c r="H636">
        <f t="shared" si="96"/>
        <v>12.934625553292598</v>
      </c>
      <c r="K636">
        <v>0.60799999999999998</v>
      </c>
      <c r="L636">
        <f t="shared" si="92"/>
        <v>-15.320824794500119</v>
      </c>
      <c r="M636">
        <f t="shared" si="93"/>
        <v>21.276556334655137</v>
      </c>
      <c r="N636">
        <f t="shared" si="97"/>
        <v>0.9913264332551236</v>
      </c>
      <c r="O636">
        <f t="shared" si="98"/>
        <v>1</v>
      </c>
      <c r="P636">
        <f t="shared" si="99"/>
        <v>21.18408356503971</v>
      </c>
    </row>
    <row r="637" spans="3:16" x14ac:dyDescent="0.25">
      <c r="C637">
        <v>0.60899999999999999</v>
      </c>
      <c r="D637">
        <f t="shared" si="90"/>
        <v>-13.875632214242042</v>
      </c>
      <c r="E637">
        <f t="shared" si="91"/>
        <v>12.987731683609535</v>
      </c>
      <c r="F637">
        <f t="shared" si="94"/>
        <v>0.99098888504209037</v>
      </c>
      <c r="G637">
        <f t="shared" si="95"/>
        <v>1</v>
      </c>
      <c r="H637">
        <f t="shared" si="96"/>
        <v>12.929082288883219</v>
      </c>
      <c r="K637">
        <v>0.60899999999999999</v>
      </c>
      <c r="L637">
        <f t="shared" si="92"/>
        <v>-15.259632214242039</v>
      </c>
      <c r="M637">
        <f t="shared" si="93"/>
        <v>21.264326874110534</v>
      </c>
      <c r="N637">
        <f t="shared" si="97"/>
        <v>0.9916020322524628</v>
      </c>
      <c r="O637">
        <f t="shared" si="98"/>
        <v>1</v>
      </c>
      <c r="P637">
        <f t="shared" si="99"/>
        <v>21.174850056555918</v>
      </c>
    </row>
    <row r="638" spans="3:16" x14ac:dyDescent="0.25">
      <c r="C638">
        <v>0.61</v>
      </c>
      <c r="D638">
        <f t="shared" si="90"/>
        <v>-13.838439633983963</v>
      </c>
      <c r="E638">
        <f t="shared" si="91"/>
        <v>12.980298671455122</v>
      </c>
      <c r="F638">
        <f t="shared" si="94"/>
        <v>0.99126882998389598</v>
      </c>
      <c r="G638">
        <f t="shared" si="95"/>
        <v>1</v>
      </c>
      <c r="H638">
        <f t="shared" si="96"/>
        <v>12.923507839800964</v>
      </c>
      <c r="K638">
        <v>0.61</v>
      </c>
      <c r="L638">
        <f t="shared" si="92"/>
        <v>-15.198439633983966</v>
      </c>
      <c r="M638">
        <f t="shared" si="93"/>
        <v>21.252097413565931</v>
      </c>
      <c r="N638">
        <f t="shared" si="97"/>
        <v>0.99187318175190387</v>
      </c>
      <c r="O638">
        <f t="shared" si="98"/>
        <v>1</v>
      </c>
      <c r="P638">
        <f t="shared" si="99"/>
        <v>21.165565280653102</v>
      </c>
    </row>
    <row r="639" spans="3:16" x14ac:dyDescent="0.25">
      <c r="C639">
        <v>0.61099999999999999</v>
      </c>
      <c r="D639">
        <f t="shared" si="90"/>
        <v>-13.801247053725884</v>
      </c>
      <c r="E639">
        <f t="shared" si="91"/>
        <v>12.972865659300709</v>
      </c>
      <c r="F639">
        <f t="shared" si="94"/>
        <v>0.99154435756633541</v>
      </c>
      <c r="G639">
        <f t="shared" si="95"/>
        <v>1</v>
      </c>
      <c r="H639">
        <f t="shared" si="96"/>
        <v>12.917902268273515</v>
      </c>
      <c r="K639">
        <v>0.61099999999999999</v>
      </c>
      <c r="L639">
        <f t="shared" si="92"/>
        <v>-15.137247053725886</v>
      </c>
      <c r="M639">
        <f t="shared" si="93"/>
        <v>21.239867953021328</v>
      </c>
      <c r="N639">
        <f t="shared" si="97"/>
        <v>0.99213988175344681</v>
      </c>
      <c r="O639">
        <f t="shared" si="98"/>
        <v>1</v>
      </c>
      <c r="P639">
        <f t="shared" si="99"/>
        <v>21.156229339614796</v>
      </c>
    </row>
    <row r="640" spans="3:16" x14ac:dyDescent="0.25">
      <c r="C640">
        <v>0.61199999999999999</v>
      </c>
      <c r="D640">
        <f t="shared" si="90"/>
        <v>-13.764054473467805</v>
      </c>
      <c r="E640">
        <f t="shared" si="91"/>
        <v>12.965432647146297</v>
      </c>
      <c r="F640">
        <f t="shared" si="94"/>
        <v>0.99181546778940854</v>
      </c>
      <c r="G640">
        <f t="shared" si="95"/>
        <v>1</v>
      </c>
      <c r="H640">
        <f t="shared" si="96"/>
        <v>12.912265636297862</v>
      </c>
      <c r="K640">
        <v>0.61199999999999999</v>
      </c>
      <c r="L640">
        <f t="shared" si="92"/>
        <v>-15.076054473467806</v>
      </c>
      <c r="M640">
        <f t="shared" si="93"/>
        <v>21.227638492476721</v>
      </c>
      <c r="N640">
        <f t="shared" si="97"/>
        <v>0.99240213225709162</v>
      </c>
      <c r="O640">
        <f t="shared" si="98"/>
        <v>1</v>
      </c>
      <c r="P640">
        <f t="shared" si="99"/>
        <v>21.146842335344459</v>
      </c>
    </row>
    <row r="641" spans="3:16" x14ac:dyDescent="0.25">
      <c r="C641">
        <v>0.61299999999999999</v>
      </c>
      <c r="D641">
        <f t="shared" si="90"/>
        <v>-13.726861893209726</v>
      </c>
      <c r="E641">
        <f t="shared" si="91"/>
        <v>12.957999634991884</v>
      </c>
      <c r="F641">
        <f t="shared" si="94"/>
        <v>0.99208216065311539</v>
      </c>
      <c r="G641">
        <f t="shared" si="95"/>
        <v>1</v>
      </c>
      <c r="H641">
        <f t="shared" si="96"/>
        <v>12.906598005641287</v>
      </c>
      <c r="K641">
        <v>0.61299999999999999</v>
      </c>
      <c r="L641">
        <f t="shared" si="92"/>
        <v>-15.014861893209726</v>
      </c>
      <c r="M641">
        <f t="shared" si="93"/>
        <v>21.215409031932118</v>
      </c>
      <c r="N641">
        <f t="shared" si="97"/>
        <v>0.99265993326283819</v>
      </c>
      <c r="O641">
        <f t="shared" si="98"/>
        <v>1</v>
      </c>
      <c r="P641">
        <f t="shared" si="99"/>
        <v>21.137404369367118</v>
      </c>
    </row>
    <row r="642" spans="3:16" x14ac:dyDescent="0.25">
      <c r="C642">
        <v>0.61399999999999999</v>
      </c>
      <c r="D642">
        <f t="shared" si="90"/>
        <v>-13.689669312951647</v>
      </c>
      <c r="E642">
        <f t="shared" si="91"/>
        <v>12.950566622837471</v>
      </c>
      <c r="F642">
        <f t="shared" si="94"/>
        <v>0.99234443615745604</v>
      </c>
      <c r="G642">
        <f t="shared" si="95"/>
        <v>1</v>
      </c>
      <c r="H642">
        <f t="shared" si="96"/>
        <v>12.900899437842368</v>
      </c>
      <c r="K642">
        <v>0.61399999999999999</v>
      </c>
      <c r="L642">
        <f t="shared" si="92"/>
        <v>-14.953669312951646</v>
      </c>
      <c r="M642">
        <f t="shared" si="93"/>
        <v>21.203179571387516</v>
      </c>
      <c r="N642">
        <f t="shared" si="97"/>
        <v>0.99291328477068674</v>
      </c>
      <c r="O642">
        <f t="shared" si="98"/>
        <v>1</v>
      </c>
      <c r="P642">
        <f t="shared" si="99"/>
        <v>21.127915542830962</v>
      </c>
    </row>
    <row r="643" spans="3:16" x14ac:dyDescent="0.25">
      <c r="C643">
        <v>0.61499999999999999</v>
      </c>
      <c r="D643">
        <f t="shared" si="90"/>
        <v>-13.652476732693568</v>
      </c>
      <c r="E643">
        <f t="shared" si="91"/>
        <v>12.943133610683059</v>
      </c>
      <c r="F643">
        <f t="shared" si="94"/>
        <v>0.99260229430243041</v>
      </c>
      <c r="G643">
        <f t="shared" si="95"/>
        <v>1</v>
      </c>
      <c r="H643">
        <f t="shared" si="96"/>
        <v>12.895169994211937</v>
      </c>
      <c r="K643">
        <v>0.61499999999999999</v>
      </c>
      <c r="L643">
        <f t="shared" si="92"/>
        <v>-14.892476732693567</v>
      </c>
      <c r="M643">
        <f t="shared" si="93"/>
        <v>21.190950110842913</v>
      </c>
      <c r="N643">
        <f t="shared" si="97"/>
        <v>0.99316218678063706</v>
      </c>
      <c r="O643">
        <f t="shared" si="98"/>
        <v>1</v>
      </c>
      <c r="P643">
        <f t="shared" si="99"/>
        <v>21.118375956508945</v>
      </c>
    </row>
    <row r="644" spans="3:16" x14ac:dyDescent="0.25">
      <c r="C644">
        <v>0.61599999999999999</v>
      </c>
      <c r="D644">
        <f t="shared" si="90"/>
        <v>-13.615284152435493</v>
      </c>
      <c r="E644">
        <f t="shared" si="91"/>
        <v>12.935700598528646</v>
      </c>
      <c r="F644">
        <f t="shared" si="94"/>
        <v>0.99285573508803848</v>
      </c>
      <c r="G644">
        <f t="shared" si="95"/>
        <v>1</v>
      </c>
      <c r="H644">
        <f t="shared" si="96"/>
        <v>12.889409735834047</v>
      </c>
      <c r="K644">
        <v>0.61599999999999999</v>
      </c>
      <c r="L644">
        <f t="shared" si="92"/>
        <v>-14.831284152435494</v>
      </c>
      <c r="M644">
        <f t="shared" si="93"/>
        <v>21.17872065029831</v>
      </c>
      <c r="N644">
        <f t="shared" si="97"/>
        <v>0.99340663929268913</v>
      </c>
      <c r="O644">
        <f t="shared" si="98"/>
        <v>1</v>
      </c>
      <c r="P644">
        <f t="shared" si="99"/>
        <v>21.108785710800362</v>
      </c>
    </row>
    <row r="645" spans="3:16" x14ac:dyDescent="0.25">
      <c r="C645">
        <v>0.61699999999999999</v>
      </c>
      <c r="D645">
        <f t="shared" si="90"/>
        <v>-13.578091572177414</v>
      </c>
      <c r="E645">
        <f t="shared" si="91"/>
        <v>12.928267586374234</v>
      </c>
      <c r="F645">
        <f t="shared" si="94"/>
        <v>0.99310475851428037</v>
      </c>
      <c r="G645">
        <f t="shared" si="95"/>
        <v>1</v>
      </c>
      <c r="H645">
        <f t="shared" si="96"/>
        <v>12.883618723566949</v>
      </c>
      <c r="K645">
        <v>0.61699999999999999</v>
      </c>
      <c r="L645">
        <f t="shared" si="92"/>
        <v>-14.770091572177414</v>
      </c>
      <c r="M645">
        <f t="shared" si="93"/>
        <v>21.166491189753707</v>
      </c>
      <c r="N645">
        <f t="shared" si="97"/>
        <v>0.99364664230684319</v>
      </c>
      <c r="O645">
        <f t="shared" si="98"/>
        <v>1</v>
      </c>
      <c r="P645">
        <f t="shared" si="99"/>
        <v>21.09914490573243</v>
      </c>
    </row>
    <row r="646" spans="3:16" x14ac:dyDescent="0.25">
      <c r="C646">
        <v>0.61799999999999999</v>
      </c>
      <c r="D646">
        <f t="shared" si="90"/>
        <v>-13.540898991919335</v>
      </c>
      <c r="E646">
        <f t="shared" si="91"/>
        <v>12.920834574219821</v>
      </c>
      <c r="F646">
        <f t="shared" si="94"/>
        <v>0.99334936458115608</v>
      </c>
      <c r="G646">
        <f t="shared" si="95"/>
        <v>1</v>
      </c>
      <c r="H646">
        <f t="shared" si="96"/>
        <v>12.877797018044012</v>
      </c>
      <c r="K646">
        <v>0.61799999999999999</v>
      </c>
      <c r="L646">
        <f t="shared" si="92"/>
        <v>-14.708898991919334</v>
      </c>
      <c r="M646">
        <f t="shared" si="93"/>
        <v>21.154261729209104</v>
      </c>
      <c r="N646">
        <f t="shared" si="97"/>
        <v>0.993882195823099</v>
      </c>
      <c r="O646">
        <f t="shared" si="98"/>
        <v>1</v>
      </c>
      <c r="P646">
        <f t="shared" si="99"/>
        <v>21.089453640961835</v>
      </c>
    </row>
    <row r="647" spans="3:16" x14ac:dyDescent="0.25">
      <c r="C647">
        <v>0.61899999999999999</v>
      </c>
      <c r="D647">
        <f t="shared" si="90"/>
        <v>-13.503706411661256</v>
      </c>
      <c r="E647">
        <f t="shared" si="91"/>
        <v>12.91340156206541</v>
      </c>
      <c r="F647">
        <f t="shared" si="94"/>
        <v>0.99358955328866549</v>
      </c>
      <c r="G647">
        <f t="shared" si="95"/>
        <v>1</v>
      </c>
      <c r="H647">
        <f t="shared" si="96"/>
        <v>12.871944679674696</v>
      </c>
      <c r="K647">
        <v>0.61899999999999999</v>
      </c>
      <c r="L647">
        <f t="shared" si="92"/>
        <v>-14.647706411661254</v>
      </c>
      <c r="M647">
        <f t="shared" si="93"/>
        <v>21.142032268664501</v>
      </c>
      <c r="N647">
        <f t="shared" si="97"/>
        <v>0.99411329984145669</v>
      </c>
      <c r="O647">
        <f t="shared" si="98"/>
        <v>1</v>
      </c>
      <c r="P647">
        <f t="shared" si="99"/>
        <v>21.079712015776266</v>
      </c>
    </row>
    <row r="648" spans="3:16" x14ac:dyDescent="0.25">
      <c r="C648">
        <v>0.62</v>
      </c>
      <c r="D648">
        <f t="shared" si="90"/>
        <v>-13.466513831403176</v>
      </c>
      <c r="E648">
        <f t="shared" si="91"/>
        <v>12.905968549910996</v>
      </c>
      <c r="F648">
        <f t="shared" si="94"/>
        <v>0.99382532463680873</v>
      </c>
      <c r="G648">
        <f t="shared" si="95"/>
        <v>1</v>
      </c>
      <c r="H648">
        <f t="shared" si="96"/>
        <v>12.866061768645459</v>
      </c>
      <c r="K648">
        <v>0.62</v>
      </c>
      <c r="L648">
        <f t="shared" si="92"/>
        <v>-14.586513831403174</v>
      </c>
      <c r="M648">
        <f t="shared" si="93"/>
        <v>21.129802808119898</v>
      </c>
      <c r="N648">
        <f t="shared" si="97"/>
        <v>0.99433995436191625</v>
      </c>
      <c r="O648">
        <f t="shared" si="98"/>
        <v>1</v>
      </c>
      <c r="P648">
        <f t="shared" si="99"/>
        <v>21.069920129095955</v>
      </c>
    </row>
    <row r="649" spans="3:16" x14ac:dyDescent="0.25">
      <c r="C649">
        <v>0.621</v>
      </c>
      <c r="D649">
        <f t="shared" si="90"/>
        <v>-13.429321251145097</v>
      </c>
      <c r="E649">
        <f t="shared" si="91"/>
        <v>12.898535537756583</v>
      </c>
      <c r="F649">
        <f t="shared" si="94"/>
        <v>0.99405667862558567</v>
      </c>
      <c r="G649">
        <f t="shared" si="95"/>
        <v>1</v>
      </c>
      <c r="H649">
        <f t="shared" si="96"/>
        <v>12.860148344920695</v>
      </c>
      <c r="K649">
        <v>0.621</v>
      </c>
      <c r="L649">
        <f t="shared" si="92"/>
        <v>-14.525321251145101</v>
      </c>
      <c r="M649">
        <f t="shared" si="93"/>
        <v>21.117573347575295</v>
      </c>
      <c r="N649">
        <f t="shared" si="97"/>
        <v>0.99456215938447756</v>
      </c>
      <c r="O649">
        <f t="shared" si="98"/>
        <v>1</v>
      </c>
      <c r="P649">
        <f t="shared" si="99"/>
        <v>21.060078079475183</v>
      </c>
    </row>
    <row r="650" spans="3:16" x14ac:dyDescent="0.25">
      <c r="C650">
        <v>0.622</v>
      </c>
      <c r="D650">
        <f t="shared" si="90"/>
        <v>-13.392128670887018</v>
      </c>
      <c r="E650">
        <f t="shared" si="91"/>
        <v>12.891102525602172</v>
      </c>
      <c r="F650">
        <f t="shared" si="94"/>
        <v>0.99428361525499631</v>
      </c>
      <c r="G650">
        <f t="shared" si="95"/>
        <v>1</v>
      </c>
      <c r="H650">
        <f t="shared" si="96"/>
        <v>12.854204468243656</v>
      </c>
      <c r="K650">
        <v>0.622</v>
      </c>
      <c r="L650">
        <f t="shared" si="92"/>
        <v>-14.464128670887021</v>
      </c>
      <c r="M650">
        <f t="shared" si="93"/>
        <v>21.105343887030692</v>
      </c>
      <c r="N650">
        <f t="shared" si="97"/>
        <v>0.99477991490914075</v>
      </c>
      <c r="O650">
        <f t="shared" si="98"/>
        <v>1</v>
      </c>
      <c r="P650">
        <f t="shared" si="99"/>
        <v>21.050185965103775</v>
      </c>
    </row>
    <row r="651" spans="3:16" x14ac:dyDescent="0.25">
      <c r="C651">
        <v>0.623</v>
      </c>
      <c r="D651">
        <f t="shared" si="90"/>
        <v>-13.354936090628939</v>
      </c>
      <c r="E651">
        <f t="shared" si="91"/>
        <v>12.883669513447758</v>
      </c>
      <c r="F651">
        <f t="shared" si="94"/>
        <v>0.99450613452504077</v>
      </c>
      <c r="G651">
        <f t="shared" si="95"/>
        <v>1</v>
      </c>
      <c r="H651">
        <f t="shared" si="96"/>
        <v>12.848230198137342</v>
      </c>
      <c r="K651">
        <v>0.623</v>
      </c>
      <c r="L651">
        <f t="shared" si="92"/>
        <v>-14.402936090628941</v>
      </c>
      <c r="M651">
        <f t="shared" si="93"/>
        <v>21.093114426486089</v>
      </c>
      <c r="N651">
        <f t="shared" si="97"/>
        <v>0.99499322093590581</v>
      </c>
      <c r="O651">
        <f t="shared" si="98"/>
        <v>1</v>
      </c>
      <c r="P651">
        <f t="shared" si="99"/>
        <v>21.040243883808607</v>
      </c>
    </row>
    <row r="652" spans="3:16" x14ac:dyDescent="0.25">
      <c r="C652">
        <v>0.624</v>
      </c>
      <c r="D652">
        <f t="shared" si="90"/>
        <v>-13.317743510370864</v>
      </c>
      <c r="E652">
        <f t="shared" si="91"/>
        <v>12.876236501293347</v>
      </c>
      <c r="F652">
        <f t="shared" si="94"/>
        <v>0.99472423643571906</v>
      </c>
      <c r="G652">
        <f t="shared" si="95"/>
        <v>1</v>
      </c>
      <c r="H652">
        <f t="shared" si="96"/>
        <v>12.842225593905422</v>
      </c>
      <c r="K652">
        <v>0.624</v>
      </c>
      <c r="L652">
        <f t="shared" si="92"/>
        <v>-14.341743510370861</v>
      </c>
      <c r="M652">
        <f t="shared" si="93"/>
        <v>21.080884965941486</v>
      </c>
      <c r="N652">
        <f t="shared" si="97"/>
        <v>0.99520207746477274</v>
      </c>
      <c r="O652">
        <f t="shared" si="98"/>
        <v>1</v>
      </c>
      <c r="P652">
        <f t="shared" si="99"/>
        <v>21.030251933055041</v>
      </c>
    </row>
    <row r="653" spans="3:16" x14ac:dyDescent="0.25">
      <c r="C653">
        <v>0.625</v>
      </c>
      <c r="D653">
        <f t="shared" si="90"/>
        <v>-13.280550930112785</v>
      </c>
      <c r="E653">
        <f t="shared" si="91"/>
        <v>12.868803489138934</v>
      </c>
      <c r="F653">
        <f t="shared" si="94"/>
        <v>0.99493792098703104</v>
      </c>
      <c r="G653">
        <f t="shared" si="95"/>
        <v>1</v>
      </c>
      <c r="H653">
        <f t="shared" si="96"/>
        <v>12.836190714633105</v>
      </c>
      <c r="K653">
        <v>0.625</v>
      </c>
      <c r="L653">
        <f t="shared" si="92"/>
        <v>-14.280550930112781</v>
      </c>
      <c r="M653">
        <f t="shared" si="93"/>
        <v>21.06865550539688</v>
      </c>
      <c r="N653">
        <f t="shared" si="97"/>
        <v>0.99540648449574154</v>
      </c>
      <c r="O653">
        <f t="shared" si="98"/>
        <v>1</v>
      </c>
      <c r="P653">
        <f t="shared" si="99"/>
        <v>21.020210209948424</v>
      </c>
    </row>
    <row r="654" spans="3:16" x14ac:dyDescent="0.25">
      <c r="C654">
        <v>0.626</v>
      </c>
      <c r="D654">
        <f t="shared" si="90"/>
        <v>-13.243358349854706</v>
      </c>
      <c r="E654">
        <f t="shared" si="91"/>
        <v>12.861370476984522</v>
      </c>
      <c r="F654">
        <f t="shared" si="94"/>
        <v>0.99514718817897674</v>
      </c>
      <c r="G654">
        <f t="shared" si="95"/>
        <v>1</v>
      </c>
      <c r="H654">
        <f t="shared" si="96"/>
        <v>12.830125619188046</v>
      </c>
      <c r="K654">
        <v>0.626</v>
      </c>
      <c r="L654">
        <f t="shared" si="92"/>
        <v>-14.219358349854708</v>
      </c>
      <c r="M654">
        <f t="shared" si="93"/>
        <v>21.05642604485228</v>
      </c>
      <c r="N654">
        <f t="shared" si="97"/>
        <v>0.9956064420288121</v>
      </c>
      <c r="O654">
        <f t="shared" si="98"/>
        <v>1</v>
      </c>
      <c r="P654">
        <f t="shared" si="99"/>
        <v>21.010118811235522</v>
      </c>
    </row>
    <row r="655" spans="3:16" x14ac:dyDescent="0.25">
      <c r="C655">
        <v>0.627</v>
      </c>
      <c r="D655">
        <f t="shared" si="90"/>
        <v>-13.206165769596627</v>
      </c>
      <c r="E655">
        <f t="shared" si="91"/>
        <v>12.853937464830109</v>
      </c>
      <c r="F655">
        <f t="shared" si="94"/>
        <v>0.99535203801155625</v>
      </c>
      <c r="G655">
        <f t="shared" si="95"/>
        <v>1</v>
      </c>
      <c r="H655">
        <f t="shared" si="96"/>
        <v>12.824030366221209</v>
      </c>
      <c r="K655">
        <v>0.627</v>
      </c>
      <c r="L655">
        <f t="shared" si="92"/>
        <v>-14.158165769596629</v>
      </c>
      <c r="M655">
        <f t="shared" si="93"/>
        <v>21.044196584307674</v>
      </c>
      <c r="N655">
        <f t="shared" si="97"/>
        <v>0.99580195006398453</v>
      </c>
      <c r="O655">
        <f t="shared" si="98"/>
        <v>1</v>
      </c>
      <c r="P655">
        <f t="shared" si="99"/>
        <v>20.999977833305927</v>
      </c>
    </row>
    <row r="656" spans="3:16" x14ac:dyDescent="0.25">
      <c r="C656">
        <v>0.628</v>
      </c>
      <c r="D656">
        <f t="shared" si="90"/>
        <v>-13.168973189338548</v>
      </c>
      <c r="E656">
        <f t="shared" si="91"/>
        <v>12.846504452675696</v>
      </c>
      <c r="F656">
        <f t="shared" si="94"/>
        <v>0.99555247048476947</v>
      </c>
      <c r="G656">
        <f t="shared" si="95"/>
        <v>1</v>
      </c>
      <c r="H656">
        <f t="shared" si="96"/>
        <v>12.817905014167739</v>
      </c>
      <c r="K656">
        <v>0.628</v>
      </c>
      <c r="L656">
        <f t="shared" si="92"/>
        <v>-14.096973189338549</v>
      </c>
      <c r="M656">
        <f t="shared" si="93"/>
        <v>21.031967123763071</v>
      </c>
      <c r="N656">
        <f t="shared" si="97"/>
        <v>0.99599300860125883</v>
      </c>
      <c r="O656">
        <f t="shared" si="98"/>
        <v>1</v>
      </c>
      <c r="P656">
        <f t="shared" si="99"/>
        <v>20.989787372193529</v>
      </c>
    </row>
    <row r="657" spans="3:16" x14ac:dyDescent="0.25">
      <c r="C657">
        <v>0.629</v>
      </c>
      <c r="D657">
        <f t="shared" si="90"/>
        <v>-13.131780609080469</v>
      </c>
      <c r="E657">
        <f t="shared" si="91"/>
        <v>12.839071440521284</v>
      </c>
      <c r="F657">
        <f t="shared" si="94"/>
        <v>0.99574848559861651</v>
      </c>
      <c r="G657">
        <f t="shared" si="95"/>
        <v>1</v>
      </c>
      <c r="H657">
        <f t="shared" si="96"/>
        <v>12.811749621247827</v>
      </c>
      <c r="K657">
        <v>0.629</v>
      </c>
      <c r="L657">
        <f t="shared" si="92"/>
        <v>-14.035780609080469</v>
      </c>
      <c r="M657">
        <f t="shared" si="93"/>
        <v>21.019737663218468</v>
      </c>
      <c r="N657">
        <f t="shared" si="97"/>
        <v>0.99617961764063501</v>
      </c>
      <c r="O657">
        <f t="shared" si="98"/>
        <v>1</v>
      </c>
      <c r="P657">
        <f t="shared" si="99"/>
        <v>20.979547523577875</v>
      </c>
    </row>
    <row r="658" spans="3:16" x14ac:dyDescent="0.25">
      <c r="C658">
        <v>0.63</v>
      </c>
      <c r="D658">
        <f t="shared" si="90"/>
        <v>-13.09458802882239</v>
      </c>
      <c r="E658">
        <f t="shared" si="91"/>
        <v>12.831638428366871</v>
      </c>
      <c r="F658">
        <f t="shared" si="94"/>
        <v>0.99594008335309725</v>
      </c>
      <c r="G658">
        <f t="shared" si="95"/>
        <v>1</v>
      </c>
      <c r="H658">
        <f t="shared" si="96"/>
        <v>12.805564245467549</v>
      </c>
      <c r="K658">
        <v>0.63</v>
      </c>
      <c r="L658">
        <f t="shared" si="92"/>
        <v>-13.974588028822389</v>
      </c>
      <c r="M658">
        <f t="shared" si="93"/>
        <v>21.007508202673865</v>
      </c>
      <c r="N658">
        <f t="shared" si="97"/>
        <v>0.99636177718211294</v>
      </c>
      <c r="O658">
        <f t="shared" si="98"/>
        <v>1</v>
      </c>
      <c r="P658">
        <f t="shared" si="99"/>
        <v>20.969258382785583</v>
      </c>
    </row>
    <row r="659" spans="3:16" x14ac:dyDescent="0.25">
      <c r="C659">
        <v>0.63100000000000001</v>
      </c>
      <c r="D659">
        <f t="shared" si="90"/>
        <v>-13.057395448564314</v>
      </c>
      <c r="E659">
        <f t="shared" si="91"/>
        <v>12.824205416212459</v>
      </c>
      <c r="F659">
        <f t="shared" si="94"/>
        <v>0.99612726374821181</v>
      </c>
      <c r="G659">
        <f t="shared" si="95"/>
        <v>1</v>
      </c>
      <c r="H659">
        <f t="shared" si="96"/>
        <v>12.799348944619735</v>
      </c>
      <c r="K659">
        <v>0.63100000000000001</v>
      </c>
      <c r="L659">
        <f t="shared" si="92"/>
        <v>-13.913395448564316</v>
      </c>
      <c r="M659">
        <f t="shared" si="93"/>
        <v>20.995278742129262</v>
      </c>
      <c r="N659">
        <f t="shared" si="97"/>
        <v>0.99653948722569274</v>
      </c>
      <c r="O659">
        <f t="shared" si="98"/>
        <v>1</v>
      </c>
      <c r="P659">
        <f t="shared" si="99"/>
        <v>20.958920044791736</v>
      </c>
    </row>
    <row r="660" spans="3:16" x14ac:dyDescent="0.25">
      <c r="C660">
        <v>0.63200000000000001</v>
      </c>
      <c r="D660">
        <f t="shared" si="90"/>
        <v>-13.020202868306235</v>
      </c>
      <c r="E660">
        <f t="shared" si="91"/>
        <v>12.816772404058046</v>
      </c>
      <c r="F660">
        <f t="shared" si="94"/>
        <v>0.99631002678396008</v>
      </c>
      <c r="G660">
        <f t="shared" si="95"/>
        <v>1</v>
      </c>
      <c r="H660">
        <f t="shared" si="96"/>
        <v>12.793103776284777</v>
      </c>
      <c r="K660">
        <v>0.63200000000000001</v>
      </c>
      <c r="L660">
        <f t="shared" si="92"/>
        <v>-13.852202868306236</v>
      </c>
      <c r="M660">
        <f t="shared" si="93"/>
        <v>20.983049281584659</v>
      </c>
      <c r="N660">
        <f t="shared" si="97"/>
        <v>0.99671274777137442</v>
      </c>
      <c r="O660">
        <f t="shared" si="98"/>
        <v>1</v>
      </c>
      <c r="P660">
        <f t="shared" si="99"/>
        <v>20.948532604221231</v>
      </c>
    </row>
    <row r="661" spans="3:16" x14ac:dyDescent="0.25">
      <c r="C661">
        <v>0.63300000000000001</v>
      </c>
      <c r="D661">
        <f t="shared" si="90"/>
        <v>-12.983010288048156</v>
      </c>
      <c r="E661">
        <f t="shared" si="91"/>
        <v>12.809339391903634</v>
      </c>
      <c r="F661">
        <f t="shared" si="94"/>
        <v>0.99648837246034216</v>
      </c>
      <c r="G661">
        <f t="shared" si="95"/>
        <v>1</v>
      </c>
      <c r="H661">
        <f t="shared" si="96"/>
        <v>12.786828797831493</v>
      </c>
      <c r="K661">
        <v>0.63300000000000001</v>
      </c>
      <c r="L661">
        <f t="shared" si="92"/>
        <v>-13.791010288048156</v>
      </c>
      <c r="M661">
        <f t="shared" si="93"/>
        <v>20.970819821040052</v>
      </c>
      <c r="N661">
        <f t="shared" si="97"/>
        <v>0.99688155881915796</v>
      </c>
      <c r="O661">
        <f t="shared" si="98"/>
        <v>1</v>
      </c>
      <c r="P661">
        <f t="shared" si="99"/>
        <v>20.938096155350149</v>
      </c>
    </row>
    <row r="662" spans="3:16" x14ac:dyDescent="0.25">
      <c r="C662">
        <v>0.63400000000000001</v>
      </c>
      <c r="D662">
        <f t="shared" si="90"/>
        <v>-12.945817707790077</v>
      </c>
      <c r="E662">
        <f t="shared" si="91"/>
        <v>12.801906379749221</v>
      </c>
      <c r="F662">
        <f t="shared" si="94"/>
        <v>0.99666230077735796</v>
      </c>
      <c r="G662">
        <f t="shared" si="95"/>
        <v>1</v>
      </c>
      <c r="H662">
        <f t="shared" si="96"/>
        <v>12.780524066417913</v>
      </c>
      <c r="K662">
        <v>0.63400000000000001</v>
      </c>
      <c r="L662">
        <f t="shared" si="92"/>
        <v>-13.729817707790076</v>
      </c>
      <c r="M662">
        <f t="shared" si="93"/>
        <v>20.95859036049545</v>
      </c>
      <c r="N662">
        <f t="shared" si="97"/>
        <v>0.99704592036904327</v>
      </c>
      <c r="O662">
        <f t="shared" si="98"/>
        <v>1</v>
      </c>
      <c r="P662">
        <f t="shared" si="99"/>
        <v>20.927610792107089</v>
      </c>
    </row>
    <row r="663" spans="3:16" x14ac:dyDescent="0.25">
      <c r="C663">
        <v>0.63500000000000001</v>
      </c>
      <c r="D663">
        <f t="shared" si="90"/>
        <v>-12.908625127531998</v>
      </c>
      <c r="E663">
        <f t="shared" si="91"/>
        <v>12.794473367594808</v>
      </c>
      <c r="F663">
        <f t="shared" si="94"/>
        <v>0.99683181173500746</v>
      </c>
      <c r="G663">
        <f t="shared" si="95"/>
        <v>1</v>
      </c>
      <c r="H663">
        <f t="shared" si="96"/>
        <v>12.774189638992127</v>
      </c>
      <c r="K663">
        <v>0.63500000000000001</v>
      </c>
      <c r="L663">
        <f t="shared" si="92"/>
        <v>-13.668625127531996</v>
      </c>
      <c r="M663">
        <f t="shared" si="93"/>
        <v>20.946360899950847</v>
      </c>
      <c r="N663">
        <f t="shared" si="97"/>
        <v>0.99720583242103045</v>
      </c>
      <c r="O663">
        <f t="shared" si="98"/>
        <v>1</v>
      </c>
      <c r="P663">
        <f t="shared" si="99"/>
        <v>20.91707660807451</v>
      </c>
    </row>
    <row r="664" spans="3:16" x14ac:dyDescent="0.25">
      <c r="C664">
        <v>0.63600000000000001</v>
      </c>
      <c r="D664">
        <f t="shared" si="90"/>
        <v>-12.871432547273919</v>
      </c>
      <c r="E664">
        <f t="shared" si="91"/>
        <v>12.787040355440396</v>
      </c>
      <c r="F664">
        <f t="shared" si="94"/>
        <v>0.99699690533329077</v>
      </c>
      <c r="G664">
        <f t="shared" si="95"/>
        <v>1</v>
      </c>
      <c r="H664">
        <f t="shared" si="96"/>
        <v>12.76782557229307</v>
      </c>
      <c r="K664">
        <v>0.63600000000000001</v>
      </c>
      <c r="L664">
        <f t="shared" si="92"/>
        <v>-13.607432547273916</v>
      </c>
      <c r="M664">
        <f t="shared" si="93"/>
        <v>20.934131439406244</v>
      </c>
      <c r="N664">
        <f t="shared" si="97"/>
        <v>0.99736129497511949</v>
      </c>
      <c r="O664">
        <f t="shared" si="98"/>
        <v>1</v>
      </c>
      <c r="P664">
        <f t="shared" si="99"/>
        <v>20.906493696490045</v>
      </c>
    </row>
    <row r="665" spans="3:16" x14ac:dyDescent="0.25">
      <c r="C665">
        <v>0.63700000000000001</v>
      </c>
      <c r="D665">
        <f t="shared" si="90"/>
        <v>-12.83423996701584</v>
      </c>
      <c r="E665">
        <f t="shared" si="91"/>
        <v>12.779607343285983</v>
      </c>
      <c r="F665">
        <f t="shared" si="94"/>
        <v>0.99715758157220791</v>
      </c>
      <c r="G665">
        <f t="shared" si="95"/>
        <v>1</v>
      </c>
      <c r="H665">
        <f t="shared" si="96"/>
        <v>12.76143192285133</v>
      </c>
      <c r="K665">
        <v>0.63700000000000001</v>
      </c>
      <c r="L665">
        <f t="shared" si="92"/>
        <v>-13.546239967015843</v>
      </c>
      <c r="M665">
        <f t="shared" si="93"/>
        <v>20.921901978861641</v>
      </c>
      <c r="N665">
        <f t="shared" si="97"/>
        <v>0.99751230803131041</v>
      </c>
      <c r="O665">
        <f t="shared" si="98"/>
        <v>1</v>
      </c>
      <c r="P665">
        <f t="shared" si="99"/>
        <v>20.895862150247805</v>
      </c>
    </row>
    <row r="666" spans="3:16" x14ac:dyDescent="0.25">
      <c r="C666">
        <v>0.63800000000000001</v>
      </c>
      <c r="D666">
        <f t="shared" si="90"/>
        <v>-12.797047386757761</v>
      </c>
      <c r="E666">
        <f t="shared" si="91"/>
        <v>12.77217433113157</v>
      </c>
      <c r="F666">
        <f t="shared" si="94"/>
        <v>0.99731384045175875</v>
      </c>
      <c r="G666">
        <f t="shared" si="95"/>
        <v>1</v>
      </c>
      <c r="H666">
        <f t="shared" si="96"/>
        <v>12.755008746989942</v>
      </c>
      <c r="K666">
        <v>0.63800000000000001</v>
      </c>
      <c r="L666">
        <f t="shared" si="92"/>
        <v>-13.485047386757763</v>
      </c>
      <c r="M666">
        <f t="shared" si="93"/>
        <v>20.909672518317038</v>
      </c>
      <c r="N666">
        <f t="shared" si="97"/>
        <v>0.9976588715896032</v>
      </c>
      <c r="O666">
        <f t="shared" si="98"/>
        <v>1</v>
      </c>
      <c r="P666">
        <f t="shared" si="99"/>
        <v>20.885182061899684</v>
      </c>
    </row>
    <row r="667" spans="3:16" x14ac:dyDescent="0.25">
      <c r="C667">
        <v>0.63900000000000001</v>
      </c>
      <c r="D667">
        <f t="shared" si="90"/>
        <v>-12.759854806499686</v>
      </c>
      <c r="E667">
        <f t="shared" si="91"/>
        <v>12.764741318977158</v>
      </c>
      <c r="F667">
        <f t="shared" si="94"/>
        <v>0.9974656819719433</v>
      </c>
      <c r="G667">
        <f t="shared" si="95"/>
        <v>1</v>
      </c>
      <c r="H667">
        <f t="shared" si="96"/>
        <v>12.748556100825173</v>
      </c>
      <c r="K667">
        <v>0.63900000000000001</v>
      </c>
      <c r="L667">
        <f t="shared" si="92"/>
        <v>-13.423854806499683</v>
      </c>
      <c r="M667">
        <f t="shared" si="93"/>
        <v>20.897443057772435</v>
      </c>
      <c r="N667">
        <f t="shared" si="97"/>
        <v>0.99780098564999775</v>
      </c>
      <c r="O667">
        <f t="shared" si="98"/>
        <v>1</v>
      </c>
      <c r="P667">
        <f t="shared" si="99"/>
        <v>20.874453523656626</v>
      </c>
    </row>
    <row r="668" spans="3:16" x14ac:dyDescent="0.25">
      <c r="C668">
        <v>0.64</v>
      </c>
      <c r="D668">
        <f t="shared" ref="D668:D731" si="100">-$J$23+($J$15+$J$23)*C668</f>
        <v>-12.722662226241606</v>
      </c>
      <c r="E668">
        <f t="shared" ref="E668:E731" si="101">$J$12-$J$11*D668</f>
        <v>12.757308306822747</v>
      </c>
      <c r="F668">
        <f t="shared" si="94"/>
        <v>0.99761310613276166</v>
      </c>
      <c r="G668">
        <f t="shared" si="95"/>
        <v>1</v>
      </c>
      <c r="H668">
        <f t="shared" si="96"/>
        <v>12.742074040267298</v>
      </c>
      <c r="K668">
        <v>0.64</v>
      </c>
      <c r="L668">
        <f t="shared" ref="L668:L731" si="102">-$M$23+($M$15+$M$23)*K668</f>
        <v>-13.362662226241603</v>
      </c>
      <c r="M668">
        <f t="shared" ref="M668:M731" si="103">$J$12-$J$11*L668+$E$18</f>
        <v>20.885213597227832</v>
      </c>
      <c r="N668">
        <f t="shared" si="97"/>
        <v>0.99793865021249417</v>
      </c>
      <c r="O668">
        <f t="shared" si="98"/>
        <v>1</v>
      </c>
      <c r="P668">
        <f t="shared" si="99"/>
        <v>20.863676627389918</v>
      </c>
    </row>
    <row r="669" spans="3:16" x14ac:dyDescent="0.25">
      <c r="C669">
        <v>0.64100000000000001</v>
      </c>
      <c r="D669">
        <f t="shared" si="100"/>
        <v>-12.685469645983527</v>
      </c>
      <c r="E669">
        <f t="shared" si="101"/>
        <v>12.749875294668334</v>
      </c>
      <c r="F669">
        <f t="shared" ref="F669:F732" si="104">IF(D669&lt;$J$20,MAX(1-(D669-$J$20)^2/$J$22^2,0),1)</f>
        <v>0.99775611293421385</v>
      </c>
      <c r="G669">
        <f t="shared" ref="G669:G732" si="105">IF(D669&gt;$J$17,MAX(1-(D669-$J$17)^2/($J$15-$J$17)^2,0),1)</f>
        <v>1</v>
      </c>
      <c r="H669">
        <f t="shared" ref="H669:H732" si="106">SQRT(E669^2*F669*G669)</f>
        <v>12.735562621021362</v>
      </c>
      <c r="K669">
        <v>0.64100000000000001</v>
      </c>
      <c r="L669">
        <f t="shared" si="102"/>
        <v>-13.301469645983524</v>
      </c>
      <c r="M669">
        <f t="shared" si="103"/>
        <v>20.872984136683229</v>
      </c>
      <c r="N669">
        <f t="shared" ref="N669:N732" si="107">IF(L669&lt;$J$20,MAX(1-(L669-$J$20)^2/$M$22^2,0),1)</f>
        <v>0.99807186527709246</v>
      </c>
      <c r="O669">
        <f t="shared" ref="O669:O732" si="108">IF(L669&gt;$J$17,MAX(1-(L669-$J$17)^2/($M$15-$J$17)^2,0),1)</f>
        <v>1</v>
      </c>
      <c r="P669">
        <f t="shared" ref="P669:P732" si="109">SQRT(M669^2*N669*O669)</f>
        <v>20.852851464632426</v>
      </c>
    </row>
    <row r="670" spans="3:16" x14ac:dyDescent="0.25">
      <c r="C670">
        <v>0.64200000000000002</v>
      </c>
      <c r="D670">
        <f t="shared" si="100"/>
        <v>-12.648277065725448</v>
      </c>
      <c r="E670">
        <f t="shared" si="101"/>
        <v>12.74244228251392</v>
      </c>
      <c r="F670">
        <f t="shared" si="104"/>
        <v>0.99789470237629962</v>
      </c>
      <c r="G670">
        <f t="shared" si="105"/>
        <v>1</v>
      </c>
      <c r="H670">
        <f t="shared" si="106"/>
        <v>12.729021898587968</v>
      </c>
      <c r="K670">
        <v>0.64200000000000002</v>
      </c>
      <c r="L670">
        <f t="shared" si="102"/>
        <v>-13.240277065725451</v>
      </c>
      <c r="M670">
        <f t="shared" si="103"/>
        <v>20.860754676138626</v>
      </c>
      <c r="N670">
        <f t="shared" si="107"/>
        <v>0.99820063084379251</v>
      </c>
      <c r="O670">
        <f t="shared" si="108"/>
        <v>1</v>
      </c>
      <c r="P670">
        <f t="shared" si="109"/>
        <v>20.841978126579857</v>
      </c>
    </row>
    <row r="671" spans="3:16" x14ac:dyDescent="0.25">
      <c r="C671">
        <v>0.64300000000000002</v>
      </c>
      <c r="D671">
        <f t="shared" si="100"/>
        <v>-12.611084485467369</v>
      </c>
      <c r="E671">
        <f t="shared" si="101"/>
        <v>12.735009270359509</v>
      </c>
      <c r="F671">
        <f t="shared" si="104"/>
        <v>0.99802887445901933</v>
      </c>
      <c r="G671">
        <f t="shared" si="105"/>
        <v>1</v>
      </c>
      <c r="H671">
        <f t="shared" si="106"/>
        <v>12.722451928264007</v>
      </c>
      <c r="K671">
        <v>0.64300000000000002</v>
      </c>
      <c r="L671">
        <f t="shared" si="102"/>
        <v>-13.179084485467371</v>
      </c>
      <c r="M671">
        <f t="shared" si="103"/>
        <v>20.848525215594023</v>
      </c>
      <c r="N671">
        <f t="shared" si="107"/>
        <v>0.99832494691259455</v>
      </c>
      <c r="O671">
        <f t="shared" si="108"/>
        <v>1</v>
      </c>
      <c r="P671">
        <f t="shared" si="109"/>
        <v>20.831056704091985</v>
      </c>
    </row>
    <row r="672" spans="3:16" x14ac:dyDescent="0.25">
      <c r="C672">
        <v>0.64400000000000002</v>
      </c>
      <c r="D672">
        <f t="shared" si="100"/>
        <v>-12.57389190520929</v>
      </c>
      <c r="E672">
        <f t="shared" si="101"/>
        <v>12.727576258205096</v>
      </c>
      <c r="F672">
        <f t="shared" si="104"/>
        <v>0.99815862918237275</v>
      </c>
      <c r="G672">
        <f t="shared" si="105"/>
        <v>1</v>
      </c>
      <c r="H672">
        <f t="shared" si="106"/>
        <v>12.715852765143422</v>
      </c>
      <c r="K672">
        <v>0.64400000000000002</v>
      </c>
      <c r="L672">
        <f t="shared" si="102"/>
        <v>-13.117891905209291</v>
      </c>
      <c r="M672">
        <f t="shared" si="103"/>
        <v>20.83629575504942</v>
      </c>
      <c r="N672">
        <f t="shared" si="107"/>
        <v>0.99844481348349834</v>
      </c>
      <c r="O672">
        <f t="shared" si="108"/>
        <v>1</v>
      </c>
      <c r="P672">
        <f t="shared" si="109"/>
        <v>20.820087287693877</v>
      </c>
    </row>
    <row r="673" spans="3:16" x14ac:dyDescent="0.25">
      <c r="C673">
        <v>0.64500000000000002</v>
      </c>
      <c r="D673">
        <f t="shared" si="100"/>
        <v>-12.536699324951211</v>
      </c>
      <c r="E673">
        <f t="shared" si="101"/>
        <v>12.720143246050682</v>
      </c>
      <c r="F673">
        <f t="shared" si="104"/>
        <v>0.99828396654635987</v>
      </c>
      <c r="G673">
        <f t="shared" si="105"/>
        <v>1</v>
      </c>
      <c r="H673">
        <f t="shared" si="106"/>
        <v>12.709224464117948</v>
      </c>
      <c r="K673">
        <v>0.64500000000000002</v>
      </c>
      <c r="L673">
        <f t="shared" si="102"/>
        <v>-13.056699324951211</v>
      </c>
      <c r="M673">
        <f t="shared" si="103"/>
        <v>20.824066294504817</v>
      </c>
      <c r="N673">
        <f t="shared" si="107"/>
        <v>0.998560230556504</v>
      </c>
      <c r="O673">
        <f t="shared" si="108"/>
        <v>1</v>
      </c>
      <c r="P673">
        <f t="shared" si="109"/>
        <v>20.809069967577116</v>
      </c>
    </row>
    <row r="674" spans="3:16" x14ac:dyDescent="0.25">
      <c r="C674">
        <v>0.64600000000000002</v>
      </c>
      <c r="D674">
        <f t="shared" si="100"/>
        <v>-12.499506744693136</v>
      </c>
      <c r="E674">
        <f t="shared" si="101"/>
        <v>12.712710233896271</v>
      </c>
      <c r="F674">
        <f t="shared" si="104"/>
        <v>0.9984048865509807</v>
      </c>
      <c r="G674">
        <f t="shared" si="105"/>
        <v>1</v>
      </c>
      <c r="H674">
        <f t="shared" si="106"/>
        <v>12.702567079877841</v>
      </c>
      <c r="K674">
        <v>0.64600000000000002</v>
      </c>
      <c r="L674">
        <f t="shared" si="102"/>
        <v>-12.995506744693131</v>
      </c>
      <c r="M674">
        <f t="shared" si="103"/>
        <v>20.811836833960211</v>
      </c>
      <c r="N674">
        <f t="shared" si="107"/>
        <v>0.99867119813161143</v>
      </c>
      <c r="O674">
        <f t="shared" si="108"/>
        <v>1</v>
      </c>
      <c r="P674">
        <f t="shared" si="109"/>
        <v>20.798004833600974</v>
      </c>
    </row>
    <row r="675" spans="3:16" x14ac:dyDescent="0.25">
      <c r="C675">
        <v>0.64700000000000002</v>
      </c>
      <c r="D675">
        <f t="shared" si="100"/>
        <v>-12.462314164435057</v>
      </c>
      <c r="E675">
        <f t="shared" si="101"/>
        <v>12.705277221741857</v>
      </c>
      <c r="F675">
        <f t="shared" si="104"/>
        <v>0.99852138919623545</v>
      </c>
      <c r="G675">
        <f t="shared" si="105"/>
        <v>1</v>
      </c>
      <c r="H675">
        <f t="shared" si="106"/>
        <v>12.695880666912615</v>
      </c>
      <c r="K675">
        <v>0.64700000000000002</v>
      </c>
      <c r="L675">
        <f t="shared" si="102"/>
        <v>-12.934314164435058</v>
      </c>
      <c r="M675">
        <f t="shared" si="103"/>
        <v>20.799607373415611</v>
      </c>
      <c r="N675">
        <f t="shared" si="107"/>
        <v>0.99877771620882083</v>
      </c>
      <c r="O675">
        <f t="shared" si="108"/>
        <v>1</v>
      </c>
      <c r="P675">
        <f t="shared" si="109"/>
        <v>20.786891975293639</v>
      </c>
    </row>
    <row r="676" spans="3:16" x14ac:dyDescent="0.25">
      <c r="C676">
        <v>0.64800000000000002</v>
      </c>
      <c r="D676">
        <f t="shared" si="100"/>
        <v>-12.425121584176978</v>
      </c>
      <c r="E676">
        <f t="shared" si="101"/>
        <v>12.697844209587446</v>
      </c>
      <c r="F676">
        <f t="shared" si="104"/>
        <v>0.99863347448212381</v>
      </c>
      <c r="G676">
        <f t="shared" si="105"/>
        <v>1</v>
      </c>
      <c r="H676">
        <f t="shared" si="106"/>
        <v>12.689165279511753</v>
      </c>
      <c r="K676">
        <v>0.64800000000000002</v>
      </c>
      <c r="L676">
        <f t="shared" si="102"/>
        <v>-12.873121584176978</v>
      </c>
      <c r="M676">
        <f t="shared" si="103"/>
        <v>20.787377912871008</v>
      </c>
      <c r="N676">
        <f t="shared" si="107"/>
        <v>0.998879784788132</v>
      </c>
      <c r="O676">
        <f t="shared" si="108"/>
        <v>1</v>
      </c>
      <c r="P676">
        <f t="shared" si="109"/>
        <v>20.775731481853345</v>
      </c>
    </row>
    <row r="677" spans="3:16" x14ac:dyDescent="0.25">
      <c r="C677">
        <v>0.64900000000000002</v>
      </c>
      <c r="D677">
        <f t="shared" si="100"/>
        <v>-12.387929003918899</v>
      </c>
      <c r="E677">
        <f t="shared" si="101"/>
        <v>12.690411197433033</v>
      </c>
      <c r="F677">
        <f t="shared" si="104"/>
        <v>0.99874114240864598</v>
      </c>
      <c r="G677">
        <f t="shared" si="105"/>
        <v>1</v>
      </c>
      <c r="H677">
        <f t="shared" si="106"/>
        <v>12.682420971765435</v>
      </c>
      <c r="K677">
        <v>0.64900000000000002</v>
      </c>
      <c r="L677">
        <f t="shared" si="102"/>
        <v>-12.811929003918898</v>
      </c>
      <c r="M677">
        <f t="shared" si="103"/>
        <v>20.775148452326402</v>
      </c>
      <c r="N677">
        <f t="shared" si="107"/>
        <v>0.99897740386954503</v>
      </c>
      <c r="O677">
        <f t="shared" si="108"/>
        <v>1</v>
      </c>
      <c r="P677">
        <f t="shared" si="109"/>
        <v>20.764523442149571</v>
      </c>
    </row>
    <row r="678" spans="3:16" x14ac:dyDescent="0.25">
      <c r="C678">
        <v>0.65</v>
      </c>
      <c r="D678">
        <f t="shared" si="100"/>
        <v>-12.35073642366082</v>
      </c>
      <c r="E678">
        <f t="shared" si="101"/>
        <v>12.682978185278621</v>
      </c>
      <c r="F678">
        <f t="shared" si="104"/>
        <v>0.99884439297580196</v>
      </c>
      <c r="G678">
        <f t="shared" si="105"/>
        <v>1</v>
      </c>
      <c r="H678">
        <f t="shared" si="106"/>
        <v>12.67564779756523</v>
      </c>
      <c r="K678">
        <v>0.65</v>
      </c>
      <c r="L678">
        <f t="shared" si="102"/>
        <v>-12.750736423660818</v>
      </c>
      <c r="M678">
        <f t="shared" si="103"/>
        <v>20.762918991781799</v>
      </c>
      <c r="N678">
        <f t="shared" si="107"/>
        <v>0.99907057345305983</v>
      </c>
      <c r="O678">
        <f t="shared" si="108"/>
        <v>1</v>
      </c>
      <c r="P678">
        <f t="shared" si="109"/>
        <v>20.7532679447242</v>
      </c>
    </row>
    <row r="679" spans="3:16" x14ac:dyDescent="0.25">
      <c r="C679">
        <v>0.65100000000000002</v>
      </c>
      <c r="D679">
        <f t="shared" si="100"/>
        <v>-12.313543843402741</v>
      </c>
      <c r="E679">
        <f t="shared" si="101"/>
        <v>12.675545173124208</v>
      </c>
      <c r="F679">
        <f t="shared" si="104"/>
        <v>0.99894322618359166</v>
      </c>
      <c r="G679">
        <f t="shared" si="105"/>
        <v>1</v>
      </c>
      <c r="H679">
        <f t="shared" si="106"/>
        <v>12.668845810604804</v>
      </c>
      <c r="K679">
        <v>0.65100000000000002</v>
      </c>
      <c r="L679">
        <f t="shared" si="102"/>
        <v>-12.689543843402738</v>
      </c>
      <c r="M679">
        <f t="shared" si="103"/>
        <v>20.750689531237196</v>
      </c>
      <c r="N679">
        <f t="shared" si="107"/>
        <v>0.99915929353867661</v>
      </c>
      <c r="O679">
        <f t="shared" si="108"/>
        <v>1</v>
      </c>
      <c r="P679">
        <f t="shared" si="109"/>
        <v>20.741965077792628</v>
      </c>
    </row>
    <row r="680" spans="3:16" x14ac:dyDescent="0.25">
      <c r="C680">
        <v>0.65200000000000002</v>
      </c>
      <c r="D680">
        <f t="shared" si="100"/>
        <v>-12.276351263144662</v>
      </c>
      <c r="E680">
        <f t="shared" si="101"/>
        <v>12.668112160969795</v>
      </c>
      <c r="F680">
        <f t="shared" si="104"/>
        <v>0.99903764203201517</v>
      </c>
      <c r="G680">
        <f t="shared" si="105"/>
        <v>1</v>
      </c>
      <c r="H680">
        <f t="shared" si="106"/>
        <v>12.662015064380617</v>
      </c>
      <c r="K680">
        <v>0.65200000000000002</v>
      </c>
      <c r="L680">
        <f t="shared" si="102"/>
        <v>-12.628351263144665</v>
      </c>
      <c r="M680">
        <f t="shared" si="103"/>
        <v>20.738460070692593</v>
      </c>
      <c r="N680">
        <f t="shared" si="107"/>
        <v>0.99924356412639515</v>
      </c>
      <c r="O680">
        <f t="shared" si="108"/>
        <v>1</v>
      </c>
      <c r="P680">
        <f t="shared" si="109"/>
        <v>20.730614929244926</v>
      </c>
    </row>
    <row r="681" spans="3:16" x14ac:dyDescent="0.25">
      <c r="C681">
        <v>0.65300000000000002</v>
      </c>
      <c r="D681">
        <f t="shared" si="100"/>
        <v>-12.239158682886583</v>
      </c>
      <c r="E681">
        <f t="shared" si="101"/>
        <v>12.660679148815383</v>
      </c>
      <c r="F681">
        <f t="shared" si="104"/>
        <v>0.99912764052107239</v>
      </c>
      <c r="G681">
        <f t="shared" si="105"/>
        <v>1</v>
      </c>
      <c r="H681">
        <f t="shared" si="106"/>
        <v>12.655155612192603</v>
      </c>
      <c r="K681">
        <v>0.65300000000000002</v>
      </c>
      <c r="L681">
        <f t="shared" si="102"/>
        <v>-12.567158682886586</v>
      </c>
      <c r="M681">
        <f t="shared" si="103"/>
        <v>20.72623061014799</v>
      </c>
      <c r="N681">
        <f t="shared" si="107"/>
        <v>0.99932338521621555</v>
      </c>
      <c r="O681">
        <f t="shared" si="108"/>
        <v>1</v>
      </c>
      <c r="P681">
        <f t="shared" si="109"/>
        <v>20.719217586646938</v>
      </c>
    </row>
    <row r="682" spans="3:16" x14ac:dyDescent="0.25">
      <c r="C682">
        <v>0.65400000000000003</v>
      </c>
      <c r="D682">
        <f t="shared" si="100"/>
        <v>-12.201966102628507</v>
      </c>
      <c r="E682">
        <f t="shared" si="101"/>
        <v>12.65324613666097</v>
      </c>
      <c r="F682">
        <f t="shared" si="104"/>
        <v>0.99921322165076332</v>
      </c>
      <c r="G682">
        <f t="shared" si="105"/>
        <v>1</v>
      </c>
      <c r="H682">
        <f t="shared" si="106"/>
        <v>12.648267507144855</v>
      </c>
      <c r="K682">
        <v>0.65400000000000003</v>
      </c>
      <c r="L682">
        <f t="shared" si="102"/>
        <v>-12.505966102628506</v>
      </c>
      <c r="M682">
        <f t="shared" si="103"/>
        <v>20.714001149603387</v>
      </c>
      <c r="N682">
        <f t="shared" si="107"/>
        <v>0.99939875680813783</v>
      </c>
      <c r="O682">
        <f t="shared" si="108"/>
        <v>1</v>
      </c>
      <c r="P682">
        <f t="shared" si="109"/>
        <v>20.707773137241414</v>
      </c>
    </row>
    <row r="683" spans="3:16" x14ac:dyDescent="0.25">
      <c r="C683">
        <v>0.65500000000000003</v>
      </c>
      <c r="D683">
        <f t="shared" si="100"/>
        <v>-12.164773522370428</v>
      </c>
      <c r="E683">
        <f t="shared" si="101"/>
        <v>12.645813124506558</v>
      </c>
      <c r="F683">
        <f t="shared" si="104"/>
        <v>0.99929438542108806</v>
      </c>
      <c r="G683">
        <f t="shared" si="105"/>
        <v>1</v>
      </c>
      <c r="H683">
        <f t="shared" si="106"/>
        <v>12.641350802146299</v>
      </c>
      <c r="K683">
        <v>0.65500000000000003</v>
      </c>
      <c r="L683">
        <f t="shared" si="102"/>
        <v>-12.444773522370426</v>
      </c>
      <c r="M683">
        <f t="shared" si="103"/>
        <v>20.701771689058781</v>
      </c>
      <c r="N683">
        <f t="shared" si="107"/>
        <v>0.99946967890216187</v>
      </c>
      <c r="O683">
        <f t="shared" si="108"/>
        <v>1</v>
      </c>
      <c r="P683">
        <f t="shared" si="109"/>
        <v>20.69628166794908</v>
      </c>
    </row>
    <row r="684" spans="3:16" x14ac:dyDescent="0.25">
      <c r="C684">
        <v>0.65600000000000003</v>
      </c>
      <c r="D684">
        <f t="shared" si="100"/>
        <v>-12.127580942112349</v>
      </c>
      <c r="E684">
        <f t="shared" si="101"/>
        <v>12.638380112352145</v>
      </c>
      <c r="F684">
        <f t="shared" si="104"/>
        <v>0.99937113183204662</v>
      </c>
      <c r="G684">
        <f t="shared" si="105"/>
        <v>1</v>
      </c>
      <c r="H684">
        <f t="shared" si="106"/>
        <v>12.634405549911348</v>
      </c>
      <c r="K684">
        <v>0.65600000000000003</v>
      </c>
      <c r="L684">
        <f t="shared" si="102"/>
        <v>-12.383580942112346</v>
      </c>
      <c r="M684">
        <f t="shared" si="103"/>
        <v>20.689542228514178</v>
      </c>
      <c r="N684">
        <f t="shared" si="107"/>
        <v>0.99953615149828778</v>
      </c>
      <c r="O684">
        <f t="shared" si="108"/>
        <v>1</v>
      </c>
      <c r="P684">
        <f t="shared" si="109"/>
        <v>20.684743265369761</v>
      </c>
    </row>
    <row r="685" spans="3:16" x14ac:dyDescent="0.25">
      <c r="C685">
        <v>0.65700000000000003</v>
      </c>
      <c r="D685">
        <f t="shared" si="100"/>
        <v>-12.09038836185427</v>
      </c>
      <c r="E685">
        <f t="shared" si="101"/>
        <v>12.630947100197734</v>
      </c>
      <c r="F685">
        <f t="shared" si="104"/>
        <v>0.99944346088363878</v>
      </c>
      <c r="G685">
        <f t="shared" si="105"/>
        <v>1</v>
      </c>
      <c r="H685">
        <f t="shared" si="106"/>
        <v>12.627431802960585</v>
      </c>
      <c r="K685">
        <v>0.65700000000000003</v>
      </c>
      <c r="L685">
        <f t="shared" si="102"/>
        <v>-12.322388361854266</v>
      </c>
      <c r="M685">
        <f t="shared" si="103"/>
        <v>20.677312767969575</v>
      </c>
      <c r="N685">
        <f t="shared" si="107"/>
        <v>0.99959817459651568</v>
      </c>
      <c r="O685">
        <f t="shared" si="108"/>
        <v>1</v>
      </c>
      <c r="P685">
        <f t="shared" si="109"/>
        <v>20.673158015783414</v>
      </c>
    </row>
    <row r="686" spans="3:16" x14ac:dyDescent="0.25">
      <c r="C686">
        <v>0.65800000000000003</v>
      </c>
      <c r="D686">
        <f t="shared" si="100"/>
        <v>-12.053195781596191</v>
      </c>
      <c r="E686">
        <f t="shared" si="101"/>
        <v>12.62351408804332</v>
      </c>
      <c r="F686">
        <f t="shared" si="104"/>
        <v>0.99951137257586486</v>
      </c>
      <c r="G686">
        <f t="shared" si="105"/>
        <v>1</v>
      </c>
      <c r="H686">
        <f t="shared" si="106"/>
        <v>12.620429613621397</v>
      </c>
      <c r="K686">
        <v>0.65800000000000003</v>
      </c>
      <c r="L686">
        <f t="shared" si="102"/>
        <v>-12.261195781596193</v>
      </c>
      <c r="M686">
        <f t="shared" si="103"/>
        <v>20.665083307424972</v>
      </c>
      <c r="N686">
        <f t="shared" si="107"/>
        <v>0.99965574819684522</v>
      </c>
      <c r="O686">
        <f t="shared" si="108"/>
        <v>1</v>
      </c>
      <c r="P686">
        <f t="shared" si="109"/>
        <v>20.661526005151227</v>
      </c>
    </row>
    <row r="687" spans="3:16" x14ac:dyDescent="0.25">
      <c r="C687">
        <v>0.65900000000000003</v>
      </c>
      <c r="D687">
        <f t="shared" si="100"/>
        <v>-12.016003201338112</v>
      </c>
      <c r="E687">
        <f t="shared" si="101"/>
        <v>12.616081075888907</v>
      </c>
      <c r="F687">
        <f t="shared" si="104"/>
        <v>0.99957486690872466</v>
      </c>
      <c r="G687">
        <f t="shared" si="105"/>
        <v>1</v>
      </c>
      <c r="H687">
        <f t="shared" si="106"/>
        <v>12.61339903402863</v>
      </c>
      <c r="K687">
        <v>0.65900000000000003</v>
      </c>
      <c r="L687">
        <f t="shared" si="102"/>
        <v>-12.200003201338113</v>
      </c>
      <c r="M687">
        <f t="shared" si="103"/>
        <v>20.652853846880369</v>
      </c>
      <c r="N687">
        <f t="shared" si="107"/>
        <v>0.99970887229927674</v>
      </c>
      <c r="O687">
        <f t="shared" si="108"/>
        <v>1</v>
      </c>
      <c r="P687">
        <f t="shared" si="109"/>
        <v>20.649847319116652</v>
      </c>
    </row>
    <row r="688" spans="3:16" x14ac:dyDescent="0.25">
      <c r="C688">
        <v>0.66</v>
      </c>
      <c r="D688">
        <f t="shared" si="100"/>
        <v>-11.978810621080033</v>
      </c>
      <c r="E688">
        <f t="shared" si="101"/>
        <v>12.608648063734496</v>
      </c>
      <c r="F688">
        <f t="shared" si="104"/>
        <v>0.99963394388221816</v>
      </c>
      <c r="G688">
        <f t="shared" si="105"/>
        <v>1</v>
      </c>
      <c r="H688">
        <f t="shared" si="106"/>
        <v>12.606340116125233</v>
      </c>
      <c r="K688">
        <v>0.66</v>
      </c>
      <c r="L688">
        <f t="shared" si="102"/>
        <v>-12.138810621080033</v>
      </c>
      <c r="M688">
        <f t="shared" si="103"/>
        <v>20.640624386335766</v>
      </c>
      <c r="N688">
        <f t="shared" si="107"/>
        <v>0.99975754690381002</v>
      </c>
      <c r="O688">
        <f t="shared" si="108"/>
        <v>1</v>
      </c>
      <c r="P688">
        <f t="shared" si="109"/>
        <v>20.638122043006469</v>
      </c>
    </row>
    <row r="689" spans="3:16" x14ac:dyDescent="0.25">
      <c r="C689">
        <v>0.66100000000000003</v>
      </c>
      <c r="D689">
        <f t="shared" si="100"/>
        <v>-11.941618040821957</v>
      </c>
      <c r="E689">
        <f t="shared" si="101"/>
        <v>12.601215051580082</v>
      </c>
      <c r="F689">
        <f t="shared" si="104"/>
        <v>0.99968860349634547</v>
      </c>
      <c r="G689">
        <f t="shared" si="105"/>
        <v>1</v>
      </c>
      <c r="H689">
        <f t="shared" si="106"/>
        <v>12.599252911662882</v>
      </c>
      <c r="K689">
        <v>0.66100000000000003</v>
      </c>
      <c r="L689">
        <f t="shared" si="102"/>
        <v>-12.077618040821953</v>
      </c>
      <c r="M689">
        <f t="shared" si="103"/>
        <v>20.628394925791163</v>
      </c>
      <c r="N689">
        <f t="shared" si="107"/>
        <v>0.99980177201044518</v>
      </c>
      <c r="O689">
        <f t="shared" si="108"/>
        <v>1</v>
      </c>
      <c r="P689">
        <f t="shared" si="109"/>
        <v>20.626350261831792</v>
      </c>
    </row>
    <row r="690" spans="3:16" x14ac:dyDescent="0.25">
      <c r="C690">
        <v>0.66200000000000003</v>
      </c>
      <c r="D690">
        <f t="shared" si="100"/>
        <v>-11.904425460563878</v>
      </c>
      <c r="E690">
        <f t="shared" si="101"/>
        <v>12.593782039425671</v>
      </c>
      <c r="F690">
        <f t="shared" si="104"/>
        <v>0.9997388457511065</v>
      </c>
      <c r="G690">
        <f t="shared" si="105"/>
        <v>1</v>
      </c>
      <c r="H690">
        <f t="shared" si="106"/>
        <v>12.592137472202612</v>
      </c>
      <c r="K690">
        <v>0.66200000000000003</v>
      </c>
      <c r="L690">
        <f t="shared" si="102"/>
        <v>-12.016425460563873</v>
      </c>
      <c r="M690">
        <f t="shared" si="103"/>
        <v>20.61616546524656</v>
      </c>
      <c r="N690">
        <f t="shared" si="107"/>
        <v>0.9998415476191822</v>
      </c>
      <c r="O690">
        <f t="shared" si="108"/>
        <v>1</v>
      </c>
      <c r="P690">
        <f t="shared" si="109"/>
        <v>20.614532060289118</v>
      </c>
    </row>
    <row r="691" spans="3:16" x14ac:dyDescent="0.25">
      <c r="C691">
        <v>0.66300000000000003</v>
      </c>
      <c r="D691">
        <f t="shared" si="100"/>
        <v>-11.867232880305799</v>
      </c>
      <c r="E691">
        <f t="shared" si="101"/>
        <v>12.586349027271257</v>
      </c>
      <c r="F691">
        <f t="shared" si="104"/>
        <v>0.99978467064650134</v>
      </c>
      <c r="G691">
        <f t="shared" si="105"/>
        <v>1</v>
      </c>
      <c r="H691">
        <f t="shared" si="106"/>
        <v>12.584993849115445</v>
      </c>
      <c r="K691">
        <v>0.66300000000000003</v>
      </c>
      <c r="L691">
        <f t="shared" si="102"/>
        <v>-11.9552328803058</v>
      </c>
      <c r="M691">
        <f t="shared" si="103"/>
        <v>20.603936004701957</v>
      </c>
      <c r="N691">
        <f t="shared" si="107"/>
        <v>0.9998768737300211</v>
      </c>
      <c r="O691">
        <f t="shared" si="108"/>
        <v>1</v>
      </c>
      <c r="P691">
        <f t="shared" si="109"/>
        <v>20.602667522761323</v>
      </c>
    </row>
    <row r="692" spans="3:16" x14ac:dyDescent="0.25">
      <c r="C692">
        <v>0.66400000000000003</v>
      </c>
      <c r="D692">
        <f t="shared" si="100"/>
        <v>-11.83004030004772</v>
      </c>
      <c r="E692">
        <f t="shared" si="101"/>
        <v>12.578916015116846</v>
      </c>
      <c r="F692">
        <f t="shared" si="104"/>
        <v>0.99982607818252989</v>
      </c>
      <c r="G692">
        <f t="shared" si="105"/>
        <v>1</v>
      </c>
      <c r="H692">
        <f t="shared" si="106"/>
        <v>12.577822093582995</v>
      </c>
      <c r="K692">
        <v>0.66400000000000003</v>
      </c>
      <c r="L692">
        <f t="shared" si="102"/>
        <v>-11.89404030004772</v>
      </c>
      <c r="M692">
        <f t="shared" si="103"/>
        <v>20.591706544157354</v>
      </c>
      <c r="N692">
        <f t="shared" si="107"/>
        <v>0.99990775034296175</v>
      </c>
      <c r="O692">
        <f t="shared" si="108"/>
        <v>1</v>
      </c>
      <c r="P692">
        <f t="shared" si="109"/>
        <v>20.590756733318653</v>
      </c>
    </row>
    <row r="693" spans="3:16" x14ac:dyDescent="0.25">
      <c r="C693">
        <v>0.66500000000000004</v>
      </c>
      <c r="D693">
        <f t="shared" si="100"/>
        <v>-11.792847719789641</v>
      </c>
      <c r="E693">
        <f t="shared" si="101"/>
        <v>12.571483002962433</v>
      </c>
      <c r="F693">
        <f t="shared" si="104"/>
        <v>0.99986306835919214</v>
      </c>
      <c r="G693">
        <f t="shared" si="105"/>
        <v>1</v>
      </c>
      <c r="H693">
        <f t="shared" si="106"/>
        <v>12.570622256598078</v>
      </c>
      <c r="K693">
        <v>0.66500000000000004</v>
      </c>
      <c r="L693">
        <f t="shared" si="102"/>
        <v>-11.83284771978964</v>
      </c>
      <c r="M693">
        <f t="shared" si="103"/>
        <v>20.579477083612751</v>
      </c>
      <c r="N693">
        <f t="shared" si="107"/>
        <v>0.99993417745800428</v>
      </c>
      <c r="O693">
        <f t="shared" si="108"/>
        <v>1</v>
      </c>
      <c r="P693">
        <f t="shared" si="109"/>
        <v>20.578799775719745</v>
      </c>
    </row>
    <row r="694" spans="3:16" x14ac:dyDescent="0.25">
      <c r="C694">
        <v>0.66600000000000004</v>
      </c>
      <c r="D694">
        <f t="shared" si="100"/>
        <v>-11.755655139531562</v>
      </c>
      <c r="E694">
        <f t="shared" si="101"/>
        <v>12.564049990808019</v>
      </c>
      <c r="F694">
        <f t="shared" si="104"/>
        <v>0.99989564117648821</v>
      </c>
      <c r="G694">
        <f t="shared" si="105"/>
        <v>1</v>
      </c>
      <c r="H694">
        <f t="shared" si="106"/>
        <v>12.563394388965321</v>
      </c>
      <c r="K694">
        <v>0.66600000000000004</v>
      </c>
      <c r="L694">
        <f t="shared" si="102"/>
        <v>-11.771655139531561</v>
      </c>
      <c r="M694">
        <f t="shared" si="103"/>
        <v>20.567247623068148</v>
      </c>
      <c r="N694">
        <f t="shared" si="107"/>
        <v>0.99995615507514868</v>
      </c>
      <c r="O694">
        <f t="shared" si="108"/>
        <v>1</v>
      </c>
      <c r="P694">
        <f t="shared" si="109"/>
        <v>20.566796733412573</v>
      </c>
    </row>
    <row r="695" spans="3:16" x14ac:dyDescent="0.25">
      <c r="C695">
        <v>0.66700000000000004</v>
      </c>
      <c r="D695">
        <f t="shared" si="100"/>
        <v>-11.718462559273483</v>
      </c>
      <c r="E695">
        <f t="shared" si="101"/>
        <v>12.556616978653608</v>
      </c>
      <c r="F695">
        <f t="shared" si="104"/>
        <v>0.99992379663441811</v>
      </c>
      <c r="G695">
        <f t="shared" si="105"/>
        <v>1</v>
      </c>
      <c r="H695">
        <f t="shared" si="106"/>
        <v>12.556138541301751</v>
      </c>
      <c r="K695">
        <v>0.66700000000000004</v>
      </c>
      <c r="L695">
        <f t="shared" si="102"/>
        <v>-11.710462559273481</v>
      </c>
      <c r="M695">
        <f t="shared" si="103"/>
        <v>20.555018162523545</v>
      </c>
      <c r="N695">
        <f t="shared" si="107"/>
        <v>0.99997368319439495</v>
      </c>
      <c r="O695">
        <f t="shared" si="108"/>
        <v>1</v>
      </c>
      <c r="P695">
        <f t="shared" si="109"/>
        <v>20.554747689535443</v>
      </c>
    </row>
    <row r="696" spans="3:16" x14ac:dyDescent="0.25">
      <c r="C696">
        <v>0.66800000000000004</v>
      </c>
      <c r="D696">
        <f t="shared" si="100"/>
        <v>-11.681269979015404</v>
      </c>
      <c r="E696">
        <f t="shared" si="101"/>
        <v>12.549183966499195</v>
      </c>
      <c r="F696">
        <f t="shared" si="104"/>
        <v>0.9999475347329817</v>
      </c>
      <c r="G696">
        <f t="shared" si="105"/>
        <v>1</v>
      </c>
      <c r="H696">
        <f t="shared" si="106"/>
        <v>12.548854764037381</v>
      </c>
      <c r="K696">
        <v>0.66800000000000004</v>
      </c>
      <c r="L696">
        <f t="shared" si="102"/>
        <v>-11.649269979015408</v>
      </c>
      <c r="M696">
        <f t="shared" si="103"/>
        <v>20.542788701978942</v>
      </c>
      <c r="N696">
        <f t="shared" si="107"/>
        <v>0.99998676181574297</v>
      </c>
      <c r="O696">
        <f t="shared" si="108"/>
        <v>1</v>
      </c>
      <c r="P696">
        <f t="shared" si="109"/>
        <v>20.542652726917929</v>
      </c>
    </row>
    <row r="697" spans="3:16" x14ac:dyDescent="0.25">
      <c r="C697">
        <v>0.66900000000000004</v>
      </c>
      <c r="D697">
        <f t="shared" si="100"/>
        <v>-11.644077398757329</v>
      </c>
      <c r="E697">
        <f t="shared" si="101"/>
        <v>12.541750954344783</v>
      </c>
      <c r="F697">
        <f t="shared" si="104"/>
        <v>0.99996685547217912</v>
      </c>
      <c r="G697">
        <f t="shared" si="105"/>
        <v>1</v>
      </c>
      <c r="H697">
        <f t="shared" si="106"/>
        <v>12.541543107415807</v>
      </c>
      <c r="K697">
        <v>0.66900000000000004</v>
      </c>
      <c r="L697">
        <f t="shared" si="102"/>
        <v>-11.588077398757328</v>
      </c>
      <c r="M697">
        <f t="shared" si="103"/>
        <v>20.530559241434339</v>
      </c>
      <c r="N697">
        <f t="shared" si="107"/>
        <v>0.99999539093919287</v>
      </c>
      <c r="O697">
        <f t="shared" si="108"/>
        <v>1</v>
      </c>
      <c r="P697">
        <f t="shared" si="109"/>
        <v>20.530511928081847</v>
      </c>
    </row>
    <row r="698" spans="3:16" x14ac:dyDescent="0.25">
      <c r="C698">
        <v>0.67</v>
      </c>
      <c r="D698">
        <f t="shared" si="100"/>
        <v>-11.60688481849925</v>
      </c>
      <c r="E698">
        <f t="shared" si="101"/>
        <v>12.53431794219037</v>
      </c>
      <c r="F698">
        <f t="shared" si="104"/>
        <v>0.99998175885201024</v>
      </c>
      <c r="G698">
        <f t="shared" si="105"/>
        <v>1</v>
      </c>
      <c r="H698">
        <f t="shared" si="106"/>
        <v>12.534203621494767</v>
      </c>
      <c r="K698">
        <v>0.67</v>
      </c>
      <c r="L698">
        <f t="shared" si="102"/>
        <v>-11.526884818499248</v>
      </c>
      <c r="M698">
        <f t="shared" si="103"/>
        <v>20.518329780889733</v>
      </c>
      <c r="N698">
        <f t="shared" si="107"/>
        <v>0.99999957056474464</v>
      </c>
      <c r="O698">
        <f t="shared" si="108"/>
        <v>1</v>
      </c>
      <c r="P698">
        <f t="shared" si="109"/>
        <v>20.518325375242163</v>
      </c>
    </row>
    <row r="699" spans="3:16" x14ac:dyDescent="0.25">
      <c r="C699">
        <v>0.67100000000000004</v>
      </c>
      <c r="D699">
        <f t="shared" si="100"/>
        <v>-11.569692238241171</v>
      </c>
      <c r="E699">
        <f t="shared" si="101"/>
        <v>12.526884930035958</v>
      </c>
      <c r="F699">
        <f t="shared" si="104"/>
        <v>0.99999224487247507</v>
      </c>
      <c r="G699">
        <f t="shared" si="105"/>
        <v>1</v>
      </c>
      <c r="H699">
        <f t="shared" si="106"/>
        <v>12.526836356146724</v>
      </c>
      <c r="K699">
        <v>0.67100000000000004</v>
      </c>
      <c r="L699">
        <f t="shared" si="102"/>
        <v>-11.465692238241168</v>
      </c>
      <c r="M699">
        <f t="shared" si="103"/>
        <v>20.50610032034513</v>
      </c>
      <c r="N699">
        <f t="shared" si="107"/>
        <v>1</v>
      </c>
      <c r="O699">
        <f t="shared" si="108"/>
        <v>1</v>
      </c>
      <c r="P699">
        <f t="shared" si="109"/>
        <v>20.50610032034513</v>
      </c>
    </row>
    <row r="700" spans="3:16" x14ac:dyDescent="0.25">
      <c r="C700">
        <v>0.67200000000000004</v>
      </c>
      <c r="D700">
        <f t="shared" si="100"/>
        <v>-11.532499657983092</v>
      </c>
      <c r="E700">
        <f t="shared" si="101"/>
        <v>12.519451917881545</v>
      </c>
      <c r="F700">
        <f t="shared" si="104"/>
        <v>0.99999831353357371</v>
      </c>
      <c r="G700">
        <f t="shared" si="105"/>
        <v>1</v>
      </c>
      <c r="H700">
        <f t="shared" si="106"/>
        <v>12.519441361059428</v>
      </c>
      <c r="K700">
        <v>0.67200000000000004</v>
      </c>
      <c r="L700">
        <f t="shared" si="102"/>
        <v>-11.404499657983088</v>
      </c>
      <c r="M700">
        <f t="shared" si="103"/>
        <v>20.493870859800527</v>
      </c>
      <c r="N700">
        <f t="shared" si="107"/>
        <v>1</v>
      </c>
      <c r="O700">
        <f t="shared" si="108"/>
        <v>1</v>
      </c>
      <c r="P700">
        <f t="shared" si="109"/>
        <v>20.493870859800527</v>
      </c>
    </row>
    <row r="701" spans="3:16" x14ac:dyDescent="0.25">
      <c r="C701">
        <v>0.67300000000000004</v>
      </c>
      <c r="D701">
        <f t="shared" si="100"/>
        <v>-11.495307077725013</v>
      </c>
      <c r="E701">
        <f t="shared" si="101"/>
        <v>12.512018905727132</v>
      </c>
      <c r="F701">
        <f t="shared" si="104"/>
        <v>1</v>
      </c>
      <c r="G701">
        <f t="shared" si="105"/>
        <v>1</v>
      </c>
      <c r="H701">
        <f t="shared" si="106"/>
        <v>12.512018905727132</v>
      </c>
      <c r="K701">
        <v>0.67300000000000004</v>
      </c>
      <c r="L701">
        <f t="shared" si="102"/>
        <v>-11.343307077725015</v>
      </c>
      <c r="M701">
        <f t="shared" si="103"/>
        <v>20.481641399255924</v>
      </c>
      <c r="N701">
        <f t="shared" si="107"/>
        <v>1</v>
      </c>
      <c r="O701">
        <f t="shared" si="108"/>
        <v>1</v>
      </c>
      <c r="P701">
        <f t="shared" si="109"/>
        <v>20.481641399255924</v>
      </c>
    </row>
    <row r="702" spans="3:16" x14ac:dyDescent="0.25">
      <c r="C702">
        <v>0.67400000000000004</v>
      </c>
      <c r="D702">
        <f t="shared" si="100"/>
        <v>-11.458114497466934</v>
      </c>
      <c r="E702">
        <f t="shared" si="101"/>
        <v>12.50458589357272</v>
      </c>
      <c r="F702">
        <f t="shared" si="104"/>
        <v>1</v>
      </c>
      <c r="G702">
        <f t="shared" si="105"/>
        <v>1</v>
      </c>
      <c r="H702">
        <f t="shared" si="106"/>
        <v>12.50458589357272</v>
      </c>
      <c r="K702">
        <v>0.67400000000000004</v>
      </c>
      <c r="L702">
        <f t="shared" si="102"/>
        <v>-11.282114497466935</v>
      </c>
      <c r="M702">
        <f t="shared" si="103"/>
        <v>20.469411938711321</v>
      </c>
      <c r="N702">
        <f t="shared" si="107"/>
        <v>1</v>
      </c>
      <c r="O702">
        <f t="shared" si="108"/>
        <v>1</v>
      </c>
      <c r="P702">
        <f t="shared" si="109"/>
        <v>20.469411938711321</v>
      </c>
    </row>
    <row r="703" spans="3:16" x14ac:dyDescent="0.25">
      <c r="C703">
        <v>0.67500000000000004</v>
      </c>
      <c r="D703">
        <f t="shared" si="100"/>
        <v>-11.420921917208855</v>
      </c>
      <c r="E703">
        <f t="shared" si="101"/>
        <v>12.497152881418307</v>
      </c>
      <c r="F703">
        <f t="shared" si="104"/>
        <v>1</v>
      </c>
      <c r="G703">
        <f t="shared" si="105"/>
        <v>1</v>
      </c>
      <c r="H703">
        <f t="shared" si="106"/>
        <v>12.497152881418307</v>
      </c>
      <c r="K703">
        <v>0.67500000000000004</v>
      </c>
      <c r="L703">
        <f t="shared" si="102"/>
        <v>-11.220921917208855</v>
      </c>
      <c r="M703">
        <f t="shared" si="103"/>
        <v>20.457182478166718</v>
      </c>
      <c r="N703">
        <f t="shared" si="107"/>
        <v>1</v>
      </c>
      <c r="O703">
        <f t="shared" si="108"/>
        <v>1</v>
      </c>
      <c r="P703">
        <f t="shared" si="109"/>
        <v>20.457182478166718</v>
      </c>
    </row>
    <row r="704" spans="3:16" x14ac:dyDescent="0.25">
      <c r="C704">
        <v>0.67600000000000005</v>
      </c>
      <c r="D704">
        <f t="shared" si="100"/>
        <v>-11.383729336950779</v>
      </c>
      <c r="E704">
        <f t="shared" si="101"/>
        <v>12.489719869263894</v>
      </c>
      <c r="F704">
        <f t="shared" si="104"/>
        <v>1</v>
      </c>
      <c r="G704">
        <f t="shared" si="105"/>
        <v>1</v>
      </c>
      <c r="H704">
        <f t="shared" si="106"/>
        <v>12.489719869263894</v>
      </c>
      <c r="K704">
        <v>0.67600000000000005</v>
      </c>
      <c r="L704">
        <f t="shared" si="102"/>
        <v>-11.159729336950775</v>
      </c>
      <c r="M704">
        <f t="shared" si="103"/>
        <v>20.444953017622112</v>
      </c>
      <c r="N704">
        <f t="shared" si="107"/>
        <v>1</v>
      </c>
      <c r="O704">
        <f t="shared" si="108"/>
        <v>1</v>
      </c>
      <c r="P704">
        <f t="shared" si="109"/>
        <v>20.444953017622112</v>
      </c>
    </row>
    <row r="705" spans="3:16" x14ac:dyDescent="0.25">
      <c r="C705">
        <v>0.67700000000000005</v>
      </c>
      <c r="D705">
        <f t="shared" si="100"/>
        <v>-11.3465367566927</v>
      </c>
      <c r="E705">
        <f t="shared" si="101"/>
        <v>12.482286857109482</v>
      </c>
      <c r="F705">
        <f t="shared" si="104"/>
        <v>1</v>
      </c>
      <c r="G705">
        <f t="shared" si="105"/>
        <v>1</v>
      </c>
      <c r="H705">
        <f t="shared" si="106"/>
        <v>12.482286857109482</v>
      </c>
      <c r="K705">
        <v>0.67700000000000005</v>
      </c>
      <c r="L705">
        <f t="shared" si="102"/>
        <v>-11.098536756692695</v>
      </c>
      <c r="M705">
        <f t="shared" si="103"/>
        <v>20.432723557077509</v>
      </c>
      <c r="N705">
        <f t="shared" si="107"/>
        <v>1</v>
      </c>
      <c r="O705">
        <f t="shared" si="108"/>
        <v>1</v>
      </c>
      <c r="P705">
        <f t="shared" si="109"/>
        <v>20.432723557077509</v>
      </c>
    </row>
    <row r="706" spans="3:16" x14ac:dyDescent="0.25">
      <c r="C706">
        <v>0.67800000000000005</v>
      </c>
      <c r="D706">
        <f t="shared" si="100"/>
        <v>-11.309344176434621</v>
      </c>
      <c r="E706">
        <f t="shared" si="101"/>
        <v>12.474853844955069</v>
      </c>
      <c r="F706">
        <f t="shared" si="104"/>
        <v>1</v>
      </c>
      <c r="G706">
        <f t="shared" si="105"/>
        <v>1</v>
      </c>
      <c r="H706">
        <f t="shared" si="106"/>
        <v>12.474853844955069</v>
      </c>
      <c r="K706">
        <v>0.67800000000000005</v>
      </c>
      <c r="L706">
        <f t="shared" si="102"/>
        <v>-11.037344176434623</v>
      </c>
      <c r="M706">
        <f t="shared" si="103"/>
        <v>20.420494096532906</v>
      </c>
      <c r="N706">
        <f t="shared" si="107"/>
        <v>1</v>
      </c>
      <c r="O706">
        <f t="shared" si="108"/>
        <v>1</v>
      </c>
      <c r="P706">
        <f t="shared" si="109"/>
        <v>20.420494096532906</v>
      </c>
    </row>
    <row r="707" spans="3:16" x14ac:dyDescent="0.25">
      <c r="C707">
        <v>0.67900000000000005</v>
      </c>
      <c r="D707">
        <f t="shared" si="100"/>
        <v>-11.272151596176542</v>
      </c>
      <c r="E707">
        <f t="shared" si="101"/>
        <v>12.467420832800657</v>
      </c>
      <c r="F707">
        <f t="shared" si="104"/>
        <v>1</v>
      </c>
      <c r="G707">
        <f t="shared" si="105"/>
        <v>1</v>
      </c>
      <c r="H707">
        <f t="shared" si="106"/>
        <v>12.467420832800657</v>
      </c>
      <c r="K707">
        <v>0.67900000000000005</v>
      </c>
      <c r="L707">
        <f t="shared" si="102"/>
        <v>-10.976151596176543</v>
      </c>
      <c r="M707">
        <f t="shared" si="103"/>
        <v>20.408264635988303</v>
      </c>
      <c r="N707">
        <f t="shared" si="107"/>
        <v>1</v>
      </c>
      <c r="O707">
        <f t="shared" si="108"/>
        <v>1</v>
      </c>
      <c r="P707">
        <f t="shared" si="109"/>
        <v>20.408264635988303</v>
      </c>
    </row>
    <row r="708" spans="3:16" x14ac:dyDescent="0.25">
      <c r="C708">
        <v>0.68</v>
      </c>
      <c r="D708">
        <f t="shared" si="100"/>
        <v>-11.234959015918463</v>
      </c>
      <c r="E708">
        <f t="shared" si="101"/>
        <v>12.459987820646244</v>
      </c>
      <c r="F708">
        <f t="shared" si="104"/>
        <v>1</v>
      </c>
      <c r="G708">
        <f t="shared" si="105"/>
        <v>1</v>
      </c>
      <c r="H708">
        <f t="shared" si="106"/>
        <v>12.459987820646244</v>
      </c>
      <c r="K708">
        <v>0.68</v>
      </c>
      <c r="L708">
        <f t="shared" si="102"/>
        <v>-10.914959015918463</v>
      </c>
      <c r="M708">
        <f t="shared" si="103"/>
        <v>20.3960351754437</v>
      </c>
      <c r="N708">
        <f t="shared" si="107"/>
        <v>1</v>
      </c>
      <c r="O708">
        <f t="shared" si="108"/>
        <v>1</v>
      </c>
      <c r="P708">
        <f t="shared" si="109"/>
        <v>20.3960351754437</v>
      </c>
    </row>
    <row r="709" spans="3:16" x14ac:dyDescent="0.25">
      <c r="C709">
        <v>0.68100000000000005</v>
      </c>
      <c r="D709">
        <f t="shared" si="100"/>
        <v>-11.197766435660384</v>
      </c>
      <c r="E709">
        <f t="shared" si="101"/>
        <v>12.452554808491833</v>
      </c>
      <c r="F709">
        <f t="shared" si="104"/>
        <v>1</v>
      </c>
      <c r="G709">
        <f t="shared" si="105"/>
        <v>1</v>
      </c>
      <c r="H709">
        <f t="shared" si="106"/>
        <v>12.452554808491833</v>
      </c>
      <c r="K709">
        <v>0.68100000000000005</v>
      </c>
      <c r="L709">
        <f t="shared" si="102"/>
        <v>-10.853766435660383</v>
      </c>
      <c r="M709">
        <f t="shared" si="103"/>
        <v>20.383805714899097</v>
      </c>
      <c r="N709">
        <f t="shared" si="107"/>
        <v>1</v>
      </c>
      <c r="O709">
        <f t="shared" si="108"/>
        <v>1</v>
      </c>
      <c r="P709">
        <f t="shared" si="109"/>
        <v>20.383805714899097</v>
      </c>
    </row>
    <row r="710" spans="3:16" x14ac:dyDescent="0.25">
      <c r="C710">
        <v>0.68200000000000005</v>
      </c>
      <c r="D710">
        <f t="shared" si="100"/>
        <v>-11.160573855402305</v>
      </c>
      <c r="E710">
        <f t="shared" si="101"/>
        <v>12.445121796337419</v>
      </c>
      <c r="F710">
        <f t="shared" si="104"/>
        <v>1</v>
      </c>
      <c r="G710">
        <f t="shared" si="105"/>
        <v>1</v>
      </c>
      <c r="H710">
        <f t="shared" si="106"/>
        <v>12.445121796337419</v>
      </c>
      <c r="K710">
        <v>0.68200000000000005</v>
      </c>
      <c r="L710">
        <f t="shared" si="102"/>
        <v>-10.792573855402303</v>
      </c>
      <c r="M710">
        <f t="shared" si="103"/>
        <v>20.371576254354494</v>
      </c>
      <c r="N710">
        <f t="shared" si="107"/>
        <v>1</v>
      </c>
      <c r="O710">
        <f t="shared" si="108"/>
        <v>1</v>
      </c>
      <c r="P710">
        <f t="shared" si="109"/>
        <v>20.371576254354494</v>
      </c>
    </row>
    <row r="711" spans="3:16" x14ac:dyDescent="0.25">
      <c r="C711">
        <v>0.68300000000000005</v>
      </c>
      <c r="D711">
        <f t="shared" si="100"/>
        <v>-11.123381275144226</v>
      </c>
      <c r="E711">
        <f t="shared" si="101"/>
        <v>12.437688784183006</v>
      </c>
      <c r="F711">
        <f t="shared" si="104"/>
        <v>1</v>
      </c>
      <c r="G711">
        <f t="shared" si="105"/>
        <v>1</v>
      </c>
      <c r="H711">
        <f t="shared" si="106"/>
        <v>12.437688784183006</v>
      </c>
      <c r="K711">
        <v>0.68300000000000005</v>
      </c>
      <c r="L711">
        <f t="shared" si="102"/>
        <v>-10.731381275144223</v>
      </c>
      <c r="M711">
        <f t="shared" si="103"/>
        <v>20.359346793809891</v>
      </c>
      <c r="N711">
        <f t="shared" si="107"/>
        <v>1</v>
      </c>
      <c r="O711">
        <f t="shared" si="108"/>
        <v>1</v>
      </c>
      <c r="P711">
        <f t="shared" si="109"/>
        <v>20.359346793809891</v>
      </c>
    </row>
    <row r="712" spans="3:16" x14ac:dyDescent="0.25">
      <c r="C712">
        <v>0.68400000000000005</v>
      </c>
      <c r="D712">
        <f t="shared" si="100"/>
        <v>-11.08618869488615</v>
      </c>
      <c r="E712">
        <f t="shared" si="101"/>
        <v>12.430255772028595</v>
      </c>
      <c r="F712">
        <f t="shared" si="104"/>
        <v>1</v>
      </c>
      <c r="G712">
        <f t="shared" si="105"/>
        <v>1</v>
      </c>
      <c r="H712">
        <f t="shared" si="106"/>
        <v>12.430255772028595</v>
      </c>
      <c r="K712">
        <v>0.68400000000000005</v>
      </c>
      <c r="L712">
        <f t="shared" si="102"/>
        <v>-10.67018869488615</v>
      </c>
      <c r="M712">
        <f t="shared" si="103"/>
        <v>20.347117333265288</v>
      </c>
      <c r="N712">
        <f t="shared" si="107"/>
        <v>1</v>
      </c>
      <c r="O712">
        <f t="shared" si="108"/>
        <v>1</v>
      </c>
      <c r="P712">
        <f t="shared" si="109"/>
        <v>20.347117333265288</v>
      </c>
    </row>
    <row r="713" spans="3:16" x14ac:dyDescent="0.25">
      <c r="C713">
        <v>0.68500000000000005</v>
      </c>
      <c r="D713">
        <f t="shared" si="100"/>
        <v>-11.048996114628071</v>
      </c>
      <c r="E713">
        <f t="shared" si="101"/>
        <v>12.422822759874181</v>
      </c>
      <c r="F713">
        <f t="shared" si="104"/>
        <v>1</v>
      </c>
      <c r="G713">
        <f t="shared" si="105"/>
        <v>1</v>
      </c>
      <c r="H713">
        <f t="shared" si="106"/>
        <v>12.422822759874181</v>
      </c>
      <c r="K713">
        <v>0.68500000000000005</v>
      </c>
      <c r="L713">
        <f t="shared" si="102"/>
        <v>-10.60899611462807</v>
      </c>
      <c r="M713">
        <f t="shared" si="103"/>
        <v>20.334887872720685</v>
      </c>
      <c r="N713">
        <f t="shared" si="107"/>
        <v>1</v>
      </c>
      <c r="O713">
        <f t="shared" si="108"/>
        <v>1</v>
      </c>
      <c r="P713">
        <f t="shared" si="109"/>
        <v>20.334887872720685</v>
      </c>
    </row>
    <row r="714" spans="3:16" x14ac:dyDescent="0.25">
      <c r="C714">
        <v>0.68600000000000005</v>
      </c>
      <c r="D714">
        <f t="shared" si="100"/>
        <v>-11.011803534369992</v>
      </c>
      <c r="E714">
        <f t="shared" si="101"/>
        <v>12.41538974771977</v>
      </c>
      <c r="F714">
        <f t="shared" si="104"/>
        <v>1</v>
      </c>
      <c r="G714">
        <f t="shared" si="105"/>
        <v>1</v>
      </c>
      <c r="H714">
        <f t="shared" si="106"/>
        <v>12.41538974771977</v>
      </c>
      <c r="K714">
        <v>0.68600000000000005</v>
      </c>
      <c r="L714">
        <f t="shared" si="102"/>
        <v>-10.54780353436999</v>
      </c>
      <c r="M714">
        <f t="shared" si="103"/>
        <v>20.322658412176082</v>
      </c>
      <c r="N714">
        <f t="shared" si="107"/>
        <v>1</v>
      </c>
      <c r="O714">
        <f t="shared" si="108"/>
        <v>1</v>
      </c>
      <c r="P714">
        <f t="shared" si="109"/>
        <v>20.322658412176082</v>
      </c>
    </row>
    <row r="715" spans="3:16" x14ac:dyDescent="0.25">
      <c r="C715">
        <v>0.68700000000000006</v>
      </c>
      <c r="D715">
        <f t="shared" si="100"/>
        <v>-10.974610954111913</v>
      </c>
      <c r="E715">
        <f t="shared" si="101"/>
        <v>12.407956735565357</v>
      </c>
      <c r="F715">
        <f t="shared" si="104"/>
        <v>1</v>
      </c>
      <c r="G715">
        <f t="shared" si="105"/>
        <v>1</v>
      </c>
      <c r="H715">
        <f t="shared" si="106"/>
        <v>12.407956735565357</v>
      </c>
      <c r="K715">
        <v>0.68700000000000006</v>
      </c>
      <c r="L715">
        <f t="shared" si="102"/>
        <v>-10.48661095411191</v>
      </c>
      <c r="M715">
        <f t="shared" si="103"/>
        <v>20.310428951631479</v>
      </c>
      <c r="N715">
        <f t="shared" si="107"/>
        <v>1</v>
      </c>
      <c r="O715">
        <f t="shared" si="108"/>
        <v>1</v>
      </c>
      <c r="P715">
        <f t="shared" si="109"/>
        <v>20.310428951631479</v>
      </c>
    </row>
    <row r="716" spans="3:16" x14ac:dyDescent="0.25">
      <c r="C716">
        <v>0.68799999999999994</v>
      </c>
      <c r="D716">
        <f t="shared" si="100"/>
        <v>-10.937418373853838</v>
      </c>
      <c r="E716">
        <f t="shared" si="101"/>
        <v>12.400523723410945</v>
      </c>
      <c r="F716">
        <f t="shared" si="104"/>
        <v>1</v>
      </c>
      <c r="G716">
        <f t="shared" si="105"/>
        <v>1</v>
      </c>
      <c r="H716">
        <f t="shared" si="106"/>
        <v>12.400523723410945</v>
      </c>
      <c r="K716">
        <v>0.68799999999999994</v>
      </c>
      <c r="L716">
        <f t="shared" si="102"/>
        <v>-10.425418373853837</v>
      </c>
      <c r="M716">
        <f t="shared" si="103"/>
        <v>20.298199491086876</v>
      </c>
      <c r="N716">
        <f t="shared" si="107"/>
        <v>1</v>
      </c>
      <c r="O716">
        <f t="shared" si="108"/>
        <v>1</v>
      </c>
      <c r="P716">
        <f t="shared" si="109"/>
        <v>20.298199491086876</v>
      </c>
    </row>
    <row r="717" spans="3:16" x14ac:dyDescent="0.25">
      <c r="C717">
        <v>0.68899999999999995</v>
      </c>
      <c r="D717">
        <f t="shared" si="100"/>
        <v>-10.900225793595759</v>
      </c>
      <c r="E717">
        <f t="shared" si="101"/>
        <v>12.393090711256532</v>
      </c>
      <c r="F717">
        <f t="shared" si="104"/>
        <v>1</v>
      </c>
      <c r="G717">
        <f t="shared" si="105"/>
        <v>1</v>
      </c>
      <c r="H717">
        <f t="shared" si="106"/>
        <v>12.393090711256532</v>
      </c>
      <c r="K717">
        <v>0.68899999999999995</v>
      </c>
      <c r="L717">
        <f t="shared" si="102"/>
        <v>-10.364225793595764</v>
      </c>
      <c r="M717">
        <f t="shared" si="103"/>
        <v>20.285970030542273</v>
      </c>
      <c r="N717">
        <f t="shared" si="107"/>
        <v>1</v>
      </c>
      <c r="O717">
        <f t="shared" si="108"/>
        <v>1</v>
      </c>
      <c r="P717">
        <f t="shared" si="109"/>
        <v>20.285970030542273</v>
      </c>
    </row>
    <row r="718" spans="3:16" x14ac:dyDescent="0.25">
      <c r="C718">
        <v>0.69</v>
      </c>
      <c r="D718">
        <f t="shared" si="100"/>
        <v>-10.863033213337683</v>
      </c>
      <c r="E718">
        <f t="shared" si="101"/>
        <v>12.38565769910212</v>
      </c>
      <c r="F718">
        <f t="shared" si="104"/>
        <v>1</v>
      </c>
      <c r="G718">
        <f t="shared" si="105"/>
        <v>1</v>
      </c>
      <c r="H718">
        <f t="shared" si="106"/>
        <v>12.38565769910212</v>
      </c>
      <c r="K718">
        <v>0.69</v>
      </c>
      <c r="L718">
        <f t="shared" si="102"/>
        <v>-10.303033213337685</v>
      </c>
      <c r="M718">
        <f t="shared" si="103"/>
        <v>20.27374056999767</v>
      </c>
      <c r="N718">
        <f t="shared" si="107"/>
        <v>1</v>
      </c>
      <c r="O718">
        <f t="shared" si="108"/>
        <v>1</v>
      </c>
      <c r="P718">
        <f t="shared" si="109"/>
        <v>20.27374056999767</v>
      </c>
    </row>
    <row r="719" spans="3:16" x14ac:dyDescent="0.25">
      <c r="C719">
        <v>0.69099999999999995</v>
      </c>
      <c r="D719">
        <f t="shared" si="100"/>
        <v>-10.825840633079604</v>
      </c>
      <c r="E719">
        <f t="shared" si="101"/>
        <v>12.378224686947707</v>
      </c>
      <c r="F719">
        <f t="shared" si="104"/>
        <v>1</v>
      </c>
      <c r="G719">
        <f t="shared" si="105"/>
        <v>1</v>
      </c>
      <c r="H719">
        <f t="shared" si="106"/>
        <v>12.378224686947707</v>
      </c>
      <c r="K719">
        <v>0.69099999999999995</v>
      </c>
      <c r="L719">
        <f t="shared" si="102"/>
        <v>-10.241840633079605</v>
      </c>
      <c r="M719">
        <f t="shared" si="103"/>
        <v>20.261511109453068</v>
      </c>
      <c r="N719">
        <f t="shared" si="107"/>
        <v>1</v>
      </c>
      <c r="O719">
        <f t="shared" si="108"/>
        <v>1</v>
      </c>
      <c r="P719">
        <f t="shared" si="109"/>
        <v>20.261511109453068</v>
      </c>
    </row>
    <row r="720" spans="3:16" x14ac:dyDescent="0.25">
      <c r="C720">
        <v>0.69199999999999995</v>
      </c>
      <c r="D720">
        <f t="shared" si="100"/>
        <v>-10.788648052821525</v>
      </c>
      <c r="E720">
        <f t="shared" si="101"/>
        <v>12.370791674793296</v>
      </c>
      <c r="F720">
        <f t="shared" si="104"/>
        <v>1</v>
      </c>
      <c r="G720">
        <f t="shared" si="105"/>
        <v>1</v>
      </c>
      <c r="H720">
        <f t="shared" si="106"/>
        <v>12.370791674793296</v>
      </c>
      <c r="K720">
        <v>0.69199999999999995</v>
      </c>
      <c r="L720">
        <f t="shared" si="102"/>
        <v>-10.180648052821525</v>
      </c>
      <c r="M720">
        <f t="shared" si="103"/>
        <v>20.249281648908465</v>
      </c>
      <c r="N720">
        <f t="shared" si="107"/>
        <v>1</v>
      </c>
      <c r="O720">
        <f t="shared" si="108"/>
        <v>1</v>
      </c>
      <c r="P720">
        <f t="shared" si="109"/>
        <v>20.249281648908465</v>
      </c>
    </row>
    <row r="721" spans="3:16" x14ac:dyDescent="0.25">
      <c r="C721">
        <v>0.69299999999999995</v>
      </c>
      <c r="D721">
        <f t="shared" si="100"/>
        <v>-10.751455472563446</v>
      </c>
      <c r="E721">
        <f t="shared" si="101"/>
        <v>12.363358662638882</v>
      </c>
      <c r="F721">
        <f t="shared" si="104"/>
        <v>1</v>
      </c>
      <c r="G721">
        <f t="shared" si="105"/>
        <v>1</v>
      </c>
      <c r="H721">
        <f t="shared" si="106"/>
        <v>12.363358662638882</v>
      </c>
      <c r="K721">
        <v>0.69299999999999995</v>
      </c>
      <c r="L721">
        <f t="shared" si="102"/>
        <v>-10.119455472563445</v>
      </c>
      <c r="M721">
        <f t="shared" si="103"/>
        <v>20.237052188363862</v>
      </c>
      <c r="N721">
        <f t="shared" si="107"/>
        <v>1</v>
      </c>
      <c r="O721">
        <f t="shared" si="108"/>
        <v>1</v>
      </c>
      <c r="P721">
        <f t="shared" si="109"/>
        <v>20.237052188363862</v>
      </c>
    </row>
    <row r="722" spans="3:16" x14ac:dyDescent="0.25">
      <c r="C722">
        <v>0.69399999999999995</v>
      </c>
      <c r="D722">
        <f t="shared" si="100"/>
        <v>-10.714262892305367</v>
      </c>
      <c r="E722">
        <f t="shared" si="101"/>
        <v>12.355925650484469</v>
      </c>
      <c r="F722">
        <f t="shared" si="104"/>
        <v>1</v>
      </c>
      <c r="G722">
        <f t="shared" si="105"/>
        <v>1</v>
      </c>
      <c r="H722">
        <f t="shared" si="106"/>
        <v>12.355925650484469</v>
      </c>
      <c r="K722">
        <v>0.69399999999999995</v>
      </c>
      <c r="L722">
        <f t="shared" si="102"/>
        <v>-10.058262892305372</v>
      </c>
      <c r="M722">
        <f t="shared" si="103"/>
        <v>20.224822727819259</v>
      </c>
      <c r="N722">
        <f t="shared" si="107"/>
        <v>1</v>
      </c>
      <c r="O722">
        <f t="shared" si="108"/>
        <v>1</v>
      </c>
      <c r="P722">
        <f t="shared" si="109"/>
        <v>20.224822727819259</v>
      </c>
    </row>
    <row r="723" spans="3:16" x14ac:dyDescent="0.25">
      <c r="C723">
        <v>0.69499999999999995</v>
      </c>
      <c r="D723">
        <f t="shared" si="100"/>
        <v>-10.677070312047288</v>
      </c>
      <c r="E723">
        <f t="shared" si="101"/>
        <v>12.348492638330058</v>
      </c>
      <c r="F723">
        <f t="shared" si="104"/>
        <v>1</v>
      </c>
      <c r="G723">
        <f t="shared" si="105"/>
        <v>1</v>
      </c>
      <c r="H723">
        <f t="shared" si="106"/>
        <v>12.348492638330058</v>
      </c>
      <c r="K723">
        <v>0.69499999999999995</v>
      </c>
      <c r="L723">
        <f t="shared" si="102"/>
        <v>-9.9970703120472919</v>
      </c>
      <c r="M723">
        <f t="shared" si="103"/>
        <v>20.212593267274656</v>
      </c>
      <c r="N723">
        <f t="shared" si="107"/>
        <v>1</v>
      </c>
      <c r="O723">
        <f t="shared" si="108"/>
        <v>1</v>
      </c>
      <c r="P723">
        <f t="shared" si="109"/>
        <v>20.212593267274656</v>
      </c>
    </row>
    <row r="724" spans="3:16" x14ac:dyDescent="0.25">
      <c r="C724">
        <v>0.69599999999999995</v>
      </c>
      <c r="D724">
        <f t="shared" si="100"/>
        <v>-10.639877731789209</v>
      </c>
      <c r="E724">
        <f t="shared" si="101"/>
        <v>12.341059626175644</v>
      </c>
      <c r="F724">
        <f t="shared" si="104"/>
        <v>1</v>
      </c>
      <c r="G724">
        <f t="shared" si="105"/>
        <v>1</v>
      </c>
      <c r="H724">
        <f t="shared" si="106"/>
        <v>12.341059626175644</v>
      </c>
      <c r="K724">
        <v>0.69599999999999995</v>
      </c>
      <c r="L724">
        <f t="shared" si="102"/>
        <v>-9.935877731789212</v>
      </c>
      <c r="M724">
        <f t="shared" si="103"/>
        <v>20.200363806730049</v>
      </c>
      <c r="N724">
        <f t="shared" si="107"/>
        <v>1</v>
      </c>
      <c r="O724">
        <f t="shared" si="108"/>
        <v>1</v>
      </c>
      <c r="P724">
        <f t="shared" si="109"/>
        <v>20.200363806730049</v>
      </c>
    </row>
    <row r="725" spans="3:16" x14ac:dyDescent="0.25">
      <c r="C725">
        <v>0.69699999999999995</v>
      </c>
      <c r="D725">
        <f t="shared" si="100"/>
        <v>-10.60268515153113</v>
      </c>
      <c r="E725">
        <f t="shared" si="101"/>
        <v>12.333626614021231</v>
      </c>
      <c r="F725">
        <f t="shared" si="104"/>
        <v>1</v>
      </c>
      <c r="G725">
        <f t="shared" si="105"/>
        <v>1</v>
      </c>
      <c r="H725">
        <f t="shared" si="106"/>
        <v>12.333626614021231</v>
      </c>
      <c r="K725">
        <v>0.69699999999999995</v>
      </c>
      <c r="L725">
        <f t="shared" si="102"/>
        <v>-9.874685151531132</v>
      </c>
      <c r="M725">
        <f t="shared" si="103"/>
        <v>20.188134346185446</v>
      </c>
      <c r="N725">
        <f t="shared" si="107"/>
        <v>1</v>
      </c>
      <c r="O725">
        <f t="shared" si="108"/>
        <v>1</v>
      </c>
      <c r="P725">
        <f t="shared" si="109"/>
        <v>20.188134346185446</v>
      </c>
    </row>
    <row r="726" spans="3:16" x14ac:dyDescent="0.25">
      <c r="C726">
        <v>0.69799999999999995</v>
      </c>
      <c r="D726">
        <f t="shared" si="100"/>
        <v>-10.565492571273055</v>
      </c>
      <c r="E726">
        <f t="shared" si="101"/>
        <v>12.326193601866819</v>
      </c>
      <c r="F726">
        <f t="shared" si="104"/>
        <v>1</v>
      </c>
      <c r="G726">
        <f t="shared" si="105"/>
        <v>1</v>
      </c>
      <c r="H726">
        <f t="shared" si="106"/>
        <v>12.326193601866819</v>
      </c>
      <c r="K726">
        <v>0.69799999999999995</v>
      </c>
      <c r="L726">
        <f t="shared" si="102"/>
        <v>-9.8134925712730521</v>
      </c>
      <c r="M726">
        <f t="shared" si="103"/>
        <v>20.175904885640843</v>
      </c>
      <c r="N726">
        <f t="shared" si="107"/>
        <v>1</v>
      </c>
      <c r="O726">
        <f t="shared" si="108"/>
        <v>1</v>
      </c>
      <c r="P726">
        <f t="shared" si="109"/>
        <v>20.175904885640843</v>
      </c>
    </row>
    <row r="727" spans="3:16" x14ac:dyDescent="0.25">
      <c r="C727">
        <v>0.69899999999999995</v>
      </c>
      <c r="D727">
        <f t="shared" si="100"/>
        <v>-10.528299991014975</v>
      </c>
      <c r="E727">
        <f t="shared" si="101"/>
        <v>12.318760589712408</v>
      </c>
      <c r="F727">
        <f t="shared" si="104"/>
        <v>1</v>
      </c>
      <c r="G727">
        <f t="shared" si="105"/>
        <v>1</v>
      </c>
      <c r="H727">
        <f t="shared" si="106"/>
        <v>12.318760589712408</v>
      </c>
      <c r="K727">
        <v>0.69899999999999995</v>
      </c>
      <c r="L727">
        <f t="shared" si="102"/>
        <v>-9.7522999910149721</v>
      </c>
      <c r="M727">
        <f t="shared" si="103"/>
        <v>20.16367542509624</v>
      </c>
      <c r="N727">
        <f t="shared" si="107"/>
        <v>1</v>
      </c>
      <c r="O727">
        <f t="shared" si="108"/>
        <v>1</v>
      </c>
      <c r="P727">
        <f t="shared" si="109"/>
        <v>20.16367542509624</v>
      </c>
    </row>
    <row r="728" spans="3:16" x14ac:dyDescent="0.25">
      <c r="C728">
        <v>0.7</v>
      </c>
      <c r="D728">
        <f t="shared" si="100"/>
        <v>-10.491107410756896</v>
      </c>
      <c r="E728">
        <f t="shared" si="101"/>
        <v>12.311327577557995</v>
      </c>
      <c r="F728">
        <f t="shared" si="104"/>
        <v>1</v>
      </c>
      <c r="G728">
        <f t="shared" si="105"/>
        <v>1</v>
      </c>
      <c r="H728">
        <f t="shared" si="106"/>
        <v>12.311327577557995</v>
      </c>
      <c r="K728">
        <v>0.7</v>
      </c>
      <c r="L728">
        <f t="shared" si="102"/>
        <v>-9.6911074107568993</v>
      </c>
      <c r="M728">
        <f t="shared" si="103"/>
        <v>20.151445964551638</v>
      </c>
      <c r="N728">
        <f t="shared" si="107"/>
        <v>1</v>
      </c>
      <c r="O728">
        <f t="shared" si="108"/>
        <v>1</v>
      </c>
      <c r="P728">
        <f t="shared" si="109"/>
        <v>20.151445964551638</v>
      </c>
    </row>
    <row r="729" spans="3:16" x14ac:dyDescent="0.25">
      <c r="C729">
        <v>0.70099999999999996</v>
      </c>
      <c r="D729">
        <f t="shared" si="100"/>
        <v>-10.453914830498817</v>
      </c>
      <c r="E729">
        <f t="shared" si="101"/>
        <v>12.303894565403581</v>
      </c>
      <c r="F729">
        <f t="shared" si="104"/>
        <v>1</v>
      </c>
      <c r="G729">
        <f t="shared" si="105"/>
        <v>1</v>
      </c>
      <c r="H729">
        <f t="shared" si="106"/>
        <v>12.303894565403581</v>
      </c>
      <c r="K729">
        <v>0.70099999999999996</v>
      </c>
      <c r="L729">
        <f t="shared" si="102"/>
        <v>-9.6299148304988194</v>
      </c>
      <c r="M729">
        <f t="shared" si="103"/>
        <v>20.139216504007035</v>
      </c>
      <c r="N729">
        <f t="shared" si="107"/>
        <v>1</v>
      </c>
      <c r="O729">
        <f t="shared" si="108"/>
        <v>1</v>
      </c>
      <c r="P729">
        <f t="shared" si="109"/>
        <v>20.139216504007035</v>
      </c>
    </row>
    <row r="730" spans="3:16" x14ac:dyDescent="0.25">
      <c r="C730">
        <v>0.70199999999999996</v>
      </c>
      <c r="D730">
        <f t="shared" si="100"/>
        <v>-10.416722250240738</v>
      </c>
      <c r="E730">
        <f t="shared" si="101"/>
        <v>12.29646155324917</v>
      </c>
      <c r="F730">
        <f t="shared" si="104"/>
        <v>1</v>
      </c>
      <c r="G730">
        <f t="shared" si="105"/>
        <v>1</v>
      </c>
      <c r="H730">
        <f t="shared" si="106"/>
        <v>12.29646155324917</v>
      </c>
      <c r="K730">
        <v>0.70199999999999996</v>
      </c>
      <c r="L730">
        <f t="shared" si="102"/>
        <v>-9.5687222502407394</v>
      </c>
      <c r="M730">
        <f t="shared" si="103"/>
        <v>20.126987043462428</v>
      </c>
      <c r="N730">
        <f t="shared" si="107"/>
        <v>1</v>
      </c>
      <c r="O730">
        <f t="shared" si="108"/>
        <v>1</v>
      </c>
      <c r="P730">
        <f t="shared" si="109"/>
        <v>20.126987043462428</v>
      </c>
    </row>
    <row r="731" spans="3:16" x14ac:dyDescent="0.25">
      <c r="C731">
        <v>0.70299999999999996</v>
      </c>
      <c r="D731">
        <f t="shared" si="100"/>
        <v>-10.379529669982659</v>
      </c>
      <c r="E731">
        <f t="shared" si="101"/>
        <v>12.289028541094757</v>
      </c>
      <c r="F731">
        <f t="shared" si="104"/>
        <v>1</v>
      </c>
      <c r="G731">
        <f t="shared" si="105"/>
        <v>1</v>
      </c>
      <c r="H731">
        <f t="shared" si="106"/>
        <v>12.289028541094757</v>
      </c>
      <c r="K731">
        <v>0.70299999999999996</v>
      </c>
      <c r="L731">
        <f t="shared" si="102"/>
        <v>-9.5075296699826595</v>
      </c>
      <c r="M731">
        <f t="shared" si="103"/>
        <v>20.114757582917825</v>
      </c>
      <c r="N731">
        <f t="shared" si="107"/>
        <v>1</v>
      </c>
      <c r="O731">
        <f t="shared" si="108"/>
        <v>1</v>
      </c>
      <c r="P731">
        <f t="shared" si="109"/>
        <v>20.114757582917825</v>
      </c>
    </row>
    <row r="732" spans="3:16" x14ac:dyDescent="0.25">
      <c r="C732">
        <v>0.70399999999999996</v>
      </c>
      <c r="D732">
        <f t="shared" ref="D732:D795" si="110">-$J$23+($J$15+$J$23)*C732</f>
        <v>-10.34233708972458</v>
      </c>
      <c r="E732">
        <f t="shared" ref="E732:E795" si="111">$J$12-$J$11*D732</f>
        <v>12.281595528940343</v>
      </c>
      <c r="F732">
        <f t="shared" si="104"/>
        <v>1</v>
      </c>
      <c r="G732">
        <f t="shared" si="105"/>
        <v>1</v>
      </c>
      <c r="H732">
        <f t="shared" si="106"/>
        <v>12.281595528940343</v>
      </c>
      <c r="K732">
        <v>0.70399999999999996</v>
      </c>
      <c r="L732">
        <f t="shared" ref="L732:L795" si="112">-$M$23+($M$15+$M$23)*K732</f>
        <v>-9.4463370897245795</v>
      </c>
      <c r="M732">
        <f t="shared" ref="M732:M795" si="113">$J$12-$J$11*L732+$E$18</f>
        <v>20.102528122373222</v>
      </c>
      <c r="N732">
        <f t="shared" si="107"/>
        <v>1</v>
      </c>
      <c r="O732">
        <f t="shared" si="108"/>
        <v>1</v>
      </c>
      <c r="P732">
        <f t="shared" si="109"/>
        <v>20.102528122373222</v>
      </c>
    </row>
    <row r="733" spans="3:16" x14ac:dyDescent="0.25">
      <c r="C733">
        <v>0.70499999999999996</v>
      </c>
      <c r="D733">
        <f t="shared" si="110"/>
        <v>-10.305144509466505</v>
      </c>
      <c r="E733">
        <f t="shared" si="111"/>
        <v>12.274162516785932</v>
      </c>
      <c r="F733">
        <f t="shared" ref="F733:F796" si="114">IF(D733&lt;$J$20,MAX(1-(D733-$J$20)^2/$J$22^2,0),1)</f>
        <v>1</v>
      </c>
      <c r="G733">
        <f t="shared" ref="G733:G796" si="115">IF(D733&gt;$J$17,MAX(1-(D733-$J$17)^2/($J$15-$J$17)^2,0),1)</f>
        <v>1</v>
      </c>
      <c r="H733">
        <f t="shared" ref="H733:H796" si="116">SQRT(E733^2*F733*G733)</f>
        <v>12.274162516785932</v>
      </c>
      <c r="K733">
        <v>0.70499999999999996</v>
      </c>
      <c r="L733">
        <f t="shared" si="112"/>
        <v>-9.3851445094665067</v>
      </c>
      <c r="M733">
        <f t="shared" si="113"/>
        <v>20.090298661828619</v>
      </c>
      <c r="N733">
        <f t="shared" ref="N733:N796" si="117">IF(L733&lt;$J$20,MAX(1-(L733-$J$20)^2/$M$22^2,0),1)</f>
        <v>1</v>
      </c>
      <c r="O733">
        <f t="shared" ref="O733:O796" si="118">IF(L733&gt;$J$17,MAX(1-(L733-$J$17)^2/($M$15-$J$17)^2,0),1)</f>
        <v>1</v>
      </c>
      <c r="P733">
        <f t="shared" ref="P733:P796" si="119">SQRT(M733^2*N733*O733)</f>
        <v>20.090298661828619</v>
      </c>
    </row>
    <row r="734" spans="3:16" x14ac:dyDescent="0.25">
      <c r="C734">
        <v>0.70599999999999996</v>
      </c>
      <c r="D734">
        <f t="shared" si="110"/>
        <v>-10.267951929208426</v>
      </c>
      <c r="E734">
        <f t="shared" si="111"/>
        <v>12.26672950463152</v>
      </c>
      <c r="F734">
        <f t="shared" si="114"/>
        <v>1</v>
      </c>
      <c r="G734">
        <f t="shared" si="115"/>
        <v>1</v>
      </c>
      <c r="H734">
        <f t="shared" si="116"/>
        <v>12.26672950463152</v>
      </c>
      <c r="K734">
        <v>0.70599999999999996</v>
      </c>
      <c r="L734">
        <f t="shared" si="112"/>
        <v>-9.3239519292084267</v>
      </c>
      <c r="M734">
        <f t="shared" si="113"/>
        <v>20.078069201284016</v>
      </c>
      <c r="N734">
        <f t="shared" si="117"/>
        <v>1</v>
      </c>
      <c r="O734">
        <f t="shared" si="118"/>
        <v>1</v>
      </c>
      <c r="P734">
        <f t="shared" si="119"/>
        <v>20.078069201284016</v>
      </c>
    </row>
    <row r="735" spans="3:16" x14ac:dyDescent="0.25">
      <c r="C735">
        <v>0.70699999999999996</v>
      </c>
      <c r="D735">
        <f t="shared" si="110"/>
        <v>-10.230759348950347</v>
      </c>
      <c r="E735">
        <f t="shared" si="111"/>
        <v>12.259296492477107</v>
      </c>
      <c r="F735">
        <f t="shared" si="114"/>
        <v>1</v>
      </c>
      <c r="G735">
        <f t="shared" si="115"/>
        <v>1</v>
      </c>
      <c r="H735">
        <f t="shared" si="116"/>
        <v>12.259296492477107</v>
      </c>
      <c r="K735">
        <v>0.70699999999999996</v>
      </c>
      <c r="L735">
        <f t="shared" si="112"/>
        <v>-9.2627593489503468</v>
      </c>
      <c r="M735">
        <f t="shared" si="113"/>
        <v>20.065839740739413</v>
      </c>
      <c r="N735">
        <f t="shared" si="117"/>
        <v>1</v>
      </c>
      <c r="O735">
        <f t="shared" si="118"/>
        <v>1</v>
      </c>
      <c r="P735">
        <f t="shared" si="119"/>
        <v>20.065839740739413</v>
      </c>
    </row>
    <row r="736" spans="3:16" x14ac:dyDescent="0.25">
      <c r="C736">
        <v>0.70799999999999996</v>
      </c>
      <c r="D736">
        <f t="shared" si="110"/>
        <v>-10.193566768692268</v>
      </c>
      <c r="E736">
        <f t="shared" si="111"/>
        <v>12.251863480322694</v>
      </c>
      <c r="F736">
        <f t="shared" si="114"/>
        <v>1</v>
      </c>
      <c r="G736">
        <f t="shared" si="115"/>
        <v>1</v>
      </c>
      <c r="H736">
        <f t="shared" si="116"/>
        <v>12.251863480322694</v>
      </c>
      <c r="K736">
        <v>0.70799999999999996</v>
      </c>
      <c r="L736">
        <f t="shared" si="112"/>
        <v>-9.2015667686922669</v>
      </c>
      <c r="M736">
        <f t="shared" si="113"/>
        <v>20.05361028019481</v>
      </c>
      <c r="N736">
        <f t="shared" si="117"/>
        <v>1</v>
      </c>
      <c r="O736">
        <f t="shared" si="118"/>
        <v>1</v>
      </c>
      <c r="P736">
        <f t="shared" si="119"/>
        <v>20.05361028019481</v>
      </c>
    </row>
    <row r="737" spans="3:16" x14ac:dyDescent="0.25">
      <c r="C737">
        <v>0.70899999999999996</v>
      </c>
      <c r="D737">
        <f t="shared" si="110"/>
        <v>-10.156374188434189</v>
      </c>
      <c r="E737">
        <f t="shared" si="111"/>
        <v>12.244430468168282</v>
      </c>
      <c r="F737">
        <f t="shared" si="114"/>
        <v>1</v>
      </c>
      <c r="G737">
        <f t="shared" si="115"/>
        <v>1</v>
      </c>
      <c r="H737">
        <f t="shared" si="116"/>
        <v>12.244430468168282</v>
      </c>
      <c r="K737">
        <v>0.70899999999999996</v>
      </c>
      <c r="L737">
        <f t="shared" si="112"/>
        <v>-9.1403741884341869</v>
      </c>
      <c r="M737">
        <f t="shared" si="113"/>
        <v>20.041380819650207</v>
      </c>
      <c r="N737">
        <f t="shared" si="117"/>
        <v>1</v>
      </c>
      <c r="O737">
        <f t="shared" si="118"/>
        <v>1</v>
      </c>
      <c r="P737">
        <f t="shared" si="119"/>
        <v>20.041380819650207</v>
      </c>
    </row>
    <row r="738" spans="3:16" x14ac:dyDescent="0.25">
      <c r="C738">
        <v>0.71</v>
      </c>
      <c r="D738">
        <f t="shared" si="110"/>
        <v>-10.11918160817611</v>
      </c>
      <c r="E738">
        <f t="shared" si="111"/>
        <v>12.236997456013869</v>
      </c>
      <c r="F738">
        <f t="shared" si="114"/>
        <v>1</v>
      </c>
      <c r="G738">
        <f t="shared" si="115"/>
        <v>1</v>
      </c>
      <c r="H738">
        <f t="shared" si="116"/>
        <v>12.236997456013869</v>
      </c>
      <c r="K738">
        <v>0.71</v>
      </c>
      <c r="L738">
        <f t="shared" si="112"/>
        <v>-9.0791816081761141</v>
      </c>
      <c r="M738">
        <f t="shared" si="113"/>
        <v>20.029151359105605</v>
      </c>
      <c r="N738">
        <f t="shared" si="117"/>
        <v>1</v>
      </c>
      <c r="O738">
        <f t="shared" si="118"/>
        <v>1</v>
      </c>
      <c r="P738">
        <f t="shared" si="119"/>
        <v>20.029151359105605</v>
      </c>
    </row>
    <row r="739" spans="3:16" x14ac:dyDescent="0.25">
      <c r="C739">
        <v>0.71099999999999997</v>
      </c>
      <c r="D739">
        <f t="shared" si="110"/>
        <v>-10.081989027918031</v>
      </c>
      <c r="E739">
        <f t="shared" si="111"/>
        <v>12.229564443859456</v>
      </c>
      <c r="F739">
        <f t="shared" si="114"/>
        <v>1</v>
      </c>
      <c r="G739">
        <f t="shared" si="115"/>
        <v>1</v>
      </c>
      <c r="H739">
        <f t="shared" si="116"/>
        <v>12.229564443859456</v>
      </c>
      <c r="K739">
        <v>0.71099999999999997</v>
      </c>
      <c r="L739">
        <f t="shared" si="112"/>
        <v>-9.0179890279180341</v>
      </c>
      <c r="M739">
        <f t="shared" si="113"/>
        <v>20.016921898561002</v>
      </c>
      <c r="N739">
        <f t="shared" si="117"/>
        <v>1</v>
      </c>
      <c r="O739">
        <f t="shared" si="118"/>
        <v>1</v>
      </c>
      <c r="P739">
        <f t="shared" si="119"/>
        <v>20.016921898561002</v>
      </c>
    </row>
    <row r="740" spans="3:16" x14ac:dyDescent="0.25">
      <c r="C740">
        <v>0.71199999999999997</v>
      </c>
      <c r="D740">
        <f t="shared" si="110"/>
        <v>-10.044796447659952</v>
      </c>
      <c r="E740">
        <f t="shared" si="111"/>
        <v>12.222131431705044</v>
      </c>
      <c r="F740">
        <f t="shared" si="114"/>
        <v>1</v>
      </c>
      <c r="G740">
        <f t="shared" si="115"/>
        <v>1</v>
      </c>
      <c r="H740">
        <f t="shared" si="116"/>
        <v>12.222131431705044</v>
      </c>
      <c r="K740">
        <v>0.71199999999999997</v>
      </c>
      <c r="L740">
        <f t="shared" si="112"/>
        <v>-8.9567964476599542</v>
      </c>
      <c r="M740">
        <f t="shared" si="113"/>
        <v>20.004692438016399</v>
      </c>
      <c r="N740">
        <f t="shared" si="117"/>
        <v>1</v>
      </c>
      <c r="O740">
        <f t="shared" si="118"/>
        <v>1</v>
      </c>
      <c r="P740">
        <f t="shared" si="119"/>
        <v>20.004692438016399</v>
      </c>
    </row>
    <row r="741" spans="3:16" x14ac:dyDescent="0.25">
      <c r="C741">
        <v>0.71299999999999997</v>
      </c>
      <c r="D741">
        <f t="shared" si="110"/>
        <v>-10.007603867401876</v>
      </c>
      <c r="E741">
        <f t="shared" si="111"/>
        <v>12.214698419550633</v>
      </c>
      <c r="F741">
        <f t="shared" si="114"/>
        <v>1</v>
      </c>
      <c r="G741">
        <f t="shared" si="115"/>
        <v>1</v>
      </c>
      <c r="H741">
        <f t="shared" si="116"/>
        <v>12.214698419550633</v>
      </c>
      <c r="K741">
        <v>0.71299999999999997</v>
      </c>
      <c r="L741">
        <f t="shared" si="112"/>
        <v>-8.8956038674018743</v>
      </c>
      <c r="M741">
        <f t="shared" si="113"/>
        <v>19.992462977471796</v>
      </c>
      <c r="N741">
        <f t="shared" si="117"/>
        <v>1</v>
      </c>
      <c r="O741">
        <f t="shared" si="118"/>
        <v>1</v>
      </c>
      <c r="P741">
        <f t="shared" si="119"/>
        <v>19.992462977471796</v>
      </c>
    </row>
    <row r="742" spans="3:16" x14ac:dyDescent="0.25">
      <c r="C742">
        <v>0.71399999999999997</v>
      </c>
      <c r="D742">
        <f t="shared" si="110"/>
        <v>-9.9704112871437971</v>
      </c>
      <c r="E742">
        <f t="shared" si="111"/>
        <v>12.207265407396219</v>
      </c>
      <c r="F742">
        <f t="shared" si="114"/>
        <v>1</v>
      </c>
      <c r="G742">
        <f t="shared" si="115"/>
        <v>1</v>
      </c>
      <c r="H742">
        <f t="shared" si="116"/>
        <v>12.207265407396219</v>
      </c>
      <c r="K742">
        <v>0.71399999999999997</v>
      </c>
      <c r="L742">
        <f t="shared" si="112"/>
        <v>-8.8344112871437943</v>
      </c>
      <c r="M742">
        <f t="shared" si="113"/>
        <v>19.980233516927193</v>
      </c>
      <c r="N742">
        <f t="shared" si="117"/>
        <v>1</v>
      </c>
      <c r="O742">
        <f t="shared" si="118"/>
        <v>1</v>
      </c>
      <c r="P742">
        <f t="shared" si="119"/>
        <v>19.980233516927193</v>
      </c>
    </row>
    <row r="743" spans="3:16" x14ac:dyDescent="0.25">
      <c r="C743">
        <v>0.71499999999999997</v>
      </c>
      <c r="D743">
        <f t="shared" si="110"/>
        <v>-9.9332187068857181</v>
      </c>
      <c r="E743">
        <f t="shared" si="111"/>
        <v>12.199832395241806</v>
      </c>
      <c r="F743">
        <f t="shared" si="114"/>
        <v>1</v>
      </c>
      <c r="G743">
        <f t="shared" si="115"/>
        <v>1</v>
      </c>
      <c r="H743">
        <f t="shared" si="116"/>
        <v>12.199832395241806</v>
      </c>
      <c r="K743">
        <v>0.71499999999999997</v>
      </c>
      <c r="L743">
        <f t="shared" si="112"/>
        <v>-8.7732187068857215</v>
      </c>
      <c r="M743">
        <f t="shared" si="113"/>
        <v>19.96800405638259</v>
      </c>
      <c r="N743">
        <f t="shared" si="117"/>
        <v>1</v>
      </c>
      <c r="O743">
        <f t="shared" si="118"/>
        <v>1</v>
      </c>
      <c r="P743">
        <f t="shared" si="119"/>
        <v>19.96800405638259</v>
      </c>
    </row>
    <row r="744" spans="3:16" x14ac:dyDescent="0.25">
      <c r="C744">
        <v>0.71599999999999997</v>
      </c>
      <c r="D744">
        <f t="shared" si="110"/>
        <v>-9.896026126627639</v>
      </c>
      <c r="E744">
        <f t="shared" si="111"/>
        <v>12.192399383087395</v>
      </c>
      <c r="F744">
        <f t="shared" si="114"/>
        <v>1</v>
      </c>
      <c r="G744">
        <f t="shared" si="115"/>
        <v>1</v>
      </c>
      <c r="H744">
        <f t="shared" si="116"/>
        <v>12.192399383087395</v>
      </c>
      <c r="K744">
        <v>0.71599999999999997</v>
      </c>
      <c r="L744">
        <f t="shared" si="112"/>
        <v>-8.7120261266276415</v>
      </c>
      <c r="M744">
        <f t="shared" si="113"/>
        <v>19.955774595837987</v>
      </c>
      <c r="N744">
        <f t="shared" si="117"/>
        <v>1</v>
      </c>
      <c r="O744">
        <f t="shared" si="118"/>
        <v>1</v>
      </c>
      <c r="P744">
        <f t="shared" si="119"/>
        <v>19.955774595837987</v>
      </c>
    </row>
    <row r="745" spans="3:16" x14ac:dyDescent="0.25">
      <c r="C745">
        <v>0.71699999999999997</v>
      </c>
      <c r="D745">
        <f t="shared" si="110"/>
        <v>-9.85883354636956</v>
      </c>
      <c r="E745">
        <f t="shared" si="111"/>
        <v>12.184966370932981</v>
      </c>
      <c r="F745">
        <f t="shared" si="114"/>
        <v>1</v>
      </c>
      <c r="G745">
        <f t="shared" si="115"/>
        <v>1</v>
      </c>
      <c r="H745">
        <f t="shared" si="116"/>
        <v>12.184966370932981</v>
      </c>
      <c r="K745">
        <v>0.71699999999999997</v>
      </c>
      <c r="L745">
        <f t="shared" si="112"/>
        <v>-8.6508335463695616</v>
      </c>
      <c r="M745">
        <f t="shared" si="113"/>
        <v>19.943545135293384</v>
      </c>
      <c r="N745">
        <f t="shared" si="117"/>
        <v>1</v>
      </c>
      <c r="O745">
        <f t="shared" si="118"/>
        <v>1</v>
      </c>
      <c r="P745">
        <f t="shared" si="119"/>
        <v>19.943545135293384</v>
      </c>
    </row>
    <row r="746" spans="3:16" x14ac:dyDescent="0.25">
      <c r="C746">
        <v>0.71799999999999997</v>
      </c>
      <c r="D746">
        <f t="shared" si="110"/>
        <v>-9.821640966111481</v>
      </c>
      <c r="E746">
        <f t="shared" si="111"/>
        <v>12.177533358778568</v>
      </c>
      <c r="F746">
        <f t="shared" si="114"/>
        <v>1</v>
      </c>
      <c r="G746">
        <f t="shared" si="115"/>
        <v>1</v>
      </c>
      <c r="H746">
        <f t="shared" si="116"/>
        <v>12.177533358778568</v>
      </c>
      <c r="K746">
        <v>0.71799999999999997</v>
      </c>
      <c r="L746">
        <f t="shared" si="112"/>
        <v>-8.5896409661114816</v>
      </c>
      <c r="M746">
        <f t="shared" si="113"/>
        <v>19.931315674748777</v>
      </c>
      <c r="N746">
        <f t="shared" si="117"/>
        <v>1</v>
      </c>
      <c r="O746">
        <f t="shared" si="118"/>
        <v>1</v>
      </c>
      <c r="P746">
        <f t="shared" si="119"/>
        <v>19.931315674748777</v>
      </c>
    </row>
    <row r="747" spans="3:16" x14ac:dyDescent="0.25">
      <c r="C747">
        <v>0.71899999999999997</v>
      </c>
      <c r="D747">
        <f t="shared" si="110"/>
        <v>-9.7844483858534019</v>
      </c>
      <c r="E747">
        <f t="shared" si="111"/>
        <v>12.170100346624157</v>
      </c>
      <c r="F747">
        <f t="shared" si="114"/>
        <v>1</v>
      </c>
      <c r="G747">
        <f t="shared" si="115"/>
        <v>1</v>
      </c>
      <c r="H747">
        <f t="shared" si="116"/>
        <v>12.170100346624157</v>
      </c>
      <c r="K747">
        <v>0.71899999999999997</v>
      </c>
      <c r="L747">
        <f t="shared" si="112"/>
        <v>-8.5284483858534017</v>
      </c>
      <c r="M747">
        <f t="shared" si="113"/>
        <v>19.919086214204174</v>
      </c>
      <c r="N747">
        <f t="shared" si="117"/>
        <v>1</v>
      </c>
      <c r="O747">
        <f t="shared" si="118"/>
        <v>1</v>
      </c>
      <c r="P747">
        <f t="shared" si="119"/>
        <v>19.919086214204174</v>
      </c>
    </row>
    <row r="748" spans="3:16" x14ac:dyDescent="0.25">
      <c r="C748">
        <v>0.72</v>
      </c>
      <c r="D748">
        <f t="shared" si="110"/>
        <v>-9.7472558055953264</v>
      </c>
      <c r="E748">
        <f t="shared" si="111"/>
        <v>12.162667334469745</v>
      </c>
      <c r="F748">
        <f t="shared" si="114"/>
        <v>1</v>
      </c>
      <c r="G748">
        <f t="shared" si="115"/>
        <v>1</v>
      </c>
      <c r="H748">
        <f t="shared" si="116"/>
        <v>12.162667334469745</v>
      </c>
      <c r="K748">
        <v>0.72</v>
      </c>
      <c r="L748">
        <f t="shared" si="112"/>
        <v>-8.4672558055953289</v>
      </c>
      <c r="M748">
        <f t="shared" si="113"/>
        <v>19.906856753659572</v>
      </c>
      <c r="N748">
        <f t="shared" si="117"/>
        <v>1</v>
      </c>
      <c r="O748">
        <f t="shared" si="118"/>
        <v>1</v>
      </c>
      <c r="P748">
        <f t="shared" si="119"/>
        <v>19.906856753659572</v>
      </c>
    </row>
    <row r="749" spans="3:16" x14ac:dyDescent="0.25">
      <c r="C749">
        <v>0.72099999999999997</v>
      </c>
      <c r="D749">
        <f t="shared" si="110"/>
        <v>-9.7100632253372474</v>
      </c>
      <c r="E749">
        <f t="shared" si="111"/>
        <v>12.155234322315332</v>
      </c>
      <c r="F749">
        <f t="shared" si="114"/>
        <v>1</v>
      </c>
      <c r="G749">
        <f t="shared" si="115"/>
        <v>1</v>
      </c>
      <c r="H749">
        <f t="shared" si="116"/>
        <v>12.155234322315332</v>
      </c>
      <c r="K749">
        <v>0.72099999999999997</v>
      </c>
      <c r="L749">
        <f t="shared" si="112"/>
        <v>-8.4060632253372489</v>
      </c>
      <c r="M749">
        <f t="shared" si="113"/>
        <v>19.894627293114969</v>
      </c>
      <c r="N749">
        <f t="shared" si="117"/>
        <v>1</v>
      </c>
      <c r="O749">
        <f t="shared" si="118"/>
        <v>1</v>
      </c>
      <c r="P749">
        <f t="shared" si="119"/>
        <v>19.894627293114969</v>
      </c>
    </row>
    <row r="750" spans="3:16" x14ac:dyDescent="0.25">
      <c r="C750">
        <v>0.72199999999999998</v>
      </c>
      <c r="D750">
        <f t="shared" si="110"/>
        <v>-9.6728706450791684</v>
      </c>
      <c r="E750">
        <f t="shared" si="111"/>
        <v>12.147801310160919</v>
      </c>
      <c r="F750">
        <f t="shared" si="114"/>
        <v>1</v>
      </c>
      <c r="G750">
        <f t="shared" si="115"/>
        <v>1</v>
      </c>
      <c r="H750">
        <f t="shared" si="116"/>
        <v>12.147801310160919</v>
      </c>
      <c r="K750">
        <v>0.72199999999999998</v>
      </c>
      <c r="L750">
        <f t="shared" si="112"/>
        <v>-8.344870645079169</v>
      </c>
      <c r="M750">
        <f t="shared" si="113"/>
        <v>19.882397832570366</v>
      </c>
      <c r="N750">
        <f t="shared" si="117"/>
        <v>1</v>
      </c>
      <c r="O750">
        <f t="shared" si="118"/>
        <v>1</v>
      </c>
      <c r="P750">
        <f t="shared" si="119"/>
        <v>19.882397832570366</v>
      </c>
    </row>
    <row r="751" spans="3:16" x14ac:dyDescent="0.25">
      <c r="C751">
        <v>0.72299999999999998</v>
      </c>
      <c r="D751">
        <f t="shared" si="110"/>
        <v>-9.6356780648210894</v>
      </c>
      <c r="E751">
        <f t="shared" si="111"/>
        <v>12.140368298006507</v>
      </c>
      <c r="F751">
        <f t="shared" si="114"/>
        <v>1</v>
      </c>
      <c r="G751">
        <f t="shared" si="115"/>
        <v>1</v>
      </c>
      <c r="H751">
        <f t="shared" si="116"/>
        <v>12.140368298006507</v>
      </c>
      <c r="K751">
        <v>0.72299999999999998</v>
      </c>
      <c r="L751">
        <f t="shared" si="112"/>
        <v>-8.283678064821089</v>
      </c>
      <c r="M751">
        <f t="shared" si="113"/>
        <v>19.870168372025759</v>
      </c>
      <c r="N751">
        <f t="shared" si="117"/>
        <v>1</v>
      </c>
      <c r="O751">
        <f t="shared" si="118"/>
        <v>1</v>
      </c>
      <c r="P751">
        <f t="shared" si="119"/>
        <v>19.870168372025759</v>
      </c>
    </row>
    <row r="752" spans="3:16" x14ac:dyDescent="0.25">
      <c r="C752">
        <v>0.72399999999999998</v>
      </c>
      <c r="D752">
        <f t="shared" si="110"/>
        <v>-9.5984854845630103</v>
      </c>
      <c r="E752">
        <f t="shared" si="111"/>
        <v>12.132935285852094</v>
      </c>
      <c r="F752">
        <f t="shared" si="114"/>
        <v>1</v>
      </c>
      <c r="G752">
        <f t="shared" si="115"/>
        <v>1</v>
      </c>
      <c r="H752">
        <f t="shared" si="116"/>
        <v>12.132935285852094</v>
      </c>
      <c r="K752">
        <v>0.72399999999999998</v>
      </c>
      <c r="L752">
        <f t="shared" si="112"/>
        <v>-8.2224854845630091</v>
      </c>
      <c r="M752">
        <f t="shared" si="113"/>
        <v>19.857938911481156</v>
      </c>
      <c r="N752">
        <f t="shared" si="117"/>
        <v>1</v>
      </c>
      <c r="O752">
        <f t="shared" si="118"/>
        <v>1</v>
      </c>
      <c r="P752">
        <f t="shared" si="119"/>
        <v>19.857938911481156</v>
      </c>
    </row>
    <row r="753" spans="3:16" x14ac:dyDescent="0.25">
      <c r="C753">
        <v>0.72499999999999998</v>
      </c>
      <c r="D753">
        <f t="shared" si="110"/>
        <v>-9.5612929043049313</v>
      </c>
      <c r="E753">
        <f t="shared" si="111"/>
        <v>12.125502273697681</v>
      </c>
      <c r="F753">
        <f t="shared" si="114"/>
        <v>1</v>
      </c>
      <c r="G753">
        <f t="shared" si="115"/>
        <v>1</v>
      </c>
      <c r="H753">
        <f t="shared" si="116"/>
        <v>12.125502273697681</v>
      </c>
      <c r="K753">
        <v>0.72499999999999998</v>
      </c>
      <c r="L753">
        <f t="shared" si="112"/>
        <v>-8.1612929043049292</v>
      </c>
      <c r="M753">
        <f t="shared" si="113"/>
        <v>19.845709450936553</v>
      </c>
      <c r="N753">
        <f t="shared" si="117"/>
        <v>1</v>
      </c>
      <c r="O753">
        <f t="shared" si="118"/>
        <v>1</v>
      </c>
      <c r="P753">
        <f t="shared" si="119"/>
        <v>19.845709450936553</v>
      </c>
    </row>
    <row r="754" spans="3:16" x14ac:dyDescent="0.25">
      <c r="C754">
        <v>0.72599999999999998</v>
      </c>
      <c r="D754">
        <f t="shared" si="110"/>
        <v>-9.5241003240468523</v>
      </c>
      <c r="E754">
        <f t="shared" si="111"/>
        <v>12.118069261543269</v>
      </c>
      <c r="F754">
        <f t="shared" si="114"/>
        <v>1</v>
      </c>
      <c r="G754">
        <f t="shared" si="115"/>
        <v>1</v>
      </c>
      <c r="H754">
        <f t="shared" si="116"/>
        <v>12.118069261543269</v>
      </c>
      <c r="K754">
        <v>0.72599999999999998</v>
      </c>
      <c r="L754">
        <f t="shared" si="112"/>
        <v>-8.1001003240468563</v>
      </c>
      <c r="M754">
        <f t="shared" si="113"/>
        <v>19.83347999039195</v>
      </c>
      <c r="N754">
        <f t="shared" si="117"/>
        <v>1</v>
      </c>
      <c r="O754">
        <f t="shared" si="118"/>
        <v>1</v>
      </c>
      <c r="P754">
        <f t="shared" si="119"/>
        <v>19.83347999039195</v>
      </c>
    </row>
    <row r="755" spans="3:16" x14ac:dyDescent="0.25">
      <c r="C755">
        <v>0.72699999999999998</v>
      </c>
      <c r="D755">
        <f t="shared" si="110"/>
        <v>-9.4869077437887732</v>
      </c>
      <c r="E755">
        <f t="shared" si="111"/>
        <v>12.110636249388856</v>
      </c>
      <c r="F755">
        <f t="shared" si="114"/>
        <v>1</v>
      </c>
      <c r="G755">
        <f t="shared" si="115"/>
        <v>1</v>
      </c>
      <c r="H755">
        <f t="shared" si="116"/>
        <v>12.110636249388856</v>
      </c>
      <c r="K755">
        <v>0.72699999999999998</v>
      </c>
      <c r="L755">
        <f t="shared" si="112"/>
        <v>-8.0389077437887764</v>
      </c>
      <c r="M755">
        <f t="shared" si="113"/>
        <v>19.821250529847347</v>
      </c>
      <c r="N755">
        <f t="shared" si="117"/>
        <v>1</v>
      </c>
      <c r="O755">
        <f t="shared" si="118"/>
        <v>1</v>
      </c>
      <c r="P755">
        <f t="shared" si="119"/>
        <v>19.821250529847347</v>
      </c>
    </row>
    <row r="756" spans="3:16" x14ac:dyDescent="0.25">
      <c r="C756">
        <v>0.72799999999999998</v>
      </c>
      <c r="D756">
        <f t="shared" si="110"/>
        <v>-9.4497151635306977</v>
      </c>
      <c r="E756">
        <f t="shared" si="111"/>
        <v>12.103203237234444</v>
      </c>
      <c r="F756">
        <f t="shared" si="114"/>
        <v>1</v>
      </c>
      <c r="G756">
        <f t="shared" si="115"/>
        <v>1</v>
      </c>
      <c r="H756">
        <f t="shared" si="116"/>
        <v>12.103203237234444</v>
      </c>
      <c r="K756">
        <v>0.72799999999999998</v>
      </c>
      <c r="L756">
        <f t="shared" si="112"/>
        <v>-7.9777151635306964</v>
      </c>
      <c r="M756">
        <f t="shared" si="113"/>
        <v>19.809021069302744</v>
      </c>
      <c r="N756">
        <f t="shared" si="117"/>
        <v>1</v>
      </c>
      <c r="O756">
        <f t="shared" si="118"/>
        <v>1</v>
      </c>
      <c r="P756">
        <f t="shared" si="119"/>
        <v>19.809021069302744</v>
      </c>
    </row>
    <row r="757" spans="3:16" x14ac:dyDescent="0.25">
      <c r="C757">
        <v>0.72899999999999998</v>
      </c>
      <c r="D757">
        <f t="shared" si="110"/>
        <v>-9.4125225832726187</v>
      </c>
      <c r="E757">
        <f t="shared" si="111"/>
        <v>12.095770225080031</v>
      </c>
      <c r="F757">
        <f t="shared" si="114"/>
        <v>1</v>
      </c>
      <c r="G757">
        <f t="shared" si="115"/>
        <v>1</v>
      </c>
      <c r="H757">
        <f t="shared" si="116"/>
        <v>12.095770225080031</v>
      </c>
      <c r="K757">
        <v>0.72899999999999998</v>
      </c>
      <c r="L757">
        <f t="shared" si="112"/>
        <v>-7.9165225832726165</v>
      </c>
      <c r="M757">
        <f t="shared" si="113"/>
        <v>19.796791608758141</v>
      </c>
      <c r="N757">
        <f t="shared" si="117"/>
        <v>1</v>
      </c>
      <c r="O757">
        <f t="shared" si="118"/>
        <v>1</v>
      </c>
      <c r="P757">
        <f t="shared" si="119"/>
        <v>19.796791608758141</v>
      </c>
    </row>
    <row r="758" spans="3:16" x14ac:dyDescent="0.25">
      <c r="C758">
        <v>0.73</v>
      </c>
      <c r="D758">
        <f t="shared" si="110"/>
        <v>-9.3753300030145397</v>
      </c>
      <c r="E758">
        <f t="shared" si="111"/>
        <v>12.088337212925619</v>
      </c>
      <c r="F758">
        <f t="shared" si="114"/>
        <v>1</v>
      </c>
      <c r="G758">
        <f t="shared" si="115"/>
        <v>1</v>
      </c>
      <c r="H758">
        <f t="shared" si="116"/>
        <v>12.088337212925619</v>
      </c>
      <c r="K758">
        <v>0.73</v>
      </c>
      <c r="L758">
        <f t="shared" si="112"/>
        <v>-7.8553300030145365</v>
      </c>
      <c r="M758">
        <f t="shared" si="113"/>
        <v>19.784562148213539</v>
      </c>
      <c r="N758">
        <f t="shared" si="117"/>
        <v>1</v>
      </c>
      <c r="O758">
        <f t="shared" si="118"/>
        <v>1</v>
      </c>
      <c r="P758">
        <f t="shared" si="119"/>
        <v>19.784562148213539</v>
      </c>
    </row>
    <row r="759" spans="3:16" x14ac:dyDescent="0.25">
      <c r="C759">
        <v>0.73099999999999998</v>
      </c>
      <c r="D759">
        <f t="shared" si="110"/>
        <v>-9.3381374227564606</v>
      </c>
      <c r="E759">
        <f t="shared" si="111"/>
        <v>12.080904200771206</v>
      </c>
      <c r="F759">
        <f t="shared" si="114"/>
        <v>1</v>
      </c>
      <c r="G759">
        <f t="shared" si="115"/>
        <v>1</v>
      </c>
      <c r="H759">
        <f t="shared" si="116"/>
        <v>12.080904200771206</v>
      </c>
      <c r="K759">
        <v>0.73099999999999998</v>
      </c>
      <c r="L759">
        <f t="shared" si="112"/>
        <v>-7.7941374227564637</v>
      </c>
      <c r="M759">
        <f t="shared" si="113"/>
        <v>19.772332687668936</v>
      </c>
      <c r="N759">
        <f t="shared" si="117"/>
        <v>1</v>
      </c>
      <c r="O759">
        <f t="shared" si="118"/>
        <v>1</v>
      </c>
      <c r="P759">
        <f t="shared" si="119"/>
        <v>19.772332687668936</v>
      </c>
    </row>
    <row r="760" spans="3:16" x14ac:dyDescent="0.25">
      <c r="C760">
        <v>0.73199999999999998</v>
      </c>
      <c r="D760">
        <f t="shared" si="110"/>
        <v>-9.3009448424983816</v>
      </c>
      <c r="E760">
        <f t="shared" si="111"/>
        <v>12.073471188616793</v>
      </c>
      <c r="F760">
        <f t="shared" si="114"/>
        <v>1</v>
      </c>
      <c r="G760">
        <f t="shared" si="115"/>
        <v>1</v>
      </c>
      <c r="H760">
        <f t="shared" si="116"/>
        <v>12.073471188616793</v>
      </c>
      <c r="K760">
        <v>0.73199999999999998</v>
      </c>
      <c r="L760">
        <f t="shared" si="112"/>
        <v>-7.7329448424983838</v>
      </c>
      <c r="M760">
        <f t="shared" si="113"/>
        <v>19.760103227124333</v>
      </c>
      <c r="N760">
        <f t="shared" si="117"/>
        <v>1</v>
      </c>
      <c r="O760">
        <f t="shared" si="118"/>
        <v>1</v>
      </c>
      <c r="P760">
        <f t="shared" si="119"/>
        <v>19.760103227124333</v>
      </c>
    </row>
    <row r="761" spans="3:16" x14ac:dyDescent="0.25">
      <c r="C761">
        <v>0.73299999999999998</v>
      </c>
      <c r="D761">
        <f t="shared" si="110"/>
        <v>-9.2637522622403026</v>
      </c>
      <c r="E761">
        <f t="shared" si="111"/>
        <v>12.066038176462381</v>
      </c>
      <c r="F761">
        <f t="shared" si="114"/>
        <v>1</v>
      </c>
      <c r="G761">
        <f t="shared" si="115"/>
        <v>1</v>
      </c>
      <c r="H761">
        <f t="shared" si="116"/>
        <v>12.066038176462381</v>
      </c>
      <c r="K761">
        <v>0.73299999999999998</v>
      </c>
      <c r="L761">
        <f t="shared" si="112"/>
        <v>-7.6717522622403038</v>
      </c>
      <c r="M761">
        <f t="shared" si="113"/>
        <v>19.74787376657973</v>
      </c>
      <c r="N761">
        <f t="shared" si="117"/>
        <v>1</v>
      </c>
      <c r="O761">
        <f t="shared" si="118"/>
        <v>1</v>
      </c>
      <c r="P761">
        <f t="shared" si="119"/>
        <v>19.74787376657973</v>
      </c>
    </row>
    <row r="762" spans="3:16" x14ac:dyDescent="0.25">
      <c r="C762">
        <v>0.73399999999999999</v>
      </c>
      <c r="D762">
        <f t="shared" si="110"/>
        <v>-9.2265596819822235</v>
      </c>
      <c r="E762">
        <f t="shared" si="111"/>
        <v>12.058605164307968</v>
      </c>
      <c r="F762">
        <f t="shared" si="114"/>
        <v>1</v>
      </c>
      <c r="G762">
        <f t="shared" si="115"/>
        <v>1</v>
      </c>
      <c r="H762">
        <f t="shared" si="116"/>
        <v>12.058605164307968</v>
      </c>
      <c r="K762">
        <v>0.73399999999999999</v>
      </c>
      <c r="L762">
        <f t="shared" si="112"/>
        <v>-7.6105596819822239</v>
      </c>
      <c r="M762">
        <f t="shared" si="113"/>
        <v>19.735644306035127</v>
      </c>
      <c r="N762">
        <f t="shared" si="117"/>
        <v>1</v>
      </c>
      <c r="O762">
        <f t="shared" si="118"/>
        <v>1</v>
      </c>
      <c r="P762">
        <f t="shared" si="119"/>
        <v>19.735644306035127</v>
      </c>
    </row>
    <row r="763" spans="3:16" x14ac:dyDescent="0.25">
      <c r="C763">
        <v>0.73499999999999999</v>
      </c>
      <c r="D763">
        <f t="shared" si="110"/>
        <v>-9.1893671017241481</v>
      </c>
      <c r="E763">
        <f t="shared" si="111"/>
        <v>12.051172152153557</v>
      </c>
      <c r="F763">
        <f t="shared" si="114"/>
        <v>1</v>
      </c>
      <c r="G763">
        <f t="shared" si="115"/>
        <v>1</v>
      </c>
      <c r="H763">
        <f t="shared" si="116"/>
        <v>12.051172152153557</v>
      </c>
      <c r="K763">
        <v>0.73499999999999999</v>
      </c>
      <c r="L763">
        <f t="shared" si="112"/>
        <v>-7.5493671017241439</v>
      </c>
      <c r="M763">
        <f t="shared" si="113"/>
        <v>19.723414845490524</v>
      </c>
      <c r="N763">
        <f t="shared" si="117"/>
        <v>1</v>
      </c>
      <c r="O763">
        <f t="shared" si="118"/>
        <v>1</v>
      </c>
      <c r="P763">
        <f t="shared" si="119"/>
        <v>19.723414845490524</v>
      </c>
    </row>
    <row r="764" spans="3:16" x14ac:dyDescent="0.25">
      <c r="C764">
        <v>0.73599999999999999</v>
      </c>
      <c r="D764">
        <f t="shared" si="110"/>
        <v>-9.152174521466069</v>
      </c>
      <c r="E764">
        <f t="shared" si="111"/>
        <v>12.043739139999143</v>
      </c>
      <c r="F764">
        <f t="shared" si="114"/>
        <v>1</v>
      </c>
      <c r="G764">
        <f t="shared" si="115"/>
        <v>1</v>
      </c>
      <c r="H764">
        <f t="shared" si="116"/>
        <v>12.043739139999143</v>
      </c>
      <c r="K764">
        <v>0.73599999999999999</v>
      </c>
      <c r="L764">
        <f t="shared" si="112"/>
        <v>-7.4881745214660711</v>
      </c>
      <c r="M764">
        <f t="shared" si="113"/>
        <v>19.711185384945921</v>
      </c>
      <c r="N764">
        <f t="shared" si="117"/>
        <v>1</v>
      </c>
      <c r="O764">
        <f t="shared" si="118"/>
        <v>1</v>
      </c>
      <c r="P764">
        <f t="shared" si="119"/>
        <v>19.711185384945921</v>
      </c>
    </row>
    <row r="765" spans="3:16" x14ac:dyDescent="0.25">
      <c r="C765">
        <v>0.73699999999999999</v>
      </c>
      <c r="D765">
        <f t="shared" si="110"/>
        <v>-9.11498194120799</v>
      </c>
      <c r="E765">
        <f t="shared" si="111"/>
        <v>12.036306127844732</v>
      </c>
      <c r="F765">
        <f t="shared" si="114"/>
        <v>1</v>
      </c>
      <c r="G765">
        <f t="shared" si="115"/>
        <v>1</v>
      </c>
      <c r="H765">
        <f t="shared" si="116"/>
        <v>12.036306127844732</v>
      </c>
      <c r="K765">
        <v>0.73699999999999999</v>
      </c>
      <c r="L765">
        <f t="shared" si="112"/>
        <v>-7.4269819412079912</v>
      </c>
      <c r="M765">
        <f t="shared" si="113"/>
        <v>19.698955924401318</v>
      </c>
      <c r="N765">
        <f t="shared" si="117"/>
        <v>1</v>
      </c>
      <c r="O765">
        <f t="shared" si="118"/>
        <v>1</v>
      </c>
      <c r="P765">
        <f t="shared" si="119"/>
        <v>19.698955924401318</v>
      </c>
    </row>
    <row r="766" spans="3:16" x14ac:dyDescent="0.25">
      <c r="C766">
        <v>0.73799999999999999</v>
      </c>
      <c r="D766">
        <f t="shared" si="110"/>
        <v>-9.077789360949911</v>
      </c>
      <c r="E766">
        <f t="shared" si="111"/>
        <v>12.028873115690319</v>
      </c>
      <c r="F766">
        <f t="shared" si="114"/>
        <v>1</v>
      </c>
      <c r="G766">
        <f t="shared" si="115"/>
        <v>1</v>
      </c>
      <c r="H766">
        <f t="shared" si="116"/>
        <v>12.028873115690319</v>
      </c>
      <c r="K766">
        <v>0.73799999999999999</v>
      </c>
      <c r="L766">
        <f t="shared" si="112"/>
        <v>-7.3657893609499112</v>
      </c>
      <c r="M766">
        <f t="shared" si="113"/>
        <v>19.686726463856715</v>
      </c>
      <c r="N766">
        <f t="shared" si="117"/>
        <v>1</v>
      </c>
      <c r="O766">
        <f t="shared" si="118"/>
        <v>1</v>
      </c>
      <c r="P766">
        <f t="shared" si="119"/>
        <v>19.686726463856715</v>
      </c>
    </row>
    <row r="767" spans="3:16" x14ac:dyDescent="0.25">
      <c r="C767">
        <v>0.73899999999999999</v>
      </c>
      <c r="D767">
        <f t="shared" si="110"/>
        <v>-9.0405967806918319</v>
      </c>
      <c r="E767">
        <f t="shared" si="111"/>
        <v>12.021440103535905</v>
      </c>
      <c r="F767">
        <f t="shared" si="114"/>
        <v>1</v>
      </c>
      <c r="G767">
        <f t="shared" si="115"/>
        <v>1</v>
      </c>
      <c r="H767">
        <f t="shared" si="116"/>
        <v>12.021440103535905</v>
      </c>
      <c r="K767">
        <v>0.73899999999999999</v>
      </c>
      <c r="L767">
        <f t="shared" si="112"/>
        <v>-7.3045967806918313</v>
      </c>
      <c r="M767">
        <f t="shared" si="113"/>
        <v>19.674497003312108</v>
      </c>
      <c r="N767">
        <f t="shared" si="117"/>
        <v>1</v>
      </c>
      <c r="O767">
        <f t="shared" si="118"/>
        <v>1</v>
      </c>
      <c r="P767">
        <f t="shared" si="119"/>
        <v>19.674497003312108</v>
      </c>
    </row>
    <row r="768" spans="3:16" x14ac:dyDescent="0.25">
      <c r="C768">
        <v>0.74</v>
      </c>
      <c r="D768">
        <f t="shared" si="110"/>
        <v>-9.0034042004337529</v>
      </c>
      <c r="E768">
        <f t="shared" si="111"/>
        <v>12.014007091381494</v>
      </c>
      <c r="F768">
        <f t="shared" si="114"/>
        <v>1</v>
      </c>
      <c r="G768">
        <f t="shared" si="115"/>
        <v>1</v>
      </c>
      <c r="H768">
        <f t="shared" si="116"/>
        <v>12.014007091381494</v>
      </c>
      <c r="K768">
        <v>0.74</v>
      </c>
      <c r="L768">
        <f t="shared" si="112"/>
        <v>-7.2434042004337513</v>
      </c>
      <c r="M768">
        <f t="shared" si="113"/>
        <v>19.662267542767506</v>
      </c>
      <c r="N768">
        <f t="shared" si="117"/>
        <v>1</v>
      </c>
      <c r="O768">
        <f t="shared" si="118"/>
        <v>1</v>
      </c>
      <c r="P768">
        <f t="shared" si="119"/>
        <v>19.662267542767506</v>
      </c>
    </row>
    <row r="769" spans="3:16" x14ac:dyDescent="0.25">
      <c r="C769">
        <v>0.74099999999999999</v>
      </c>
      <c r="D769">
        <f t="shared" si="110"/>
        <v>-8.9662116201756739</v>
      </c>
      <c r="E769">
        <f t="shared" si="111"/>
        <v>12.006574079227081</v>
      </c>
      <c r="F769">
        <f t="shared" si="114"/>
        <v>1</v>
      </c>
      <c r="G769">
        <f t="shared" si="115"/>
        <v>1</v>
      </c>
      <c r="H769">
        <f t="shared" si="116"/>
        <v>12.006574079227081</v>
      </c>
      <c r="K769">
        <v>0.74099999999999999</v>
      </c>
      <c r="L769">
        <f t="shared" si="112"/>
        <v>-7.1822116201756785</v>
      </c>
      <c r="M769">
        <f t="shared" si="113"/>
        <v>19.650038082222903</v>
      </c>
      <c r="N769">
        <f t="shared" si="117"/>
        <v>1</v>
      </c>
      <c r="O769">
        <f t="shared" si="118"/>
        <v>1</v>
      </c>
      <c r="P769">
        <f t="shared" si="119"/>
        <v>19.650038082222903</v>
      </c>
    </row>
    <row r="770" spans="3:16" x14ac:dyDescent="0.25">
      <c r="C770">
        <v>0.74199999999999999</v>
      </c>
      <c r="D770">
        <f t="shared" si="110"/>
        <v>-8.9290190399175948</v>
      </c>
      <c r="E770">
        <f t="shared" si="111"/>
        <v>11.999141067072667</v>
      </c>
      <c r="F770">
        <f t="shared" si="114"/>
        <v>1</v>
      </c>
      <c r="G770">
        <f t="shared" si="115"/>
        <v>1</v>
      </c>
      <c r="H770">
        <f t="shared" si="116"/>
        <v>11.999141067072667</v>
      </c>
      <c r="K770">
        <v>0.74199999999999999</v>
      </c>
      <c r="L770">
        <f t="shared" si="112"/>
        <v>-7.1210190399175985</v>
      </c>
      <c r="M770">
        <f t="shared" si="113"/>
        <v>19.6378086216783</v>
      </c>
      <c r="N770">
        <f t="shared" si="117"/>
        <v>1</v>
      </c>
      <c r="O770">
        <f t="shared" si="118"/>
        <v>1</v>
      </c>
      <c r="P770">
        <f t="shared" si="119"/>
        <v>19.6378086216783</v>
      </c>
    </row>
    <row r="771" spans="3:16" x14ac:dyDescent="0.25">
      <c r="C771">
        <v>0.74299999999999999</v>
      </c>
      <c r="D771">
        <f t="shared" si="110"/>
        <v>-8.8918264596595193</v>
      </c>
      <c r="E771">
        <f t="shared" si="111"/>
        <v>11.991708054918256</v>
      </c>
      <c r="F771">
        <f t="shared" si="114"/>
        <v>1</v>
      </c>
      <c r="G771">
        <f t="shared" si="115"/>
        <v>1</v>
      </c>
      <c r="H771">
        <f t="shared" si="116"/>
        <v>11.991708054918256</v>
      </c>
      <c r="K771">
        <v>0.74299999999999999</v>
      </c>
      <c r="L771">
        <f t="shared" si="112"/>
        <v>-7.0598264596595186</v>
      </c>
      <c r="M771">
        <f t="shared" si="113"/>
        <v>19.625579161133697</v>
      </c>
      <c r="N771">
        <f t="shared" si="117"/>
        <v>1</v>
      </c>
      <c r="O771">
        <f t="shared" si="118"/>
        <v>1</v>
      </c>
      <c r="P771">
        <f t="shared" si="119"/>
        <v>19.625579161133697</v>
      </c>
    </row>
    <row r="772" spans="3:16" x14ac:dyDescent="0.25">
      <c r="C772">
        <v>0.74399999999999999</v>
      </c>
      <c r="D772">
        <f t="shared" si="110"/>
        <v>-8.8546338794014403</v>
      </c>
      <c r="E772">
        <f t="shared" si="111"/>
        <v>11.984275042763844</v>
      </c>
      <c r="F772">
        <f t="shared" si="114"/>
        <v>1</v>
      </c>
      <c r="G772">
        <f t="shared" si="115"/>
        <v>1</v>
      </c>
      <c r="H772">
        <f t="shared" si="116"/>
        <v>11.984275042763844</v>
      </c>
      <c r="K772">
        <v>0.74399999999999999</v>
      </c>
      <c r="L772">
        <f t="shared" si="112"/>
        <v>-6.9986338794014387</v>
      </c>
      <c r="M772">
        <f t="shared" si="113"/>
        <v>19.613349700589094</v>
      </c>
      <c r="N772">
        <f t="shared" si="117"/>
        <v>1</v>
      </c>
      <c r="O772">
        <f t="shared" si="118"/>
        <v>1</v>
      </c>
      <c r="P772">
        <f t="shared" si="119"/>
        <v>19.613349700589094</v>
      </c>
    </row>
    <row r="773" spans="3:16" x14ac:dyDescent="0.25">
      <c r="C773">
        <v>0.745</v>
      </c>
      <c r="D773">
        <f t="shared" si="110"/>
        <v>-8.8174412991433613</v>
      </c>
      <c r="E773">
        <f t="shared" si="111"/>
        <v>11.976842030609431</v>
      </c>
      <c r="F773">
        <f t="shared" si="114"/>
        <v>1</v>
      </c>
      <c r="G773">
        <f t="shared" si="115"/>
        <v>1</v>
      </c>
      <c r="H773">
        <f t="shared" si="116"/>
        <v>11.976842030609431</v>
      </c>
      <c r="K773">
        <v>0.745</v>
      </c>
      <c r="L773">
        <f t="shared" si="112"/>
        <v>-6.9374412991433587</v>
      </c>
      <c r="M773">
        <f t="shared" si="113"/>
        <v>19.601120240044487</v>
      </c>
      <c r="N773">
        <f t="shared" si="117"/>
        <v>1</v>
      </c>
      <c r="O773">
        <f t="shared" si="118"/>
        <v>1</v>
      </c>
      <c r="P773">
        <f t="shared" si="119"/>
        <v>19.601120240044487</v>
      </c>
    </row>
    <row r="774" spans="3:16" x14ac:dyDescent="0.25">
      <c r="C774">
        <v>0.746</v>
      </c>
      <c r="D774">
        <f t="shared" si="110"/>
        <v>-8.7802487188852822</v>
      </c>
      <c r="E774">
        <f t="shared" si="111"/>
        <v>11.969409018455018</v>
      </c>
      <c r="F774">
        <f t="shared" si="114"/>
        <v>1</v>
      </c>
      <c r="G774">
        <f t="shared" si="115"/>
        <v>1</v>
      </c>
      <c r="H774">
        <f t="shared" si="116"/>
        <v>11.969409018455018</v>
      </c>
      <c r="K774">
        <v>0.746</v>
      </c>
      <c r="L774">
        <f t="shared" si="112"/>
        <v>-6.8762487188852788</v>
      </c>
      <c r="M774">
        <f t="shared" si="113"/>
        <v>19.588890779499884</v>
      </c>
      <c r="N774">
        <f t="shared" si="117"/>
        <v>1</v>
      </c>
      <c r="O774">
        <f t="shared" si="118"/>
        <v>1</v>
      </c>
      <c r="P774">
        <f t="shared" si="119"/>
        <v>19.588890779499884</v>
      </c>
    </row>
    <row r="775" spans="3:16" x14ac:dyDescent="0.25">
      <c r="C775">
        <v>0.747</v>
      </c>
      <c r="D775">
        <f t="shared" si="110"/>
        <v>-8.7430561386272032</v>
      </c>
      <c r="E775">
        <f t="shared" si="111"/>
        <v>11.961976006300606</v>
      </c>
      <c r="F775">
        <f t="shared" si="114"/>
        <v>1</v>
      </c>
      <c r="G775">
        <f t="shared" si="115"/>
        <v>1</v>
      </c>
      <c r="H775">
        <f t="shared" si="116"/>
        <v>11.961976006300606</v>
      </c>
      <c r="K775">
        <v>0.747</v>
      </c>
      <c r="L775">
        <f t="shared" si="112"/>
        <v>-6.8150561386272059</v>
      </c>
      <c r="M775">
        <f t="shared" si="113"/>
        <v>19.576661318955281</v>
      </c>
      <c r="N775">
        <f t="shared" si="117"/>
        <v>1</v>
      </c>
      <c r="O775">
        <f t="shared" si="118"/>
        <v>1</v>
      </c>
      <c r="P775">
        <f t="shared" si="119"/>
        <v>19.576661318955281</v>
      </c>
    </row>
    <row r="776" spans="3:16" x14ac:dyDescent="0.25">
      <c r="C776">
        <v>0.748</v>
      </c>
      <c r="D776">
        <f t="shared" si="110"/>
        <v>-8.7058635583691242</v>
      </c>
      <c r="E776">
        <f t="shared" si="111"/>
        <v>11.954542994146193</v>
      </c>
      <c r="F776">
        <f t="shared" si="114"/>
        <v>1</v>
      </c>
      <c r="G776">
        <f t="shared" si="115"/>
        <v>1</v>
      </c>
      <c r="H776">
        <f t="shared" si="116"/>
        <v>11.954542994146193</v>
      </c>
      <c r="K776">
        <v>0.748</v>
      </c>
      <c r="L776">
        <f t="shared" si="112"/>
        <v>-6.753863558369126</v>
      </c>
      <c r="M776">
        <f t="shared" si="113"/>
        <v>19.564431858410678</v>
      </c>
      <c r="N776">
        <f t="shared" si="117"/>
        <v>1</v>
      </c>
      <c r="O776">
        <f t="shared" si="118"/>
        <v>1</v>
      </c>
      <c r="P776">
        <f t="shared" si="119"/>
        <v>19.564431858410678</v>
      </c>
    </row>
    <row r="777" spans="3:16" x14ac:dyDescent="0.25">
      <c r="C777">
        <v>0.749</v>
      </c>
      <c r="D777">
        <f t="shared" si="110"/>
        <v>-8.6686709781110451</v>
      </c>
      <c r="E777">
        <f t="shared" si="111"/>
        <v>11.94710998199178</v>
      </c>
      <c r="F777">
        <f t="shared" si="114"/>
        <v>1</v>
      </c>
      <c r="G777">
        <f t="shared" si="115"/>
        <v>1</v>
      </c>
      <c r="H777">
        <f t="shared" si="116"/>
        <v>11.94710998199178</v>
      </c>
      <c r="K777">
        <v>0.749</v>
      </c>
      <c r="L777">
        <f t="shared" si="112"/>
        <v>-6.6926709781110461</v>
      </c>
      <c r="M777">
        <f t="shared" si="113"/>
        <v>19.552202397866076</v>
      </c>
      <c r="N777">
        <f t="shared" si="117"/>
        <v>1</v>
      </c>
      <c r="O777">
        <f t="shared" si="118"/>
        <v>1</v>
      </c>
      <c r="P777">
        <f t="shared" si="119"/>
        <v>19.552202397866076</v>
      </c>
    </row>
    <row r="778" spans="3:16" x14ac:dyDescent="0.25">
      <c r="C778">
        <v>0.75</v>
      </c>
      <c r="D778">
        <f t="shared" si="110"/>
        <v>-8.6314783978529661</v>
      </c>
      <c r="E778">
        <f t="shared" si="111"/>
        <v>11.939676969837368</v>
      </c>
      <c r="F778">
        <f t="shared" si="114"/>
        <v>1</v>
      </c>
      <c r="G778">
        <f t="shared" si="115"/>
        <v>1</v>
      </c>
      <c r="H778">
        <f t="shared" si="116"/>
        <v>11.939676969837368</v>
      </c>
      <c r="K778">
        <v>0.75</v>
      </c>
      <c r="L778">
        <f t="shared" si="112"/>
        <v>-6.6314783978529661</v>
      </c>
      <c r="M778">
        <f t="shared" si="113"/>
        <v>19.539972937321473</v>
      </c>
      <c r="N778">
        <f t="shared" si="117"/>
        <v>1</v>
      </c>
      <c r="O778">
        <f t="shared" si="118"/>
        <v>0.99999473349321411</v>
      </c>
      <c r="P778">
        <f t="shared" si="119"/>
        <v>19.539921483553691</v>
      </c>
    </row>
    <row r="779" spans="3:16" x14ac:dyDescent="0.25">
      <c r="C779">
        <v>0.751</v>
      </c>
      <c r="D779">
        <f t="shared" si="110"/>
        <v>-8.5942858175948906</v>
      </c>
      <c r="E779">
        <f t="shared" si="111"/>
        <v>11.932243957682957</v>
      </c>
      <c r="F779">
        <f t="shared" si="114"/>
        <v>1</v>
      </c>
      <c r="G779">
        <f t="shared" si="115"/>
        <v>1</v>
      </c>
      <c r="H779">
        <f t="shared" si="116"/>
        <v>11.932243957682957</v>
      </c>
      <c r="K779">
        <v>0.751</v>
      </c>
      <c r="L779">
        <f t="shared" si="112"/>
        <v>-6.5702858175948862</v>
      </c>
      <c r="M779">
        <f t="shared" si="113"/>
        <v>19.52774347677687</v>
      </c>
      <c r="N779">
        <f t="shared" si="117"/>
        <v>1</v>
      </c>
      <c r="O779">
        <f t="shared" si="118"/>
        <v>0.99996048988061903</v>
      </c>
      <c r="P779">
        <f t="shared" si="119"/>
        <v>19.527357701228318</v>
      </c>
    </row>
    <row r="780" spans="3:16" x14ac:dyDescent="0.25">
      <c r="C780">
        <v>0.752</v>
      </c>
      <c r="D780">
        <f t="shared" si="110"/>
        <v>-8.5570932373368116</v>
      </c>
      <c r="E780">
        <f t="shared" si="111"/>
        <v>11.924810945528543</v>
      </c>
      <c r="F780">
        <f t="shared" si="114"/>
        <v>1</v>
      </c>
      <c r="G780">
        <f t="shared" si="115"/>
        <v>1</v>
      </c>
      <c r="H780">
        <f t="shared" si="116"/>
        <v>11.924810945528543</v>
      </c>
      <c r="K780">
        <v>0.752</v>
      </c>
      <c r="L780">
        <f t="shared" si="112"/>
        <v>-6.5090932373368133</v>
      </c>
      <c r="M780">
        <f t="shared" si="113"/>
        <v>19.515514016232267</v>
      </c>
      <c r="N780">
        <f t="shared" si="117"/>
        <v>1</v>
      </c>
      <c r="O780">
        <f t="shared" si="118"/>
        <v>0.9998943929722699</v>
      </c>
      <c r="P780">
        <f t="shared" si="119"/>
        <v>19.514483501309204</v>
      </c>
    </row>
    <row r="781" spans="3:16" x14ac:dyDescent="0.25">
      <c r="C781">
        <v>0.753</v>
      </c>
      <c r="D781">
        <f t="shared" si="110"/>
        <v>-8.5199006570787326</v>
      </c>
      <c r="E781">
        <f t="shared" si="111"/>
        <v>11.91737793337413</v>
      </c>
      <c r="F781">
        <f t="shared" si="114"/>
        <v>1</v>
      </c>
      <c r="G781">
        <f t="shared" si="115"/>
        <v>1</v>
      </c>
      <c r="H781">
        <f t="shared" si="116"/>
        <v>11.91737793337413</v>
      </c>
      <c r="K781">
        <v>0.753</v>
      </c>
      <c r="L781">
        <f t="shared" si="112"/>
        <v>-6.4479006570787334</v>
      </c>
      <c r="M781">
        <f t="shared" si="113"/>
        <v>19.503284555687664</v>
      </c>
      <c r="N781">
        <f t="shared" si="117"/>
        <v>1</v>
      </c>
      <c r="O781">
        <f t="shared" si="118"/>
        <v>0.9997964427681667</v>
      </c>
      <c r="P781">
        <f t="shared" si="119"/>
        <v>19.501299437353318</v>
      </c>
    </row>
    <row r="782" spans="3:16" x14ac:dyDescent="0.25">
      <c r="C782">
        <v>0.754</v>
      </c>
      <c r="D782">
        <f t="shared" si="110"/>
        <v>-8.4827080768206535</v>
      </c>
      <c r="E782">
        <f t="shared" si="111"/>
        <v>11.909944921219719</v>
      </c>
      <c r="F782">
        <f t="shared" si="114"/>
        <v>1</v>
      </c>
      <c r="G782">
        <f t="shared" si="115"/>
        <v>1</v>
      </c>
      <c r="H782">
        <f t="shared" si="116"/>
        <v>11.909944921219719</v>
      </c>
      <c r="K782">
        <v>0.754</v>
      </c>
      <c r="L782">
        <f t="shared" si="112"/>
        <v>-6.3867080768206534</v>
      </c>
      <c r="M782">
        <f t="shared" si="113"/>
        <v>19.491055095143061</v>
      </c>
      <c r="N782">
        <f t="shared" si="117"/>
        <v>1</v>
      </c>
      <c r="O782">
        <f t="shared" si="118"/>
        <v>0.99966663926830945</v>
      </c>
      <c r="P782">
        <f t="shared" si="119"/>
        <v>19.48780604815035</v>
      </c>
    </row>
    <row r="783" spans="3:16" x14ac:dyDescent="0.25">
      <c r="C783">
        <v>0.755</v>
      </c>
      <c r="D783">
        <f t="shared" si="110"/>
        <v>-8.4455154965625745</v>
      </c>
      <c r="E783">
        <f t="shared" si="111"/>
        <v>11.902511909065305</v>
      </c>
      <c r="F783">
        <f t="shared" si="114"/>
        <v>1</v>
      </c>
      <c r="G783">
        <f t="shared" si="115"/>
        <v>1</v>
      </c>
      <c r="H783">
        <f t="shared" si="116"/>
        <v>11.902511909065305</v>
      </c>
      <c r="K783">
        <v>0.755</v>
      </c>
      <c r="L783">
        <f t="shared" si="112"/>
        <v>-6.3255154965625735</v>
      </c>
      <c r="M783">
        <f t="shared" si="113"/>
        <v>19.478825634598458</v>
      </c>
      <c r="N783">
        <f t="shared" si="117"/>
        <v>1</v>
      </c>
      <c r="O783">
        <f t="shared" si="118"/>
        <v>0.99950498247269826</v>
      </c>
      <c r="P783">
        <f t="shared" si="119"/>
        <v>19.47400385775839</v>
      </c>
    </row>
    <row r="784" spans="3:16" x14ac:dyDescent="0.25">
      <c r="C784">
        <v>0.75600000000000001</v>
      </c>
      <c r="D784">
        <f t="shared" si="110"/>
        <v>-8.4083229163044955</v>
      </c>
      <c r="E784">
        <f t="shared" si="111"/>
        <v>11.895078896910892</v>
      </c>
      <c r="F784">
        <f t="shared" si="114"/>
        <v>1</v>
      </c>
      <c r="G784">
        <f t="shared" si="115"/>
        <v>1</v>
      </c>
      <c r="H784">
        <f t="shared" si="116"/>
        <v>11.895078896910892</v>
      </c>
      <c r="K784">
        <v>0.75600000000000001</v>
      </c>
      <c r="L784">
        <f t="shared" si="112"/>
        <v>-6.2643229163044936</v>
      </c>
      <c r="M784">
        <f t="shared" si="113"/>
        <v>19.466596174053855</v>
      </c>
      <c r="N784">
        <f t="shared" si="117"/>
        <v>1</v>
      </c>
      <c r="O784">
        <f t="shared" si="118"/>
        <v>0.999311472381333</v>
      </c>
      <c r="P784">
        <f t="shared" si="119"/>
        <v>19.459893375536076</v>
      </c>
    </row>
    <row r="785" spans="3:16" x14ac:dyDescent="0.25">
      <c r="C785">
        <v>0.75700000000000001</v>
      </c>
      <c r="D785">
        <f t="shared" si="110"/>
        <v>-8.3711303360464164</v>
      </c>
      <c r="E785">
        <f t="shared" si="111"/>
        <v>11.887645884756481</v>
      </c>
      <c r="F785">
        <f t="shared" si="114"/>
        <v>1</v>
      </c>
      <c r="G785">
        <f t="shared" si="115"/>
        <v>1</v>
      </c>
      <c r="H785">
        <f t="shared" si="116"/>
        <v>11.887645884756481</v>
      </c>
      <c r="K785">
        <v>0.75700000000000001</v>
      </c>
      <c r="L785">
        <f t="shared" si="112"/>
        <v>-6.2031303360464207</v>
      </c>
      <c r="M785">
        <f t="shared" si="113"/>
        <v>19.454366713509252</v>
      </c>
      <c r="N785">
        <f t="shared" si="117"/>
        <v>1</v>
      </c>
      <c r="O785">
        <f t="shared" si="118"/>
        <v>0.99908610899421368</v>
      </c>
      <c r="P785">
        <f t="shared" si="119"/>
        <v>19.445475096171247</v>
      </c>
    </row>
    <row r="786" spans="3:16" x14ac:dyDescent="0.25">
      <c r="C786">
        <v>0.75800000000000001</v>
      </c>
      <c r="D786">
        <f t="shared" si="110"/>
        <v>-8.333937755788341</v>
      </c>
      <c r="E786">
        <f t="shared" si="111"/>
        <v>11.880212872602069</v>
      </c>
      <c r="F786">
        <f t="shared" si="114"/>
        <v>1</v>
      </c>
      <c r="G786">
        <f t="shared" si="115"/>
        <v>1</v>
      </c>
      <c r="H786">
        <f t="shared" si="116"/>
        <v>11.880212872602069</v>
      </c>
      <c r="K786">
        <v>0.75800000000000001</v>
      </c>
      <c r="L786">
        <f t="shared" si="112"/>
        <v>-6.1419377557883408</v>
      </c>
      <c r="M786">
        <f t="shared" si="113"/>
        <v>19.442137252964649</v>
      </c>
      <c r="N786">
        <f t="shared" si="117"/>
        <v>1</v>
      </c>
      <c r="O786">
        <f t="shared" si="118"/>
        <v>0.99882889231134031</v>
      </c>
      <c r="P786">
        <f t="shared" si="119"/>
        <v>19.430749499706128</v>
      </c>
    </row>
    <row r="787" spans="3:16" x14ac:dyDescent="0.25">
      <c r="C787">
        <v>0.75900000000000001</v>
      </c>
      <c r="D787">
        <f t="shared" si="110"/>
        <v>-8.2967451755302619</v>
      </c>
      <c r="E787">
        <f t="shared" si="111"/>
        <v>11.872779860447656</v>
      </c>
      <c r="F787">
        <f t="shared" si="114"/>
        <v>1</v>
      </c>
      <c r="G787">
        <f t="shared" si="115"/>
        <v>1</v>
      </c>
      <c r="H787">
        <f t="shared" si="116"/>
        <v>11.872779860447656</v>
      </c>
      <c r="K787">
        <v>0.75900000000000001</v>
      </c>
      <c r="L787">
        <f t="shared" si="112"/>
        <v>-6.0807451755302608</v>
      </c>
      <c r="M787">
        <f t="shared" si="113"/>
        <v>19.429907792420046</v>
      </c>
      <c r="N787">
        <f t="shared" si="117"/>
        <v>1</v>
      </c>
      <c r="O787">
        <f t="shared" si="118"/>
        <v>0.99853982233271288</v>
      </c>
      <c r="P787">
        <f t="shared" si="119"/>
        <v>19.41571705155895</v>
      </c>
    </row>
    <row r="788" spans="3:16" x14ac:dyDescent="0.25">
      <c r="C788">
        <v>0.76</v>
      </c>
      <c r="D788">
        <f t="shared" si="110"/>
        <v>-8.2595525952721829</v>
      </c>
      <c r="E788">
        <f t="shared" si="111"/>
        <v>11.865346848293242</v>
      </c>
      <c r="F788">
        <f t="shared" si="114"/>
        <v>1</v>
      </c>
      <c r="G788">
        <f t="shared" si="115"/>
        <v>1</v>
      </c>
      <c r="H788">
        <f t="shared" si="116"/>
        <v>11.865346848293242</v>
      </c>
      <c r="K788">
        <v>0.76</v>
      </c>
      <c r="L788">
        <f t="shared" si="112"/>
        <v>-6.0195525952721809</v>
      </c>
      <c r="M788">
        <f t="shared" si="113"/>
        <v>19.41767833187544</v>
      </c>
      <c r="N788">
        <f t="shared" si="117"/>
        <v>1</v>
      </c>
      <c r="O788">
        <f t="shared" si="118"/>
        <v>0.99821889905833139</v>
      </c>
      <c r="P788">
        <f t="shared" si="119"/>
        <v>19.400378202542161</v>
      </c>
    </row>
    <row r="789" spans="3:16" x14ac:dyDescent="0.25">
      <c r="C789">
        <v>0.76100000000000001</v>
      </c>
      <c r="D789">
        <f t="shared" si="110"/>
        <v>-8.2223600150141039</v>
      </c>
      <c r="E789">
        <f t="shared" si="111"/>
        <v>11.857913836138831</v>
      </c>
      <c r="F789">
        <f t="shared" si="114"/>
        <v>1</v>
      </c>
      <c r="G789">
        <f t="shared" si="115"/>
        <v>1</v>
      </c>
      <c r="H789">
        <f t="shared" si="116"/>
        <v>11.857913836138831</v>
      </c>
      <c r="K789">
        <v>0.76100000000000001</v>
      </c>
      <c r="L789">
        <f t="shared" si="112"/>
        <v>-5.958360015014101</v>
      </c>
      <c r="M789">
        <f t="shared" si="113"/>
        <v>19.405448871330837</v>
      </c>
      <c r="N789">
        <f t="shared" si="117"/>
        <v>1</v>
      </c>
      <c r="O789">
        <f t="shared" si="118"/>
        <v>0.99786612248819595</v>
      </c>
      <c r="P789">
        <f t="shared" si="119"/>
        <v>19.384733388877091</v>
      </c>
    </row>
    <row r="790" spans="3:16" x14ac:dyDescent="0.25">
      <c r="C790">
        <v>0.76200000000000001</v>
      </c>
      <c r="D790">
        <f t="shared" si="110"/>
        <v>-8.1851674347560248</v>
      </c>
      <c r="E790">
        <f t="shared" si="111"/>
        <v>11.850480823984418</v>
      </c>
      <c r="F790">
        <f t="shared" si="114"/>
        <v>1</v>
      </c>
      <c r="G790">
        <f t="shared" si="115"/>
        <v>1</v>
      </c>
      <c r="H790">
        <f t="shared" si="116"/>
        <v>11.850480823984418</v>
      </c>
      <c r="K790">
        <v>0.76200000000000001</v>
      </c>
      <c r="L790">
        <f t="shared" si="112"/>
        <v>-5.8971674347560281</v>
      </c>
      <c r="M790">
        <f t="shared" si="113"/>
        <v>19.393219410786237</v>
      </c>
      <c r="N790">
        <f t="shared" si="117"/>
        <v>1</v>
      </c>
      <c r="O790">
        <f t="shared" si="118"/>
        <v>0.99748149262230645</v>
      </c>
      <c r="P790">
        <f t="shared" si="119"/>
        <v>19.368783032205123</v>
      </c>
    </row>
    <row r="791" spans="3:16" x14ac:dyDescent="0.25">
      <c r="C791">
        <v>0.76300000000000001</v>
      </c>
      <c r="D791">
        <f t="shared" si="110"/>
        <v>-8.1479748544979458</v>
      </c>
      <c r="E791">
        <f t="shared" si="111"/>
        <v>11.843047811830004</v>
      </c>
      <c r="F791">
        <f t="shared" si="114"/>
        <v>1</v>
      </c>
      <c r="G791">
        <f t="shared" si="115"/>
        <v>1</v>
      </c>
      <c r="H791">
        <f t="shared" si="116"/>
        <v>11.843047811830004</v>
      </c>
      <c r="K791">
        <v>0.76300000000000001</v>
      </c>
      <c r="L791">
        <f t="shared" si="112"/>
        <v>-5.8359748544979482</v>
      </c>
      <c r="M791">
        <f t="shared" si="113"/>
        <v>19.380989950241631</v>
      </c>
      <c r="N791">
        <f t="shared" si="117"/>
        <v>1</v>
      </c>
      <c r="O791">
        <f t="shared" si="118"/>
        <v>0.9970650094606629</v>
      </c>
      <c r="P791">
        <f t="shared" si="119"/>
        <v>19.352527539595386</v>
      </c>
    </row>
    <row r="792" spans="3:16" x14ac:dyDescent="0.25">
      <c r="C792">
        <v>0.76400000000000001</v>
      </c>
      <c r="D792">
        <f t="shared" si="110"/>
        <v>-8.1107822742398668</v>
      </c>
      <c r="E792">
        <f t="shared" si="111"/>
        <v>11.835614799675593</v>
      </c>
      <c r="F792">
        <f t="shared" si="114"/>
        <v>1</v>
      </c>
      <c r="G792">
        <f t="shared" si="115"/>
        <v>1</v>
      </c>
      <c r="H792">
        <f t="shared" si="116"/>
        <v>11.835614799675593</v>
      </c>
      <c r="K792">
        <v>0.76400000000000001</v>
      </c>
      <c r="L792">
        <f t="shared" si="112"/>
        <v>-5.7747822742398682</v>
      </c>
      <c r="M792">
        <f t="shared" si="113"/>
        <v>19.368760489697028</v>
      </c>
      <c r="N792">
        <f t="shared" si="117"/>
        <v>1</v>
      </c>
      <c r="O792">
        <f t="shared" si="118"/>
        <v>0.99661667300326529</v>
      </c>
      <c r="P792">
        <f t="shared" si="119"/>
        <v>19.335967303548941</v>
      </c>
    </row>
    <row r="793" spans="3:16" x14ac:dyDescent="0.25">
      <c r="C793">
        <v>0.76500000000000001</v>
      </c>
      <c r="D793">
        <f t="shared" si="110"/>
        <v>-8.0735896939817877</v>
      </c>
      <c r="E793">
        <f t="shared" si="111"/>
        <v>11.82818178752118</v>
      </c>
      <c r="F793">
        <f t="shared" si="114"/>
        <v>1</v>
      </c>
      <c r="G793">
        <f t="shared" si="115"/>
        <v>1</v>
      </c>
      <c r="H793">
        <f t="shared" si="116"/>
        <v>11.82818178752118</v>
      </c>
      <c r="K793">
        <v>0.76500000000000001</v>
      </c>
      <c r="L793">
        <f t="shared" si="112"/>
        <v>-5.7135896939817883</v>
      </c>
      <c r="M793">
        <f t="shared" si="113"/>
        <v>19.356531029152425</v>
      </c>
      <c r="N793">
        <f t="shared" si="117"/>
        <v>1</v>
      </c>
      <c r="O793">
        <f t="shared" si="118"/>
        <v>0.99613648325011361</v>
      </c>
      <c r="P793">
        <f t="shared" si="119"/>
        <v>19.319102701999444</v>
      </c>
    </row>
    <row r="794" spans="3:16" x14ac:dyDescent="0.25">
      <c r="C794">
        <v>0.76600000000000001</v>
      </c>
      <c r="D794">
        <f t="shared" si="110"/>
        <v>-8.0363971137237122</v>
      </c>
      <c r="E794">
        <f t="shared" si="111"/>
        <v>11.820748775366768</v>
      </c>
      <c r="F794">
        <f t="shared" si="114"/>
        <v>1</v>
      </c>
      <c r="G794">
        <f t="shared" si="115"/>
        <v>1</v>
      </c>
      <c r="H794">
        <f t="shared" si="116"/>
        <v>11.820748775366768</v>
      </c>
      <c r="K794">
        <v>0.76600000000000001</v>
      </c>
      <c r="L794">
        <f t="shared" si="112"/>
        <v>-5.6523971137237083</v>
      </c>
      <c r="M794">
        <f t="shared" si="113"/>
        <v>19.344301568607818</v>
      </c>
      <c r="N794">
        <f t="shared" si="117"/>
        <v>1</v>
      </c>
      <c r="O794">
        <f t="shared" si="118"/>
        <v>0.99562444020120799</v>
      </c>
      <c r="P794">
        <f t="shared" si="119"/>
        <v>19.30193409831028</v>
      </c>
    </row>
    <row r="795" spans="3:16" x14ac:dyDescent="0.25">
      <c r="C795">
        <v>0.76700000000000002</v>
      </c>
      <c r="D795">
        <f t="shared" si="110"/>
        <v>-7.9992045334656332</v>
      </c>
      <c r="E795">
        <f t="shared" si="111"/>
        <v>11.813315763212355</v>
      </c>
      <c r="F795">
        <f t="shared" si="114"/>
        <v>1</v>
      </c>
      <c r="G795">
        <f t="shared" si="115"/>
        <v>1</v>
      </c>
      <c r="H795">
        <f t="shared" si="116"/>
        <v>11.813315763212355</v>
      </c>
      <c r="K795">
        <v>0.76700000000000002</v>
      </c>
      <c r="L795">
        <f t="shared" si="112"/>
        <v>-5.5912045334656355</v>
      </c>
      <c r="M795">
        <f t="shared" si="113"/>
        <v>19.332072108063219</v>
      </c>
      <c r="N795">
        <f t="shared" si="117"/>
        <v>1</v>
      </c>
      <c r="O795">
        <f t="shared" si="118"/>
        <v>0.99508054385654832</v>
      </c>
      <c r="P795">
        <f t="shared" si="119"/>
        <v>19.28446184126819</v>
      </c>
    </row>
    <row r="796" spans="3:16" x14ac:dyDescent="0.25">
      <c r="C796">
        <v>0.76800000000000002</v>
      </c>
      <c r="D796">
        <f t="shared" ref="D796:D859" si="120">-$J$23+($J$15+$J$23)*C796</f>
        <v>-7.9620119532075542</v>
      </c>
      <c r="E796">
        <f t="shared" ref="E796:E859" si="121">$J$12-$J$11*D796</f>
        <v>11.805882751057943</v>
      </c>
      <c r="F796">
        <f t="shared" si="114"/>
        <v>1</v>
      </c>
      <c r="G796">
        <f t="shared" si="115"/>
        <v>1</v>
      </c>
      <c r="H796">
        <f t="shared" si="116"/>
        <v>11.805882751057943</v>
      </c>
      <c r="K796">
        <v>0.76800000000000002</v>
      </c>
      <c r="L796">
        <f t="shared" ref="L796:L859" si="122">-$M$23+($M$15+$M$23)*K796</f>
        <v>-5.5300119532075556</v>
      </c>
      <c r="M796">
        <f t="shared" ref="M796:M859" si="123">$J$12-$J$11*L796+$E$18</f>
        <v>19.319842647518612</v>
      </c>
      <c r="N796">
        <f t="shared" si="117"/>
        <v>1</v>
      </c>
      <c r="O796">
        <f t="shared" si="118"/>
        <v>0.99450479421613458</v>
      </c>
      <c r="P796">
        <f t="shared" si="119"/>
        <v>19.266686265073282</v>
      </c>
    </row>
    <row r="797" spans="3:16" x14ac:dyDescent="0.25">
      <c r="C797">
        <v>0.76900000000000002</v>
      </c>
      <c r="D797">
        <f t="shared" si="120"/>
        <v>-7.9248193729494751</v>
      </c>
      <c r="E797">
        <f t="shared" si="121"/>
        <v>11.79844973890353</v>
      </c>
      <c r="F797">
        <f t="shared" ref="F797:F860" si="124">IF(D797&lt;$J$20,MAX(1-(D797-$J$20)^2/$J$22^2,0),1)</f>
        <v>1</v>
      </c>
      <c r="G797">
        <f t="shared" ref="G797:G860" si="125">IF(D797&gt;$J$17,MAX(1-(D797-$J$17)^2/($J$15-$J$17)^2,0),1)</f>
        <v>1</v>
      </c>
      <c r="H797">
        <f t="shared" ref="H797:H860" si="126">SQRT(E797^2*F797*G797)</f>
        <v>11.79844973890353</v>
      </c>
      <c r="K797">
        <v>0.76900000000000002</v>
      </c>
      <c r="L797">
        <f t="shared" si="122"/>
        <v>-5.4688193729494756</v>
      </c>
      <c r="M797">
        <f t="shared" si="123"/>
        <v>19.30761318697401</v>
      </c>
      <c r="N797">
        <f t="shared" ref="N797:N860" si="127">IF(L797&lt;$J$20,MAX(1-(L797-$J$20)^2/$M$22^2,0),1)</f>
        <v>1</v>
      </c>
      <c r="O797">
        <f t="shared" ref="O797:O860" si="128">IF(L797&gt;$J$17,MAX(1-(L797-$J$17)^2/($M$15-$J$17)^2,0),1)</f>
        <v>0.99389719127996679</v>
      </c>
      <c r="P797">
        <f t="shared" ref="P797:P860" si="129">SQRT(M797^2*N797*O797)</f>
        <v>19.248607689325588</v>
      </c>
    </row>
    <row r="798" spans="3:16" x14ac:dyDescent="0.25">
      <c r="C798">
        <v>0.77</v>
      </c>
      <c r="D798">
        <f t="shared" si="120"/>
        <v>-7.8876267926913961</v>
      </c>
      <c r="E798">
        <f t="shared" si="121"/>
        <v>11.791016726749117</v>
      </c>
      <c r="F798">
        <f t="shared" si="124"/>
        <v>1</v>
      </c>
      <c r="G798">
        <f t="shared" si="125"/>
        <v>1</v>
      </c>
      <c r="H798">
        <f t="shared" si="126"/>
        <v>11.791016726749117</v>
      </c>
      <c r="K798">
        <v>0.77</v>
      </c>
      <c r="L798">
        <f t="shared" si="122"/>
        <v>-5.4076267926913957</v>
      </c>
      <c r="M798">
        <f t="shared" si="123"/>
        <v>19.295383726429407</v>
      </c>
      <c r="N798">
        <f t="shared" si="127"/>
        <v>1</v>
      </c>
      <c r="O798">
        <f t="shared" si="128"/>
        <v>0.99325773504804493</v>
      </c>
      <c r="P798">
        <f t="shared" si="129"/>
        <v>19.230226419007924</v>
      </c>
    </row>
    <row r="799" spans="3:16" x14ac:dyDescent="0.25">
      <c r="C799">
        <v>0.77100000000000002</v>
      </c>
      <c r="D799">
        <f t="shared" si="120"/>
        <v>-7.8504342124333171</v>
      </c>
      <c r="E799">
        <f t="shared" si="121"/>
        <v>11.783583714594705</v>
      </c>
      <c r="F799">
        <f t="shared" si="124"/>
        <v>1</v>
      </c>
      <c r="G799">
        <f t="shared" si="125"/>
        <v>1</v>
      </c>
      <c r="H799">
        <f t="shared" si="126"/>
        <v>11.783583714594705</v>
      </c>
      <c r="K799">
        <v>0.77100000000000002</v>
      </c>
      <c r="L799">
        <f t="shared" si="122"/>
        <v>-5.3464342124333157</v>
      </c>
      <c r="M799">
        <f t="shared" si="123"/>
        <v>19.283154265884804</v>
      </c>
      <c r="N799">
        <f t="shared" si="127"/>
        <v>1</v>
      </c>
      <c r="O799">
        <f t="shared" si="128"/>
        <v>0.99258642552036902</v>
      </c>
      <c r="P799">
        <f t="shared" si="129"/>
        <v>19.211542744465198</v>
      </c>
    </row>
    <row r="800" spans="3:16" x14ac:dyDescent="0.25">
      <c r="C800">
        <v>0.77200000000000002</v>
      </c>
      <c r="D800">
        <f t="shared" si="120"/>
        <v>-7.813241632175238</v>
      </c>
      <c r="E800">
        <f t="shared" si="121"/>
        <v>11.776150702440292</v>
      </c>
      <c r="F800">
        <f t="shared" si="124"/>
        <v>1</v>
      </c>
      <c r="G800">
        <f t="shared" si="125"/>
        <v>1</v>
      </c>
      <c r="H800">
        <f t="shared" si="126"/>
        <v>11.776150702440292</v>
      </c>
      <c r="K800">
        <v>0.77200000000000002</v>
      </c>
      <c r="L800">
        <f t="shared" si="122"/>
        <v>-5.2852416321752358</v>
      </c>
      <c r="M800">
        <f t="shared" si="123"/>
        <v>19.270924805340201</v>
      </c>
      <c r="N800">
        <f t="shared" si="127"/>
        <v>1</v>
      </c>
      <c r="O800">
        <f t="shared" si="128"/>
        <v>0.99188326269693905</v>
      </c>
      <c r="P800">
        <f t="shared" si="129"/>
        <v>19.192556941380097</v>
      </c>
    </row>
    <row r="801" spans="3:16" x14ac:dyDescent="0.25">
      <c r="C801">
        <v>0.77300000000000002</v>
      </c>
      <c r="D801">
        <f t="shared" si="120"/>
        <v>-7.7760490519171626</v>
      </c>
      <c r="E801">
        <f t="shared" si="121"/>
        <v>11.768717690285881</v>
      </c>
      <c r="F801">
        <f t="shared" si="124"/>
        <v>1</v>
      </c>
      <c r="G801">
        <f t="shared" si="125"/>
        <v>1</v>
      </c>
      <c r="H801">
        <f t="shared" si="126"/>
        <v>11.768717690285881</v>
      </c>
      <c r="K801">
        <v>0.77300000000000002</v>
      </c>
      <c r="L801">
        <f t="shared" si="122"/>
        <v>-5.224049051917163</v>
      </c>
      <c r="M801">
        <f t="shared" si="123"/>
        <v>19.258695344795598</v>
      </c>
      <c r="N801">
        <f t="shared" si="127"/>
        <v>1</v>
      </c>
      <c r="O801">
        <f t="shared" si="128"/>
        <v>0.99114824657775524</v>
      </c>
      <c r="P801">
        <f t="shared" si="129"/>
        <v>19.173269270745109</v>
      </c>
    </row>
    <row r="802" spans="3:16" x14ac:dyDescent="0.25">
      <c r="C802">
        <v>0.77400000000000002</v>
      </c>
      <c r="D802">
        <f t="shared" si="120"/>
        <v>-7.7388564716590835</v>
      </c>
      <c r="E802">
        <f t="shared" si="121"/>
        <v>11.761284678131467</v>
      </c>
      <c r="F802">
        <f t="shared" si="124"/>
        <v>1</v>
      </c>
      <c r="G802">
        <f t="shared" si="125"/>
        <v>1</v>
      </c>
      <c r="H802">
        <f t="shared" si="126"/>
        <v>11.761284678131467</v>
      </c>
      <c r="K802">
        <v>0.77400000000000002</v>
      </c>
      <c r="L802">
        <f t="shared" si="122"/>
        <v>-5.162856471659083</v>
      </c>
      <c r="M802">
        <f t="shared" si="123"/>
        <v>19.246465884250995</v>
      </c>
      <c r="N802">
        <f t="shared" si="127"/>
        <v>1</v>
      </c>
      <c r="O802">
        <f t="shared" si="128"/>
        <v>0.99038137716281727</v>
      </c>
      <c r="P802">
        <f t="shared" si="129"/>
        <v>19.153679978830855</v>
      </c>
    </row>
    <row r="803" spans="3:16" x14ac:dyDescent="0.25">
      <c r="C803">
        <v>0.77500000000000002</v>
      </c>
      <c r="D803">
        <f t="shared" si="120"/>
        <v>-7.7016638914010045</v>
      </c>
      <c r="E803">
        <f t="shared" si="121"/>
        <v>11.753851665977056</v>
      </c>
      <c r="F803">
        <f t="shared" si="124"/>
        <v>1</v>
      </c>
      <c r="G803">
        <f t="shared" si="125"/>
        <v>1</v>
      </c>
      <c r="H803">
        <f t="shared" si="126"/>
        <v>11.753851665977056</v>
      </c>
      <c r="K803">
        <v>0.77500000000000002</v>
      </c>
      <c r="L803">
        <f t="shared" si="122"/>
        <v>-5.1016638914010031</v>
      </c>
      <c r="M803">
        <f t="shared" si="123"/>
        <v>19.234236423706392</v>
      </c>
      <c r="N803">
        <f t="shared" si="127"/>
        <v>1</v>
      </c>
      <c r="O803">
        <f t="shared" si="128"/>
        <v>0.98958265445212523</v>
      </c>
      <c r="P803">
        <f t="shared" si="129"/>
        <v>19.133789297150745</v>
      </c>
    </row>
    <row r="804" spans="3:16" x14ac:dyDescent="0.25">
      <c r="C804">
        <v>0.77600000000000002</v>
      </c>
      <c r="D804">
        <f t="shared" si="120"/>
        <v>-7.6644713111429255</v>
      </c>
      <c r="E804">
        <f t="shared" si="121"/>
        <v>11.746418653822642</v>
      </c>
      <c r="F804">
        <f t="shared" si="124"/>
        <v>1</v>
      </c>
      <c r="G804">
        <f t="shared" si="125"/>
        <v>1</v>
      </c>
      <c r="H804">
        <f t="shared" si="126"/>
        <v>11.746418653822642</v>
      </c>
      <c r="K804">
        <v>0.77600000000000002</v>
      </c>
      <c r="L804">
        <f t="shared" si="122"/>
        <v>-5.0404713111429231</v>
      </c>
      <c r="M804">
        <f t="shared" si="123"/>
        <v>19.222006963161789</v>
      </c>
      <c r="N804">
        <f t="shared" si="127"/>
        <v>1</v>
      </c>
      <c r="O804">
        <f t="shared" si="128"/>
        <v>0.98875207844567914</v>
      </c>
      <c r="P804">
        <f t="shared" si="129"/>
        <v>19.11359744242186</v>
      </c>
    </row>
    <row r="805" spans="3:16" x14ac:dyDescent="0.25">
      <c r="C805">
        <v>0.77700000000000002</v>
      </c>
      <c r="D805">
        <f t="shared" si="120"/>
        <v>-7.6272787308848464</v>
      </c>
      <c r="E805">
        <f t="shared" si="121"/>
        <v>11.738985641668229</v>
      </c>
      <c r="F805">
        <f t="shared" si="124"/>
        <v>1</v>
      </c>
      <c r="G805">
        <f t="shared" si="125"/>
        <v>1</v>
      </c>
      <c r="H805">
        <f t="shared" si="126"/>
        <v>11.738985641668229</v>
      </c>
      <c r="K805">
        <v>0.77700000000000002</v>
      </c>
      <c r="L805">
        <f t="shared" si="122"/>
        <v>-4.9792787308848432</v>
      </c>
      <c r="M805">
        <f t="shared" si="123"/>
        <v>19.209777502617186</v>
      </c>
      <c r="N805">
        <f t="shared" si="127"/>
        <v>1</v>
      </c>
      <c r="O805">
        <f t="shared" si="128"/>
        <v>0.98788964914347899</v>
      </c>
      <c r="P805">
        <f t="shared" si="129"/>
        <v>19.093104616522087</v>
      </c>
    </row>
    <row r="806" spans="3:16" x14ac:dyDescent="0.25">
      <c r="C806">
        <v>0.77800000000000002</v>
      </c>
      <c r="D806">
        <f t="shared" si="120"/>
        <v>-7.5900861506267674</v>
      </c>
      <c r="E806">
        <f t="shared" si="121"/>
        <v>11.731552629513818</v>
      </c>
      <c r="F806">
        <f t="shared" si="124"/>
        <v>1</v>
      </c>
      <c r="G806">
        <f t="shared" si="125"/>
        <v>1</v>
      </c>
      <c r="H806">
        <f t="shared" si="126"/>
        <v>11.731552629513818</v>
      </c>
      <c r="K806">
        <v>0.77800000000000002</v>
      </c>
      <c r="L806">
        <f t="shared" si="122"/>
        <v>-4.9180861506267703</v>
      </c>
      <c r="M806">
        <f t="shared" si="123"/>
        <v>19.197548042072583</v>
      </c>
      <c r="N806">
        <f t="shared" si="127"/>
        <v>1</v>
      </c>
      <c r="O806">
        <f t="shared" si="128"/>
        <v>0.986995366545525</v>
      </c>
      <c r="P806">
        <f t="shared" si="129"/>
        <v>19.072311006443432</v>
      </c>
    </row>
    <row r="807" spans="3:16" x14ac:dyDescent="0.25">
      <c r="C807">
        <v>0.77900000000000003</v>
      </c>
      <c r="D807">
        <f t="shared" si="120"/>
        <v>-7.5528935703686884</v>
      </c>
      <c r="E807">
        <f t="shared" si="121"/>
        <v>11.724119617359404</v>
      </c>
      <c r="F807">
        <f t="shared" si="124"/>
        <v>1</v>
      </c>
      <c r="G807">
        <f t="shared" si="125"/>
        <v>1</v>
      </c>
      <c r="H807">
        <f t="shared" si="126"/>
        <v>11.724119617359404</v>
      </c>
      <c r="K807">
        <v>0.77900000000000003</v>
      </c>
      <c r="L807">
        <f t="shared" si="122"/>
        <v>-4.8568935703686904</v>
      </c>
      <c r="M807">
        <f t="shared" si="123"/>
        <v>19.18531858152798</v>
      </c>
      <c r="N807">
        <f t="shared" si="127"/>
        <v>1</v>
      </c>
      <c r="O807">
        <f t="shared" si="128"/>
        <v>0.98606923065181673</v>
      </c>
      <c r="P807">
        <f t="shared" si="129"/>
        <v>19.051216784241486</v>
      </c>
    </row>
    <row r="808" spans="3:16" x14ac:dyDescent="0.25">
      <c r="C808">
        <v>0.78</v>
      </c>
      <c r="D808">
        <f t="shared" si="120"/>
        <v>-7.5157009901106093</v>
      </c>
      <c r="E808">
        <f t="shared" si="121"/>
        <v>11.716686605204991</v>
      </c>
      <c r="F808">
        <f t="shared" si="124"/>
        <v>1</v>
      </c>
      <c r="G808">
        <f t="shared" si="125"/>
        <v>1</v>
      </c>
      <c r="H808">
        <f t="shared" si="126"/>
        <v>11.716686605204991</v>
      </c>
      <c r="K808">
        <v>0.78</v>
      </c>
      <c r="L808">
        <f t="shared" si="122"/>
        <v>-4.7957009901106105</v>
      </c>
      <c r="M808">
        <f t="shared" si="123"/>
        <v>19.173089120983377</v>
      </c>
      <c r="N808">
        <f t="shared" si="127"/>
        <v>1</v>
      </c>
      <c r="O808">
        <f t="shared" si="128"/>
        <v>0.98511124146235451</v>
      </c>
      <c r="P808">
        <f t="shared" si="129"/>
        <v>19.02982210698103</v>
      </c>
    </row>
    <row r="809" spans="3:16" x14ac:dyDescent="0.25">
      <c r="C809">
        <v>0.78100000000000003</v>
      </c>
      <c r="D809">
        <f t="shared" si="120"/>
        <v>-7.4785084098525338</v>
      </c>
      <c r="E809">
        <f t="shared" si="121"/>
        <v>11.70925359305058</v>
      </c>
      <c r="F809">
        <f t="shared" si="124"/>
        <v>1</v>
      </c>
      <c r="G809">
        <f t="shared" si="125"/>
        <v>1</v>
      </c>
      <c r="H809">
        <f t="shared" si="126"/>
        <v>11.70925359305058</v>
      </c>
      <c r="K809">
        <v>0.78100000000000003</v>
      </c>
      <c r="L809">
        <f t="shared" si="122"/>
        <v>-4.7345084098525305</v>
      </c>
      <c r="M809">
        <f t="shared" si="123"/>
        <v>19.160859660438774</v>
      </c>
      <c r="N809">
        <f t="shared" si="127"/>
        <v>1</v>
      </c>
      <c r="O809">
        <f t="shared" si="128"/>
        <v>0.98412139897713824</v>
      </c>
      <c r="P809">
        <f t="shared" si="129"/>
        <v>19.008127116677667</v>
      </c>
    </row>
    <row r="810" spans="3:16" x14ac:dyDescent="0.25">
      <c r="C810">
        <v>0.78200000000000003</v>
      </c>
      <c r="D810">
        <f t="shared" si="120"/>
        <v>-7.4413158295944548</v>
      </c>
      <c r="E810">
        <f t="shared" si="121"/>
        <v>11.701820580896168</v>
      </c>
      <c r="F810">
        <f t="shared" si="124"/>
        <v>1</v>
      </c>
      <c r="G810">
        <f t="shared" si="125"/>
        <v>1</v>
      </c>
      <c r="H810">
        <f t="shared" si="126"/>
        <v>11.701820580896168</v>
      </c>
      <c r="K810">
        <v>0.78200000000000003</v>
      </c>
      <c r="L810">
        <f t="shared" si="122"/>
        <v>-4.6733158295944506</v>
      </c>
      <c r="M810">
        <f t="shared" si="123"/>
        <v>19.148630199894168</v>
      </c>
      <c r="N810">
        <f t="shared" si="127"/>
        <v>1</v>
      </c>
      <c r="O810">
        <f t="shared" si="128"/>
        <v>0.98309970319616802</v>
      </c>
      <c r="P810">
        <f t="shared" si="129"/>
        <v>18.986131940235499</v>
      </c>
    </row>
    <row r="811" spans="3:16" x14ac:dyDescent="0.25">
      <c r="C811">
        <v>0.78300000000000003</v>
      </c>
      <c r="D811">
        <f t="shared" si="120"/>
        <v>-7.4041232493363758</v>
      </c>
      <c r="E811">
        <f t="shared" si="121"/>
        <v>11.694387568741755</v>
      </c>
      <c r="F811">
        <f t="shared" si="124"/>
        <v>1</v>
      </c>
      <c r="G811">
        <f t="shared" si="125"/>
        <v>1</v>
      </c>
      <c r="H811">
        <f t="shared" si="126"/>
        <v>11.694387568741755</v>
      </c>
      <c r="K811">
        <v>0.78300000000000003</v>
      </c>
      <c r="L811">
        <f t="shared" si="122"/>
        <v>-4.6121232493363777</v>
      </c>
      <c r="M811">
        <f t="shared" si="123"/>
        <v>19.136400739349568</v>
      </c>
      <c r="N811">
        <f t="shared" si="127"/>
        <v>1</v>
      </c>
      <c r="O811">
        <f t="shared" si="128"/>
        <v>0.98204615411944374</v>
      </c>
      <c r="P811">
        <f t="shared" si="129"/>
        <v>18.963836689380809</v>
      </c>
    </row>
    <row r="812" spans="3:16" x14ac:dyDescent="0.25">
      <c r="C812">
        <v>0.78400000000000003</v>
      </c>
      <c r="D812">
        <f t="shared" si="120"/>
        <v>-7.3669306690782967</v>
      </c>
      <c r="E812">
        <f t="shared" si="121"/>
        <v>11.686954556587342</v>
      </c>
      <c r="F812">
        <f t="shared" si="124"/>
        <v>1</v>
      </c>
      <c r="G812">
        <f t="shared" si="125"/>
        <v>1</v>
      </c>
      <c r="H812">
        <f t="shared" si="126"/>
        <v>11.686954556587342</v>
      </c>
      <c r="K812">
        <v>0.78400000000000003</v>
      </c>
      <c r="L812">
        <f t="shared" si="122"/>
        <v>-4.5509306690782978</v>
      </c>
      <c r="M812">
        <f t="shared" si="123"/>
        <v>19.124171278804962</v>
      </c>
      <c r="N812">
        <f t="shared" si="127"/>
        <v>1</v>
      </c>
      <c r="O812">
        <f t="shared" si="128"/>
        <v>0.9809607517469654</v>
      </c>
      <c r="P812">
        <f t="shared" si="129"/>
        <v>18.941241460591598</v>
      </c>
    </row>
    <row r="813" spans="3:16" x14ac:dyDescent="0.25">
      <c r="C813">
        <v>0.78500000000000003</v>
      </c>
      <c r="D813">
        <f t="shared" si="120"/>
        <v>-7.3297380888202177</v>
      </c>
      <c r="E813">
        <f t="shared" si="121"/>
        <v>11.67952154443293</v>
      </c>
      <c r="F813">
        <f t="shared" si="124"/>
        <v>1</v>
      </c>
      <c r="G813">
        <f t="shared" si="125"/>
        <v>1</v>
      </c>
      <c r="H813">
        <f t="shared" si="126"/>
        <v>11.67952154443293</v>
      </c>
      <c r="K813">
        <v>0.78500000000000003</v>
      </c>
      <c r="L813">
        <f t="shared" si="122"/>
        <v>-4.4897380888202179</v>
      </c>
      <c r="M813">
        <f t="shared" si="123"/>
        <v>19.111941818260359</v>
      </c>
      <c r="N813">
        <f t="shared" si="127"/>
        <v>1</v>
      </c>
      <c r="O813">
        <f t="shared" si="128"/>
        <v>0.979843496078733</v>
      </c>
      <c r="P813">
        <f t="shared" si="129"/>
        <v>18.91834633502307</v>
      </c>
    </row>
    <row r="814" spans="3:16" x14ac:dyDescent="0.25">
      <c r="C814">
        <v>0.78600000000000003</v>
      </c>
      <c r="D814">
        <f t="shared" si="120"/>
        <v>-7.2925455085621387</v>
      </c>
      <c r="E814">
        <f t="shared" si="121"/>
        <v>11.672088532278517</v>
      </c>
      <c r="F814">
        <f t="shared" si="124"/>
        <v>1</v>
      </c>
      <c r="G814">
        <f t="shared" si="125"/>
        <v>1</v>
      </c>
      <c r="H814">
        <f t="shared" si="126"/>
        <v>11.672088532278517</v>
      </c>
      <c r="K814">
        <v>0.78600000000000003</v>
      </c>
      <c r="L814">
        <f t="shared" si="122"/>
        <v>-4.4285455085621379</v>
      </c>
      <c r="M814">
        <f t="shared" si="123"/>
        <v>19.099712357715756</v>
      </c>
      <c r="N814">
        <f t="shared" si="127"/>
        <v>1</v>
      </c>
      <c r="O814">
        <f t="shared" si="128"/>
        <v>0.97869438711474643</v>
      </c>
      <c r="P814">
        <f t="shared" si="129"/>
        <v>18.895151378428881</v>
      </c>
    </row>
    <row r="815" spans="3:16" x14ac:dyDescent="0.25">
      <c r="C815">
        <v>0.78700000000000003</v>
      </c>
      <c r="D815">
        <f t="shared" si="120"/>
        <v>-7.2553529283040596</v>
      </c>
      <c r="E815">
        <f t="shared" si="121"/>
        <v>11.664655520124104</v>
      </c>
      <c r="F815">
        <f t="shared" si="124"/>
        <v>1</v>
      </c>
      <c r="G815">
        <f t="shared" si="125"/>
        <v>1</v>
      </c>
      <c r="H815">
        <f t="shared" si="126"/>
        <v>11.664655520124104</v>
      </c>
      <c r="K815">
        <v>0.78700000000000003</v>
      </c>
      <c r="L815">
        <f t="shared" si="122"/>
        <v>-4.367352928304058</v>
      </c>
      <c r="M815">
        <f t="shared" si="123"/>
        <v>19.087482897171149</v>
      </c>
      <c r="N815">
        <f t="shared" si="127"/>
        <v>1</v>
      </c>
      <c r="O815">
        <f t="shared" si="128"/>
        <v>0.97751342485500603</v>
      </c>
      <c r="P815">
        <f t="shared" si="129"/>
        <v>18.871656641078165</v>
      </c>
    </row>
    <row r="816" spans="3:16" x14ac:dyDescent="0.25">
      <c r="C816">
        <v>0.78800000000000003</v>
      </c>
      <c r="D816">
        <f t="shared" si="120"/>
        <v>-7.2181603480459842</v>
      </c>
      <c r="E816">
        <f t="shared" si="121"/>
        <v>11.657222507969692</v>
      </c>
      <c r="F816">
        <f t="shared" si="124"/>
        <v>1</v>
      </c>
      <c r="G816">
        <f t="shared" si="125"/>
        <v>1</v>
      </c>
      <c r="H816">
        <f t="shared" si="126"/>
        <v>11.657222507969692</v>
      </c>
      <c r="K816">
        <v>0.78800000000000003</v>
      </c>
      <c r="L816">
        <f t="shared" si="122"/>
        <v>-4.3061603480459851</v>
      </c>
      <c r="M816">
        <f t="shared" si="123"/>
        <v>19.07525343662655</v>
      </c>
      <c r="N816">
        <f t="shared" si="127"/>
        <v>1</v>
      </c>
      <c r="O816">
        <f t="shared" si="128"/>
        <v>0.97630060929951157</v>
      </c>
      <c r="P816">
        <f t="shared" si="129"/>
        <v>18.847862157668263</v>
      </c>
    </row>
    <row r="817" spans="3:16" x14ac:dyDescent="0.25">
      <c r="C817">
        <v>0.78900000000000003</v>
      </c>
      <c r="D817">
        <f t="shared" si="120"/>
        <v>-7.1809677677879051</v>
      </c>
      <c r="E817">
        <f t="shared" si="121"/>
        <v>11.649789495815281</v>
      </c>
      <c r="F817">
        <f t="shared" si="124"/>
        <v>1</v>
      </c>
      <c r="G817">
        <f t="shared" si="125"/>
        <v>1</v>
      </c>
      <c r="H817">
        <f t="shared" si="126"/>
        <v>11.649789495815281</v>
      </c>
      <c r="K817">
        <v>0.78900000000000003</v>
      </c>
      <c r="L817">
        <f t="shared" si="122"/>
        <v>-4.2449677677879052</v>
      </c>
      <c r="M817">
        <f t="shared" si="123"/>
        <v>19.063023976081947</v>
      </c>
      <c r="N817">
        <f t="shared" si="127"/>
        <v>1</v>
      </c>
      <c r="O817">
        <f t="shared" si="128"/>
        <v>0.97505594044826305</v>
      </c>
      <c r="P817">
        <f t="shared" si="129"/>
        <v>18.823767947233037</v>
      </c>
    </row>
    <row r="818" spans="3:16" x14ac:dyDescent="0.25">
      <c r="C818">
        <v>0.79</v>
      </c>
      <c r="D818">
        <f t="shared" si="120"/>
        <v>-7.1437751875298261</v>
      </c>
      <c r="E818">
        <f t="shared" si="121"/>
        <v>11.642356483660867</v>
      </c>
      <c r="F818">
        <f t="shared" si="124"/>
        <v>1</v>
      </c>
      <c r="G818">
        <f t="shared" si="125"/>
        <v>1</v>
      </c>
      <c r="H818">
        <f t="shared" si="126"/>
        <v>11.642356483660867</v>
      </c>
      <c r="K818">
        <v>0.79</v>
      </c>
      <c r="L818">
        <f t="shared" si="122"/>
        <v>-4.1837751875298252</v>
      </c>
      <c r="M818">
        <f t="shared" si="123"/>
        <v>19.050794515537341</v>
      </c>
      <c r="N818">
        <f t="shared" si="127"/>
        <v>1</v>
      </c>
      <c r="O818">
        <f t="shared" si="128"/>
        <v>0.97377941830126036</v>
      </c>
      <c r="P818">
        <f t="shared" si="129"/>
        <v>18.799374013046812</v>
      </c>
    </row>
    <row r="819" spans="3:16" x14ac:dyDescent="0.25">
      <c r="C819">
        <v>0.79100000000000004</v>
      </c>
      <c r="D819">
        <f t="shared" si="120"/>
        <v>-7.1065826072717471</v>
      </c>
      <c r="E819">
        <f t="shared" si="121"/>
        <v>11.634923471506454</v>
      </c>
      <c r="F819">
        <f t="shared" si="124"/>
        <v>1</v>
      </c>
      <c r="G819">
        <f t="shared" si="125"/>
        <v>1</v>
      </c>
      <c r="H819">
        <f t="shared" si="126"/>
        <v>11.634923471506454</v>
      </c>
      <c r="K819">
        <v>0.79100000000000004</v>
      </c>
      <c r="L819">
        <f t="shared" si="122"/>
        <v>-4.1225826072717453</v>
      </c>
      <c r="M819">
        <f t="shared" si="123"/>
        <v>19.038565054992738</v>
      </c>
      <c r="N819">
        <f t="shared" si="127"/>
        <v>1</v>
      </c>
      <c r="O819">
        <f t="shared" si="128"/>
        <v>0.97247104285850372</v>
      </c>
      <c r="P819">
        <f t="shared" si="129"/>
        <v>18.774680342523762</v>
      </c>
    </row>
    <row r="820" spans="3:16" x14ac:dyDescent="0.25">
      <c r="C820">
        <v>0.79200000000000004</v>
      </c>
      <c r="D820">
        <f t="shared" si="120"/>
        <v>-7.069390027013668</v>
      </c>
      <c r="E820">
        <f t="shared" si="121"/>
        <v>11.627490459352043</v>
      </c>
      <c r="F820">
        <f t="shared" si="124"/>
        <v>1</v>
      </c>
      <c r="G820">
        <f t="shared" si="125"/>
        <v>1</v>
      </c>
      <c r="H820">
        <f t="shared" si="126"/>
        <v>11.627490459352043</v>
      </c>
      <c r="K820">
        <v>0.79200000000000004</v>
      </c>
      <c r="L820">
        <f t="shared" si="122"/>
        <v>-4.0613900270136654</v>
      </c>
      <c r="M820">
        <f t="shared" si="123"/>
        <v>19.026335594448135</v>
      </c>
      <c r="N820">
        <f t="shared" si="127"/>
        <v>1</v>
      </c>
      <c r="O820">
        <f t="shared" si="128"/>
        <v>0.97113081411999302</v>
      </c>
      <c r="P820">
        <f t="shared" si="129"/>
        <v>18.749686907112725</v>
      </c>
    </row>
    <row r="821" spans="3:16" x14ac:dyDescent="0.25">
      <c r="C821">
        <v>0.79300000000000004</v>
      </c>
      <c r="D821">
        <f t="shared" si="120"/>
        <v>-7.032197446755589</v>
      </c>
      <c r="E821">
        <f t="shared" si="121"/>
        <v>11.620057447197629</v>
      </c>
      <c r="F821">
        <f t="shared" si="124"/>
        <v>1</v>
      </c>
      <c r="G821">
        <f t="shared" si="125"/>
        <v>1</v>
      </c>
      <c r="H821">
        <f t="shared" si="126"/>
        <v>11.620057447197629</v>
      </c>
      <c r="K821">
        <v>0.79300000000000004</v>
      </c>
      <c r="L821">
        <f t="shared" si="122"/>
        <v>-4.0001974467555854</v>
      </c>
      <c r="M821">
        <f t="shared" si="123"/>
        <v>19.014106133903532</v>
      </c>
      <c r="N821">
        <f t="shared" si="127"/>
        <v>1</v>
      </c>
      <c r="O821">
        <f t="shared" si="128"/>
        <v>0.96975873208572827</v>
      </c>
      <c r="P821">
        <f t="shared" si="129"/>
        <v>18.724393662187353</v>
      </c>
    </row>
    <row r="822" spans="3:16" x14ac:dyDescent="0.25">
      <c r="C822">
        <v>0.79400000000000004</v>
      </c>
      <c r="D822">
        <f t="shared" si="120"/>
        <v>-6.99500486649751</v>
      </c>
      <c r="E822">
        <f t="shared" si="121"/>
        <v>11.612624435043216</v>
      </c>
      <c r="F822">
        <f t="shared" si="124"/>
        <v>1</v>
      </c>
      <c r="G822">
        <f t="shared" si="125"/>
        <v>1</v>
      </c>
      <c r="H822">
        <f t="shared" si="126"/>
        <v>11.612624435043216</v>
      </c>
      <c r="K822">
        <v>0.79400000000000004</v>
      </c>
      <c r="L822">
        <f t="shared" si="122"/>
        <v>-3.9390048664975126</v>
      </c>
      <c r="M822">
        <f t="shared" si="123"/>
        <v>19.001876673358929</v>
      </c>
      <c r="N822">
        <f t="shared" si="127"/>
        <v>1</v>
      </c>
      <c r="O822">
        <f t="shared" si="128"/>
        <v>0.96835479675570968</v>
      </c>
      <c r="P822">
        <f t="shared" si="129"/>
        <v>18.698800546931537</v>
      </c>
    </row>
    <row r="823" spans="3:16" x14ac:dyDescent="0.25">
      <c r="C823">
        <v>0.79500000000000004</v>
      </c>
      <c r="D823">
        <f t="shared" si="120"/>
        <v>-6.9578122862394309</v>
      </c>
      <c r="E823">
        <f t="shared" si="121"/>
        <v>11.605191422888804</v>
      </c>
      <c r="F823">
        <f t="shared" si="124"/>
        <v>1</v>
      </c>
      <c r="G823">
        <f t="shared" si="125"/>
        <v>1</v>
      </c>
      <c r="H823">
        <f t="shared" si="126"/>
        <v>11.605191422888804</v>
      </c>
      <c r="K823">
        <v>0.79500000000000004</v>
      </c>
      <c r="L823">
        <f t="shared" si="122"/>
        <v>-3.8778122862394326</v>
      </c>
      <c r="M823">
        <f t="shared" si="123"/>
        <v>18.989647212814326</v>
      </c>
      <c r="N823">
        <f t="shared" si="127"/>
        <v>1</v>
      </c>
      <c r="O823">
        <f t="shared" si="128"/>
        <v>0.96691900812993692</v>
      </c>
      <c r="P823">
        <f t="shared" si="129"/>
        <v>18.672907484219969</v>
      </c>
    </row>
    <row r="824" spans="3:16" x14ac:dyDescent="0.25">
      <c r="C824">
        <v>0.79600000000000004</v>
      </c>
      <c r="D824">
        <f t="shared" si="120"/>
        <v>-6.9206197059813555</v>
      </c>
      <c r="E824">
        <f t="shared" si="121"/>
        <v>11.597758410734393</v>
      </c>
      <c r="F824">
        <f t="shared" si="124"/>
        <v>1</v>
      </c>
      <c r="G824">
        <f t="shared" si="125"/>
        <v>1</v>
      </c>
      <c r="H824">
        <f t="shared" si="126"/>
        <v>11.597758410734393</v>
      </c>
      <c r="K824">
        <v>0.79600000000000004</v>
      </c>
      <c r="L824">
        <f t="shared" si="122"/>
        <v>-3.8166197059813527</v>
      </c>
      <c r="M824">
        <f t="shared" si="123"/>
        <v>18.977417752269723</v>
      </c>
      <c r="N824">
        <f t="shared" si="127"/>
        <v>1</v>
      </c>
      <c r="O824">
        <f t="shared" si="128"/>
        <v>0.96545136620840999</v>
      </c>
      <c r="P824">
        <f t="shared" si="129"/>
        <v>18.64671438049384</v>
      </c>
    </row>
    <row r="825" spans="3:16" x14ac:dyDescent="0.25">
      <c r="C825">
        <v>0.79700000000000004</v>
      </c>
      <c r="D825">
        <f t="shared" si="120"/>
        <v>-6.8834271257232764</v>
      </c>
      <c r="E825">
        <f t="shared" si="121"/>
        <v>11.59032539857998</v>
      </c>
      <c r="F825">
        <f t="shared" si="124"/>
        <v>1</v>
      </c>
      <c r="G825">
        <f t="shared" si="125"/>
        <v>1</v>
      </c>
      <c r="H825">
        <f t="shared" si="126"/>
        <v>11.59032539857998</v>
      </c>
      <c r="K825">
        <v>0.79700000000000004</v>
      </c>
      <c r="L825">
        <f t="shared" si="122"/>
        <v>-3.7554271257232728</v>
      </c>
      <c r="M825">
        <f t="shared" si="123"/>
        <v>18.96518829172512</v>
      </c>
      <c r="N825">
        <f t="shared" si="127"/>
        <v>1</v>
      </c>
      <c r="O825">
        <f t="shared" si="128"/>
        <v>0.96395187099112911</v>
      </c>
      <c r="P825">
        <f t="shared" si="129"/>
        <v>18.620221125631492</v>
      </c>
    </row>
    <row r="826" spans="3:16" x14ac:dyDescent="0.25">
      <c r="C826">
        <v>0.79800000000000004</v>
      </c>
      <c r="D826">
        <f t="shared" si="120"/>
        <v>-6.8462345454651974</v>
      </c>
      <c r="E826">
        <f t="shared" si="121"/>
        <v>11.582892386425566</v>
      </c>
      <c r="F826">
        <f t="shared" si="124"/>
        <v>1</v>
      </c>
      <c r="G826">
        <f t="shared" si="125"/>
        <v>1</v>
      </c>
      <c r="H826">
        <f t="shared" si="126"/>
        <v>11.582892386425566</v>
      </c>
      <c r="K826">
        <v>0.79800000000000004</v>
      </c>
      <c r="L826">
        <f t="shared" si="122"/>
        <v>-3.6942345454651928</v>
      </c>
      <c r="M826">
        <f t="shared" si="123"/>
        <v>18.952958831180517</v>
      </c>
      <c r="N826">
        <f t="shared" si="127"/>
        <v>1</v>
      </c>
      <c r="O826">
        <f t="shared" si="128"/>
        <v>0.96242052247809418</v>
      </c>
      <c r="P826">
        <f t="shared" si="129"/>
        <v>18.593427592813974</v>
      </c>
    </row>
    <row r="827" spans="3:16" x14ac:dyDescent="0.25">
      <c r="C827">
        <v>0.79900000000000004</v>
      </c>
      <c r="D827">
        <f t="shared" si="120"/>
        <v>-6.8090419652071184</v>
      </c>
      <c r="E827">
        <f t="shared" si="121"/>
        <v>11.575459374271155</v>
      </c>
      <c r="F827">
        <f t="shared" si="124"/>
        <v>1</v>
      </c>
      <c r="G827">
        <f t="shared" si="125"/>
        <v>1</v>
      </c>
      <c r="H827">
        <f t="shared" si="126"/>
        <v>11.575459374271155</v>
      </c>
      <c r="K827">
        <v>0.79900000000000004</v>
      </c>
      <c r="L827">
        <f t="shared" si="122"/>
        <v>-3.63304196520712</v>
      </c>
      <c r="M827">
        <f t="shared" si="123"/>
        <v>18.940729370635914</v>
      </c>
      <c r="N827">
        <f t="shared" si="127"/>
        <v>1</v>
      </c>
      <c r="O827">
        <f t="shared" si="128"/>
        <v>0.9608573206693054</v>
      </c>
      <c r="P827">
        <f t="shared" si="129"/>
        <v>18.566333638385423</v>
      </c>
    </row>
    <row r="828" spans="3:16" x14ac:dyDescent="0.25">
      <c r="C828">
        <v>0.8</v>
      </c>
      <c r="D828">
        <f t="shared" si="120"/>
        <v>-6.7718493849490393</v>
      </c>
      <c r="E828">
        <f t="shared" si="121"/>
        <v>11.568026362116742</v>
      </c>
      <c r="F828">
        <f t="shared" si="124"/>
        <v>1</v>
      </c>
      <c r="G828">
        <f t="shared" si="125"/>
        <v>1</v>
      </c>
      <c r="H828">
        <f t="shared" si="126"/>
        <v>11.568026362116742</v>
      </c>
      <c r="K828">
        <v>0.8</v>
      </c>
      <c r="L828">
        <f t="shared" si="122"/>
        <v>-3.57184938494904</v>
      </c>
      <c r="M828">
        <f t="shared" si="123"/>
        <v>18.928499910091311</v>
      </c>
      <c r="N828">
        <f t="shared" si="127"/>
        <v>1</v>
      </c>
      <c r="O828">
        <f t="shared" si="128"/>
        <v>0.95926226556476246</v>
      </c>
      <c r="P828">
        <f t="shared" si="129"/>
        <v>18.538939101708102</v>
      </c>
    </row>
    <row r="829" spans="3:16" x14ac:dyDescent="0.25">
      <c r="C829">
        <v>0.80100000000000005</v>
      </c>
      <c r="D829">
        <f t="shared" si="120"/>
        <v>-6.7346568046909603</v>
      </c>
      <c r="E829">
        <f t="shared" si="121"/>
        <v>11.560593349962328</v>
      </c>
      <c r="F829">
        <f t="shared" si="124"/>
        <v>1</v>
      </c>
      <c r="G829">
        <f t="shared" si="125"/>
        <v>1</v>
      </c>
      <c r="H829">
        <f t="shared" si="126"/>
        <v>11.560593349962328</v>
      </c>
      <c r="K829">
        <v>0.80100000000000005</v>
      </c>
      <c r="L829">
        <f t="shared" si="122"/>
        <v>-3.5106568046909601</v>
      </c>
      <c r="M829">
        <f t="shared" si="123"/>
        <v>18.916270449546708</v>
      </c>
      <c r="N829">
        <f t="shared" si="127"/>
        <v>1</v>
      </c>
      <c r="O829">
        <f t="shared" si="128"/>
        <v>0.95763535716446535</v>
      </c>
      <c r="P829">
        <f t="shared" si="129"/>
        <v>18.511243805012054</v>
      </c>
    </row>
    <row r="830" spans="3:16" x14ac:dyDescent="0.25">
      <c r="C830">
        <v>0.80200000000000005</v>
      </c>
      <c r="D830">
        <f t="shared" si="120"/>
        <v>-6.6974642244328813</v>
      </c>
      <c r="E830">
        <f t="shared" si="121"/>
        <v>11.553160337807917</v>
      </c>
      <c r="F830">
        <f t="shared" si="124"/>
        <v>1</v>
      </c>
      <c r="G830">
        <f t="shared" si="125"/>
        <v>1</v>
      </c>
      <c r="H830">
        <f t="shared" si="126"/>
        <v>11.553160337807917</v>
      </c>
      <c r="K830">
        <v>0.80200000000000005</v>
      </c>
      <c r="L830">
        <f t="shared" si="122"/>
        <v>-3.4494642244328801</v>
      </c>
      <c r="M830">
        <f t="shared" si="123"/>
        <v>18.904040989002105</v>
      </c>
      <c r="N830">
        <f t="shared" si="127"/>
        <v>1</v>
      </c>
      <c r="O830">
        <f t="shared" si="128"/>
        <v>0.95597659546841429</v>
      </c>
      <c r="P830">
        <f t="shared" si="129"/>
        <v>18.48324755323922</v>
      </c>
    </row>
    <row r="831" spans="3:16" x14ac:dyDescent="0.25">
      <c r="C831">
        <v>0.80300000000000005</v>
      </c>
      <c r="D831">
        <f t="shared" si="120"/>
        <v>-6.6602716441748058</v>
      </c>
      <c r="E831">
        <f t="shared" si="121"/>
        <v>11.545727325653505</v>
      </c>
      <c r="F831">
        <f t="shared" si="124"/>
        <v>1</v>
      </c>
      <c r="G831">
        <f t="shared" si="125"/>
        <v>0.99999923953137593</v>
      </c>
      <c r="H831">
        <f t="shared" si="126"/>
        <v>11.545722935570984</v>
      </c>
      <c r="K831">
        <v>0.80300000000000005</v>
      </c>
      <c r="L831">
        <f t="shared" si="122"/>
        <v>-3.3882716441748002</v>
      </c>
      <c r="M831">
        <f t="shared" si="123"/>
        <v>18.891811528457499</v>
      </c>
      <c r="N831">
        <f t="shared" si="127"/>
        <v>1</v>
      </c>
      <c r="O831">
        <f t="shared" si="128"/>
        <v>0.95428598047660917</v>
      </c>
      <c r="P831">
        <f t="shared" si="129"/>
        <v>18.454950133881923</v>
      </c>
    </row>
    <row r="832" spans="3:16" x14ac:dyDescent="0.25">
      <c r="C832">
        <v>0.80400000000000005</v>
      </c>
      <c r="D832">
        <f t="shared" si="120"/>
        <v>-6.6230790639167267</v>
      </c>
      <c r="E832">
        <f t="shared" si="121"/>
        <v>11.538294313499092</v>
      </c>
      <c r="F832">
        <f t="shared" si="124"/>
        <v>1</v>
      </c>
      <c r="G832">
        <f t="shared" si="125"/>
        <v>0.9999646716693773</v>
      </c>
      <c r="H832">
        <f t="shared" si="126"/>
        <v>11.538090497360791</v>
      </c>
      <c r="K832">
        <v>0.80400000000000005</v>
      </c>
      <c r="L832">
        <f t="shared" si="122"/>
        <v>-3.3270790639167274</v>
      </c>
      <c r="M832">
        <f t="shared" si="123"/>
        <v>18.879582067912899</v>
      </c>
      <c r="N832">
        <f t="shared" si="127"/>
        <v>1</v>
      </c>
      <c r="O832">
        <f t="shared" si="128"/>
        <v>0.95256351218905022</v>
      </c>
      <c r="P832">
        <f t="shared" si="129"/>
        <v>18.426351316815587</v>
      </c>
    </row>
    <row r="833" spans="3:16" x14ac:dyDescent="0.25">
      <c r="C833">
        <v>0.80500000000000005</v>
      </c>
      <c r="D833">
        <f t="shared" si="120"/>
        <v>-6.5858864836586477</v>
      </c>
      <c r="E833">
        <f t="shared" si="121"/>
        <v>11.530861301344679</v>
      </c>
      <c r="F833">
        <f t="shared" si="124"/>
        <v>1</v>
      </c>
      <c r="G833">
        <f t="shared" si="125"/>
        <v>0.99987865921136099</v>
      </c>
      <c r="H833">
        <f t="shared" si="126"/>
        <v>11.530161698219441</v>
      </c>
      <c r="K833">
        <v>0.80500000000000005</v>
      </c>
      <c r="L833">
        <f t="shared" si="122"/>
        <v>-3.2658864836586474</v>
      </c>
      <c r="M833">
        <f t="shared" si="123"/>
        <v>18.867352607368296</v>
      </c>
      <c r="N833">
        <f t="shared" si="127"/>
        <v>1</v>
      </c>
      <c r="O833">
        <f t="shared" si="128"/>
        <v>0.95080919060573699</v>
      </c>
      <c r="P833">
        <f t="shared" si="129"/>
        <v>18.397450854125541</v>
      </c>
    </row>
    <row r="834" spans="3:16" x14ac:dyDescent="0.25">
      <c r="C834">
        <v>0.80600000000000005</v>
      </c>
      <c r="D834">
        <f t="shared" si="120"/>
        <v>-6.5486939034005687</v>
      </c>
      <c r="E834">
        <f t="shared" si="121"/>
        <v>11.523428289190267</v>
      </c>
      <c r="F834">
        <f t="shared" si="124"/>
        <v>1</v>
      </c>
      <c r="G834">
        <f t="shared" si="125"/>
        <v>0.99974120215732698</v>
      </c>
      <c r="H834">
        <f t="shared" si="126"/>
        <v>11.521937073512454</v>
      </c>
      <c r="K834">
        <v>0.80600000000000005</v>
      </c>
      <c r="L834">
        <f t="shared" si="122"/>
        <v>-3.2046939034005675</v>
      </c>
      <c r="M834">
        <f t="shared" si="123"/>
        <v>18.85512314682369</v>
      </c>
      <c r="N834">
        <f t="shared" si="127"/>
        <v>1</v>
      </c>
      <c r="O834">
        <f t="shared" si="128"/>
        <v>0.94902301572666969</v>
      </c>
      <c r="P834">
        <f t="shared" si="129"/>
        <v>18.368248479927857</v>
      </c>
    </row>
    <row r="835" spans="3:16" x14ac:dyDescent="0.25">
      <c r="C835">
        <v>0.80700000000000005</v>
      </c>
      <c r="D835">
        <f t="shared" si="120"/>
        <v>-6.5115013231424896</v>
      </c>
      <c r="E835">
        <f t="shared" si="121"/>
        <v>11.515995277035854</v>
      </c>
      <c r="F835">
        <f t="shared" si="124"/>
        <v>1</v>
      </c>
      <c r="G835">
        <f t="shared" si="125"/>
        <v>0.99955230050727528</v>
      </c>
      <c r="H835">
        <f t="shared" si="126"/>
        <v>11.513417135823547</v>
      </c>
      <c r="K835">
        <v>0.80700000000000005</v>
      </c>
      <c r="L835">
        <f t="shared" si="122"/>
        <v>-3.1435013231424875</v>
      </c>
      <c r="M835">
        <f t="shared" si="123"/>
        <v>18.842893686279087</v>
      </c>
      <c r="N835">
        <f t="shared" si="127"/>
        <v>1</v>
      </c>
      <c r="O835">
        <f t="shared" si="128"/>
        <v>0.94720498755184845</v>
      </c>
      <c r="P835">
        <f t="shared" si="129"/>
        <v>18.338743910184007</v>
      </c>
    </row>
    <row r="836" spans="3:16" x14ac:dyDescent="0.25">
      <c r="C836">
        <v>0.80800000000000005</v>
      </c>
      <c r="D836">
        <f t="shared" si="120"/>
        <v>-6.4743087428844106</v>
      </c>
      <c r="E836">
        <f t="shared" si="121"/>
        <v>11.508562264881441</v>
      </c>
      <c r="F836">
        <f t="shared" si="124"/>
        <v>1</v>
      </c>
      <c r="G836">
        <f t="shared" si="125"/>
        <v>0.99931195426120578</v>
      </c>
      <c r="H836">
        <f t="shared" si="126"/>
        <v>11.504602375004897</v>
      </c>
      <c r="K836">
        <v>0.80800000000000005</v>
      </c>
      <c r="L836">
        <f t="shared" si="122"/>
        <v>-3.0823087428844076</v>
      </c>
      <c r="M836">
        <f t="shared" si="123"/>
        <v>18.830664225734484</v>
      </c>
      <c r="N836">
        <f t="shared" si="127"/>
        <v>1</v>
      </c>
      <c r="O836">
        <f t="shared" si="128"/>
        <v>0.94535510608127316</v>
      </c>
      <c r="P836">
        <f t="shared" si="129"/>
        <v>18.308936842509198</v>
      </c>
    </row>
    <row r="837" spans="3:16" x14ac:dyDescent="0.25">
      <c r="C837">
        <v>0.80900000000000005</v>
      </c>
      <c r="D837">
        <f t="shared" si="120"/>
        <v>-6.4371161626263316</v>
      </c>
      <c r="E837">
        <f t="shared" si="121"/>
        <v>11.501129252727029</v>
      </c>
      <c r="F837">
        <f t="shared" si="124"/>
        <v>1</v>
      </c>
      <c r="G837">
        <f t="shared" si="125"/>
        <v>0.9990201634191187</v>
      </c>
      <c r="H837">
        <f t="shared" si="126"/>
        <v>11.495493258218646</v>
      </c>
      <c r="K837">
        <v>0.80900000000000005</v>
      </c>
      <c r="L837">
        <f t="shared" si="122"/>
        <v>-3.0211161626263348</v>
      </c>
      <c r="M837">
        <f t="shared" si="123"/>
        <v>18.818434765189881</v>
      </c>
      <c r="N837">
        <f t="shared" si="127"/>
        <v>1</v>
      </c>
      <c r="O837">
        <f t="shared" si="128"/>
        <v>0.94347337131494402</v>
      </c>
      <c r="P837">
        <f t="shared" si="129"/>
        <v>18.278826955974289</v>
      </c>
    </row>
    <row r="838" spans="3:16" x14ac:dyDescent="0.25">
      <c r="C838">
        <v>0.81</v>
      </c>
      <c r="D838">
        <f t="shared" si="120"/>
        <v>-6.3999235823682525</v>
      </c>
      <c r="E838">
        <f t="shared" si="121"/>
        <v>11.493696240572616</v>
      </c>
      <c r="F838">
        <f t="shared" si="124"/>
        <v>1</v>
      </c>
      <c r="G838">
        <f t="shared" si="125"/>
        <v>0.99867692798101393</v>
      </c>
      <c r="H838">
        <f t="shared" si="126"/>
        <v>11.486090229969646</v>
      </c>
      <c r="K838">
        <v>0.81</v>
      </c>
      <c r="L838">
        <f t="shared" si="122"/>
        <v>-2.9599235823682548</v>
      </c>
      <c r="M838">
        <f t="shared" si="123"/>
        <v>18.806205304645278</v>
      </c>
      <c r="N838">
        <f t="shared" si="127"/>
        <v>1</v>
      </c>
      <c r="O838">
        <f t="shared" si="128"/>
        <v>0.9415597832528606</v>
      </c>
      <c r="P838">
        <f t="shared" si="129"/>
        <v>18.248413910901128</v>
      </c>
    </row>
    <row r="839" spans="3:16" x14ac:dyDescent="0.25">
      <c r="C839">
        <v>0.81100000000000005</v>
      </c>
      <c r="D839">
        <f t="shared" si="120"/>
        <v>-6.3627310021101771</v>
      </c>
      <c r="E839">
        <f t="shared" si="121"/>
        <v>11.486263228418204</v>
      </c>
      <c r="F839">
        <f t="shared" si="124"/>
        <v>1</v>
      </c>
      <c r="G839">
        <f t="shared" si="125"/>
        <v>0.99828224794689147</v>
      </c>
      <c r="H839">
        <f t="shared" si="126"/>
        <v>11.476393712129486</v>
      </c>
      <c r="K839">
        <v>0.81100000000000005</v>
      </c>
      <c r="L839">
        <f t="shared" si="122"/>
        <v>-2.8987310021101749</v>
      </c>
      <c r="M839">
        <f t="shared" si="123"/>
        <v>18.793975844100672</v>
      </c>
      <c r="N839">
        <f t="shared" si="127"/>
        <v>1</v>
      </c>
      <c r="O839">
        <f t="shared" si="128"/>
        <v>0.93961434189502313</v>
      </c>
      <c r="P839">
        <f t="shared" si="129"/>
        <v>18.217697348651104</v>
      </c>
    </row>
    <row r="840" spans="3:16" x14ac:dyDescent="0.25">
      <c r="C840">
        <v>0.81200000000000006</v>
      </c>
      <c r="D840">
        <f t="shared" si="120"/>
        <v>-6.325538421852098</v>
      </c>
      <c r="E840">
        <f t="shared" si="121"/>
        <v>11.478830216263791</v>
      </c>
      <c r="F840">
        <f t="shared" si="124"/>
        <v>1</v>
      </c>
      <c r="G840">
        <f t="shared" si="125"/>
        <v>0.9978361233167512</v>
      </c>
      <c r="H840">
        <f t="shared" si="126"/>
        <v>11.466404103951731</v>
      </c>
      <c r="K840">
        <v>0.81200000000000006</v>
      </c>
      <c r="L840">
        <f t="shared" si="122"/>
        <v>-2.8375384218520949</v>
      </c>
      <c r="M840">
        <f t="shared" si="123"/>
        <v>18.781746383556069</v>
      </c>
      <c r="N840">
        <f t="shared" si="127"/>
        <v>1</v>
      </c>
      <c r="O840">
        <f t="shared" si="128"/>
        <v>0.93763704724143171</v>
      </c>
      <c r="P840">
        <f t="shared" si="129"/>
        <v>18.186676891406801</v>
      </c>
    </row>
    <row r="841" spans="3:16" x14ac:dyDescent="0.25">
      <c r="C841">
        <v>0.81299999999999994</v>
      </c>
      <c r="D841">
        <f t="shared" si="120"/>
        <v>-6.2883458415940225</v>
      </c>
      <c r="E841">
        <f t="shared" si="121"/>
        <v>11.47139720410938</v>
      </c>
      <c r="F841">
        <f t="shared" si="124"/>
        <v>1</v>
      </c>
      <c r="G841">
        <f t="shared" si="125"/>
        <v>0.99733855409059335</v>
      </c>
      <c r="H841">
        <f t="shared" si="126"/>
        <v>11.45612178207845</v>
      </c>
      <c r="K841">
        <v>0.81299999999999994</v>
      </c>
      <c r="L841">
        <f t="shared" si="122"/>
        <v>-2.7763458415940221</v>
      </c>
      <c r="M841">
        <f t="shared" si="123"/>
        <v>18.769516923011466</v>
      </c>
      <c r="N841">
        <f t="shared" si="127"/>
        <v>1</v>
      </c>
      <c r="O841">
        <f t="shared" si="128"/>
        <v>0.93562789929208645</v>
      </c>
      <c r="P841">
        <f t="shared" si="129"/>
        <v>18.155352141946537</v>
      </c>
    </row>
    <row r="842" spans="3:16" x14ac:dyDescent="0.25">
      <c r="C842">
        <v>0.81399999999999995</v>
      </c>
      <c r="D842">
        <f t="shared" si="120"/>
        <v>-6.2511532613359435</v>
      </c>
      <c r="E842">
        <f t="shared" si="121"/>
        <v>11.463964191954966</v>
      </c>
      <c r="F842">
        <f t="shared" si="124"/>
        <v>1</v>
      </c>
      <c r="G842">
        <f t="shared" si="125"/>
        <v>0.99678954026841771</v>
      </c>
      <c r="H842">
        <f t="shared" si="126"/>
        <v>11.445547100537887</v>
      </c>
      <c r="K842">
        <v>0.81399999999999995</v>
      </c>
      <c r="L842">
        <f t="shared" si="122"/>
        <v>-2.7151532613359421</v>
      </c>
      <c r="M842">
        <f t="shared" si="123"/>
        <v>18.757287462466863</v>
      </c>
      <c r="N842">
        <f t="shared" si="127"/>
        <v>1</v>
      </c>
      <c r="O842">
        <f t="shared" si="128"/>
        <v>0.9335868980469868</v>
      </c>
      <c r="P842">
        <f t="shared" si="129"/>
        <v>18.12372268341166</v>
      </c>
    </row>
    <row r="843" spans="3:16" x14ac:dyDescent="0.25">
      <c r="C843">
        <v>0.81499999999999995</v>
      </c>
      <c r="D843">
        <f t="shared" si="120"/>
        <v>-6.2139606810778645</v>
      </c>
      <c r="E843">
        <f t="shared" si="121"/>
        <v>11.456531179800555</v>
      </c>
      <c r="F843">
        <f t="shared" si="124"/>
        <v>1</v>
      </c>
      <c r="G843">
        <f t="shared" si="125"/>
        <v>0.99618908185022448</v>
      </c>
      <c r="H843">
        <f t="shared" si="126"/>
        <v>11.434680390733405</v>
      </c>
      <c r="K843">
        <v>0.81499999999999995</v>
      </c>
      <c r="L843">
        <f t="shared" si="122"/>
        <v>-2.6539606810778693</v>
      </c>
      <c r="M843">
        <f t="shared" si="123"/>
        <v>18.745058001922263</v>
      </c>
      <c r="N843">
        <f t="shared" si="127"/>
        <v>1</v>
      </c>
      <c r="O843">
        <f t="shared" si="128"/>
        <v>0.93151404350613354</v>
      </c>
      <c r="P843">
        <f t="shared" si="129"/>
        <v>18.091788079066404</v>
      </c>
    </row>
    <row r="844" spans="3:16" x14ac:dyDescent="0.25">
      <c r="C844">
        <v>0.81599999999999995</v>
      </c>
      <c r="D844">
        <f t="shared" si="120"/>
        <v>-6.1767681008197854</v>
      </c>
      <c r="E844">
        <f t="shared" si="121"/>
        <v>11.449098167646142</v>
      </c>
      <c r="F844">
        <f t="shared" si="124"/>
        <v>1</v>
      </c>
      <c r="G844">
        <f t="shared" si="125"/>
        <v>0.99553717883601345</v>
      </c>
      <c r="H844">
        <f t="shared" si="126"/>
        <v>11.423521961423511</v>
      </c>
      <c r="K844">
        <v>0.81599999999999995</v>
      </c>
      <c r="L844">
        <f t="shared" si="122"/>
        <v>-2.5927681008197894</v>
      </c>
      <c r="M844">
        <f t="shared" si="123"/>
        <v>18.732828541377657</v>
      </c>
      <c r="N844">
        <f t="shared" si="127"/>
        <v>1</v>
      </c>
      <c r="O844">
        <f t="shared" si="128"/>
        <v>0.92940933566952588</v>
      </c>
      <c r="P844">
        <f t="shared" si="129"/>
        <v>18.059547872050029</v>
      </c>
    </row>
    <row r="845" spans="3:16" x14ac:dyDescent="0.25">
      <c r="C845">
        <v>0.81699999999999995</v>
      </c>
      <c r="D845">
        <f t="shared" si="120"/>
        <v>-6.13957552056171</v>
      </c>
      <c r="E845">
        <f t="shared" si="121"/>
        <v>11.44166515549173</v>
      </c>
      <c r="F845">
        <f t="shared" si="124"/>
        <v>1</v>
      </c>
      <c r="G845">
        <f t="shared" si="125"/>
        <v>0.99483383122578484</v>
      </c>
      <c r="H845">
        <f t="shared" si="126"/>
        <v>11.412072098693029</v>
      </c>
      <c r="K845">
        <v>0.81699999999999995</v>
      </c>
      <c r="L845">
        <f t="shared" si="122"/>
        <v>-2.5315755205617094</v>
      </c>
      <c r="M845">
        <f t="shared" si="123"/>
        <v>18.720599080833054</v>
      </c>
      <c r="N845">
        <f t="shared" si="127"/>
        <v>1</v>
      </c>
      <c r="O845">
        <f t="shared" si="128"/>
        <v>0.92727277453716417</v>
      </c>
      <c r="P845">
        <f t="shared" si="129"/>
        <v>18.027001585121244</v>
      </c>
    </row>
    <row r="846" spans="3:16" x14ac:dyDescent="0.25">
      <c r="C846">
        <v>0.81799999999999995</v>
      </c>
      <c r="D846">
        <f t="shared" si="120"/>
        <v>-6.1023829403036309</v>
      </c>
      <c r="E846">
        <f t="shared" si="121"/>
        <v>11.434232143337317</v>
      </c>
      <c r="F846">
        <f t="shared" si="124"/>
        <v>1</v>
      </c>
      <c r="G846">
        <f t="shared" si="125"/>
        <v>0.99407903901953842</v>
      </c>
      <c r="H846">
        <f t="shared" si="126"/>
        <v>11.400331065915289</v>
      </c>
      <c r="K846">
        <v>0.81799999999999995</v>
      </c>
      <c r="L846">
        <f t="shared" si="122"/>
        <v>-2.4703829403036295</v>
      </c>
      <c r="M846">
        <f t="shared" si="123"/>
        <v>18.708369620288451</v>
      </c>
      <c r="N846">
        <f t="shared" si="127"/>
        <v>1</v>
      </c>
      <c r="O846">
        <f t="shared" si="128"/>
        <v>0.92510436010904851</v>
      </c>
      <c r="P846">
        <f t="shared" si="129"/>
        <v>17.994148720394453</v>
      </c>
    </row>
    <row r="847" spans="3:16" x14ac:dyDescent="0.25">
      <c r="C847">
        <v>0.81899999999999995</v>
      </c>
      <c r="D847">
        <f t="shared" si="120"/>
        <v>-6.0651903600455519</v>
      </c>
      <c r="E847">
        <f t="shared" si="121"/>
        <v>11.426799131182905</v>
      </c>
      <c r="F847">
        <f t="shared" si="124"/>
        <v>1</v>
      </c>
      <c r="G847">
        <f t="shared" si="125"/>
        <v>0.99327280221727443</v>
      </c>
      <c r="H847">
        <f t="shared" si="126"/>
        <v>11.388299103705357</v>
      </c>
      <c r="K847">
        <v>0.81899999999999995</v>
      </c>
      <c r="L847">
        <f t="shared" si="122"/>
        <v>-2.4091903600455495</v>
      </c>
      <c r="M847">
        <f t="shared" si="123"/>
        <v>18.696140159743848</v>
      </c>
      <c r="N847">
        <f t="shared" si="127"/>
        <v>1</v>
      </c>
      <c r="O847">
        <f t="shared" si="128"/>
        <v>0.92290409238517879</v>
      </c>
      <c r="P847">
        <f t="shared" si="129"/>
        <v>17.960988759067813</v>
      </c>
    </row>
    <row r="848" spans="3:16" x14ac:dyDescent="0.25">
      <c r="C848">
        <v>0.82</v>
      </c>
      <c r="D848">
        <f t="shared" si="120"/>
        <v>-6.0279977797874729</v>
      </c>
      <c r="E848">
        <f t="shared" si="121"/>
        <v>11.419366119028492</v>
      </c>
      <c r="F848">
        <f t="shared" si="124"/>
        <v>1</v>
      </c>
      <c r="G848">
        <f t="shared" si="125"/>
        <v>0.99241512081899264</v>
      </c>
      <c r="H848">
        <f t="shared" si="126"/>
        <v>11.375976429864121</v>
      </c>
      <c r="K848">
        <v>0.82</v>
      </c>
      <c r="L848">
        <f t="shared" si="122"/>
        <v>-2.3479977797874767</v>
      </c>
      <c r="M848">
        <f t="shared" si="123"/>
        <v>18.683910699199245</v>
      </c>
      <c r="N848">
        <f t="shared" si="127"/>
        <v>1</v>
      </c>
      <c r="O848">
        <f t="shared" si="128"/>
        <v>0.92067197136555523</v>
      </c>
      <c r="P848">
        <f t="shared" si="129"/>
        <v>17.927521161142788</v>
      </c>
    </row>
    <row r="849" spans="3:16" x14ac:dyDescent="0.25">
      <c r="C849">
        <v>0.82099999999999995</v>
      </c>
      <c r="D849">
        <f t="shared" si="120"/>
        <v>-5.9908051995293938</v>
      </c>
      <c r="E849">
        <f t="shared" si="121"/>
        <v>11.411933106874079</v>
      </c>
      <c r="F849">
        <f t="shared" si="124"/>
        <v>1</v>
      </c>
      <c r="G849">
        <f t="shared" si="125"/>
        <v>0.99150599482469315</v>
      </c>
      <c r="H849">
        <f t="shared" si="126"/>
        <v>11.363363239313278</v>
      </c>
      <c r="K849">
        <v>0.82099999999999995</v>
      </c>
      <c r="L849">
        <f t="shared" si="122"/>
        <v>-2.2868051995293968</v>
      </c>
      <c r="M849">
        <f t="shared" si="123"/>
        <v>18.671681238654642</v>
      </c>
      <c r="N849">
        <f t="shared" si="127"/>
        <v>1</v>
      </c>
      <c r="O849">
        <f t="shared" si="128"/>
        <v>0.91840799705017739</v>
      </c>
      <c r="P849">
        <f t="shared" si="129"/>
        <v>17.893745365134976</v>
      </c>
    </row>
    <row r="850" spans="3:16" x14ac:dyDescent="0.25">
      <c r="C850">
        <v>0.82199999999999995</v>
      </c>
      <c r="D850">
        <f t="shared" si="120"/>
        <v>-5.9536126192713148</v>
      </c>
      <c r="E850">
        <f t="shared" si="121"/>
        <v>11.404500094719667</v>
      </c>
      <c r="F850">
        <f t="shared" si="124"/>
        <v>1</v>
      </c>
      <c r="G850">
        <f t="shared" si="125"/>
        <v>0.99054542423437597</v>
      </c>
      <c r="H850">
        <f t="shared" si="126"/>
        <v>11.350459704021043</v>
      </c>
      <c r="K850">
        <v>0.82199999999999995</v>
      </c>
      <c r="L850">
        <f t="shared" si="122"/>
        <v>-2.2256126192713168</v>
      </c>
      <c r="M850">
        <f t="shared" si="123"/>
        <v>18.659451778110039</v>
      </c>
      <c r="N850">
        <f t="shared" si="127"/>
        <v>1</v>
      </c>
      <c r="O850">
        <f t="shared" si="128"/>
        <v>0.9161121694390455</v>
      </c>
      <c r="P850">
        <f t="shared" si="129"/>
        <v>17.859660787776004</v>
      </c>
    </row>
    <row r="851" spans="3:16" x14ac:dyDescent="0.25">
      <c r="C851">
        <v>0.82299999999999995</v>
      </c>
      <c r="D851">
        <f t="shared" si="120"/>
        <v>-5.9164200390132358</v>
      </c>
      <c r="E851">
        <f t="shared" si="121"/>
        <v>11.397067082565254</v>
      </c>
      <c r="F851">
        <f t="shared" si="124"/>
        <v>1</v>
      </c>
      <c r="G851">
        <f t="shared" si="125"/>
        <v>0.9895334090480411</v>
      </c>
      <c r="H851">
        <f t="shared" si="126"/>
        <v>11.337265972918505</v>
      </c>
      <c r="K851">
        <v>0.82299999999999995</v>
      </c>
      <c r="L851">
        <f t="shared" si="122"/>
        <v>-2.1644200390132369</v>
      </c>
      <c r="M851">
        <f t="shared" si="123"/>
        <v>18.647222317565436</v>
      </c>
      <c r="N851">
        <f t="shared" si="127"/>
        <v>1</v>
      </c>
      <c r="O851">
        <f t="shared" si="128"/>
        <v>0.91378448853215966</v>
      </c>
      <c r="P851">
        <f t="shared" si="129"/>
        <v>17.825266823706173</v>
      </c>
    </row>
    <row r="852" spans="3:16" x14ac:dyDescent="0.25">
      <c r="C852">
        <v>0.82399999999999995</v>
      </c>
      <c r="D852">
        <f t="shared" si="120"/>
        <v>-5.8792274587551567</v>
      </c>
      <c r="E852">
        <f t="shared" si="121"/>
        <v>11.389634070410841</v>
      </c>
      <c r="F852">
        <f t="shared" si="124"/>
        <v>1</v>
      </c>
      <c r="G852">
        <f t="shared" si="125"/>
        <v>0.98846994926568854</v>
      </c>
      <c r="H852">
        <f t="shared" si="126"/>
        <v>11.323782171806574</v>
      </c>
      <c r="K852">
        <v>0.82399999999999995</v>
      </c>
      <c r="L852">
        <f t="shared" si="122"/>
        <v>-2.1032274587551569</v>
      </c>
      <c r="M852">
        <f t="shared" si="123"/>
        <v>18.634992857020833</v>
      </c>
      <c r="N852">
        <f t="shared" si="127"/>
        <v>1</v>
      </c>
      <c r="O852">
        <f t="shared" si="128"/>
        <v>0.91142495432951975</v>
      </c>
      <c r="P852">
        <f t="shared" si="129"/>
        <v>17.790562845157684</v>
      </c>
    </row>
    <row r="853" spans="3:16" x14ac:dyDescent="0.25">
      <c r="C853">
        <v>0.82499999999999996</v>
      </c>
      <c r="D853">
        <f t="shared" si="120"/>
        <v>-5.8420348784970813</v>
      </c>
      <c r="E853">
        <f t="shared" si="121"/>
        <v>11.382201058256429</v>
      </c>
      <c r="F853">
        <f t="shared" si="124"/>
        <v>1</v>
      </c>
      <c r="G853">
        <f t="shared" si="125"/>
        <v>0.9873550448873184</v>
      </c>
      <c r="H853">
        <f t="shared" si="126"/>
        <v>11.310008403253324</v>
      </c>
      <c r="K853">
        <v>0.82499999999999996</v>
      </c>
      <c r="L853">
        <f t="shared" si="122"/>
        <v>-2.0420348784970841</v>
      </c>
      <c r="M853">
        <f t="shared" si="123"/>
        <v>18.62276339647623</v>
      </c>
      <c r="N853">
        <f t="shared" si="127"/>
        <v>1</v>
      </c>
      <c r="O853">
        <f t="shared" si="128"/>
        <v>0.90903356683112602</v>
      </c>
      <c r="P853">
        <f t="shared" si="129"/>
        <v>17.755548201628091</v>
      </c>
    </row>
    <row r="854" spans="3:16" x14ac:dyDescent="0.25">
      <c r="C854">
        <v>0.82599999999999996</v>
      </c>
      <c r="D854">
        <f t="shared" si="120"/>
        <v>-5.8048422982390022</v>
      </c>
      <c r="E854">
        <f t="shared" si="121"/>
        <v>11.374768046102016</v>
      </c>
      <c r="F854">
        <f t="shared" si="124"/>
        <v>1</v>
      </c>
      <c r="G854">
        <f t="shared" si="125"/>
        <v>0.98618869591293035</v>
      </c>
      <c r="H854">
        <f t="shared" si="126"/>
        <v>11.295944746481668</v>
      </c>
      <c r="K854">
        <v>0.82599999999999996</v>
      </c>
      <c r="L854">
        <f t="shared" si="122"/>
        <v>-1.9808422982390042</v>
      </c>
      <c r="M854">
        <f t="shared" si="123"/>
        <v>18.610533935931628</v>
      </c>
      <c r="N854">
        <f t="shared" si="127"/>
        <v>1</v>
      </c>
      <c r="O854">
        <f t="shared" si="128"/>
        <v>0.906610326036978</v>
      </c>
      <c r="P854">
        <f t="shared" si="129"/>
        <v>17.72022221954375</v>
      </c>
    </row>
    <row r="855" spans="3:16" x14ac:dyDescent="0.25">
      <c r="C855">
        <v>0.82699999999999996</v>
      </c>
      <c r="D855">
        <f t="shared" si="120"/>
        <v>-5.7676497179809232</v>
      </c>
      <c r="E855">
        <f t="shared" si="121"/>
        <v>11.367335033947604</v>
      </c>
      <c r="F855">
        <f t="shared" si="124"/>
        <v>1</v>
      </c>
      <c r="G855">
        <f t="shared" si="125"/>
        <v>0.98497090234252471</v>
      </c>
      <c r="H855">
        <f t="shared" si="126"/>
        <v>11.281591257247214</v>
      </c>
      <c r="K855">
        <v>0.82699999999999996</v>
      </c>
      <c r="L855">
        <f t="shared" si="122"/>
        <v>-1.9196497179809242</v>
      </c>
      <c r="M855">
        <f t="shared" si="123"/>
        <v>18.598304475387025</v>
      </c>
      <c r="N855">
        <f t="shared" si="127"/>
        <v>1</v>
      </c>
      <c r="O855">
        <f t="shared" si="128"/>
        <v>0.90415523194707592</v>
      </c>
      <c r="P855">
        <f t="shared" si="129"/>
        <v>17.684584201912969</v>
      </c>
    </row>
    <row r="856" spans="3:16" x14ac:dyDescent="0.25">
      <c r="C856">
        <v>0.82799999999999996</v>
      </c>
      <c r="D856">
        <f t="shared" si="120"/>
        <v>-5.7304571377228442</v>
      </c>
      <c r="E856">
        <f t="shared" si="121"/>
        <v>11.359902021793191</v>
      </c>
      <c r="F856">
        <f t="shared" si="124"/>
        <v>1</v>
      </c>
      <c r="G856">
        <f t="shared" si="125"/>
        <v>0.98370166417610139</v>
      </c>
      <c r="H856">
        <f t="shared" si="126"/>
        <v>11.266947967706136</v>
      </c>
      <c r="K856">
        <v>0.82799999999999996</v>
      </c>
      <c r="L856">
        <f t="shared" si="122"/>
        <v>-1.8584571377228443</v>
      </c>
      <c r="M856">
        <f t="shared" si="123"/>
        <v>18.586075014842422</v>
      </c>
      <c r="N856">
        <f t="shared" si="127"/>
        <v>1</v>
      </c>
      <c r="O856">
        <f t="shared" si="128"/>
        <v>0.9016682845614199</v>
      </c>
      <c r="P856">
        <f t="shared" si="129"/>
        <v>17.648633427968527</v>
      </c>
    </row>
    <row r="857" spans="3:16" x14ac:dyDescent="0.25">
      <c r="C857">
        <v>0.82899999999999996</v>
      </c>
      <c r="D857">
        <f t="shared" si="120"/>
        <v>-5.6932645574647651</v>
      </c>
      <c r="E857">
        <f t="shared" si="121"/>
        <v>11.35246900963878</v>
      </c>
      <c r="F857">
        <f t="shared" si="124"/>
        <v>1</v>
      </c>
      <c r="G857">
        <f t="shared" si="125"/>
        <v>0.98238098141366037</v>
      </c>
      <c r="H857">
        <f t="shared" si="126"/>
        <v>11.252014886272947</v>
      </c>
      <c r="K857">
        <v>0.82899999999999996</v>
      </c>
      <c r="L857">
        <f t="shared" si="122"/>
        <v>-1.7972645574647643</v>
      </c>
      <c r="M857">
        <f t="shared" si="123"/>
        <v>18.573845554297815</v>
      </c>
      <c r="N857">
        <f t="shared" si="127"/>
        <v>1</v>
      </c>
      <c r="O857">
        <f t="shared" si="128"/>
        <v>0.8991494838800097</v>
      </c>
      <c r="P857">
        <f t="shared" si="129"/>
        <v>17.612369152799285</v>
      </c>
    </row>
    <row r="858" spans="3:16" x14ac:dyDescent="0.25">
      <c r="C858">
        <v>0.83</v>
      </c>
      <c r="D858">
        <f t="shared" si="120"/>
        <v>-5.6560719772066861</v>
      </c>
      <c r="E858">
        <f t="shared" si="121"/>
        <v>11.345035997484366</v>
      </c>
      <c r="F858">
        <f t="shared" si="124"/>
        <v>1</v>
      </c>
      <c r="G858">
        <f t="shared" si="125"/>
        <v>0.98100885405520155</v>
      </c>
      <c r="H858">
        <f t="shared" si="126"/>
        <v>11.236791997467966</v>
      </c>
      <c r="K858">
        <v>0.83</v>
      </c>
      <c r="L858">
        <f t="shared" si="122"/>
        <v>-1.7360719772066915</v>
      </c>
      <c r="M858">
        <f t="shared" si="123"/>
        <v>18.561616093753216</v>
      </c>
      <c r="N858">
        <f t="shared" si="127"/>
        <v>1</v>
      </c>
      <c r="O858">
        <f t="shared" si="128"/>
        <v>0.89659882990284578</v>
      </c>
      <c r="P858">
        <f t="shared" si="129"/>
        <v>17.575790606970564</v>
      </c>
    </row>
    <row r="859" spans="3:16" x14ac:dyDescent="0.25">
      <c r="C859">
        <v>0.83099999999999996</v>
      </c>
      <c r="D859">
        <f t="shared" si="120"/>
        <v>-5.6188793969486071</v>
      </c>
      <c r="E859">
        <f t="shared" si="121"/>
        <v>11.337602985329953</v>
      </c>
      <c r="F859">
        <f t="shared" si="124"/>
        <v>1</v>
      </c>
      <c r="G859">
        <f t="shared" si="125"/>
        <v>0.97958528210072515</v>
      </c>
      <c r="H859">
        <f t="shared" si="126"/>
        <v>11.221279261754333</v>
      </c>
      <c r="K859">
        <v>0.83099999999999996</v>
      </c>
      <c r="L859">
        <f t="shared" si="122"/>
        <v>-1.6748793969486115</v>
      </c>
      <c r="M859">
        <f t="shared" si="123"/>
        <v>18.549386633208613</v>
      </c>
      <c r="N859">
        <f t="shared" si="127"/>
        <v>1</v>
      </c>
      <c r="O859">
        <f t="shared" si="128"/>
        <v>0.89401632262992758</v>
      </c>
      <c r="P859">
        <f t="shared" si="129"/>
        <v>17.538896996132838</v>
      </c>
    </row>
    <row r="860" spans="3:16" x14ac:dyDescent="0.25">
      <c r="C860">
        <v>0.83199999999999996</v>
      </c>
      <c r="D860">
        <f t="shared" ref="D860:D923" si="130">-$J$23+($J$15+$J$23)*C860</f>
        <v>-5.5816868166905316</v>
      </c>
      <c r="E860">
        <f t="shared" ref="E860:E923" si="131">$J$12-$J$11*D860</f>
        <v>11.330169973175542</v>
      </c>
      <c r="F860">
        <f t="shared" si="124"/>
        <v>1</v>
      </c>
      <c r="G860">
        <f t="shared" si="125"/>
        <v>0.97811026555023117</v>
      </c>
      <c r="H860">
        <f t="shared" si="126"/>
        <v>11.205476615364372</v>
      </c>
      <c r="K860">
        <v>0.83199999999999996</v>
      </c>
      <c r="L860">
        <f t="shared" ref="L860:L923" si="132">-$M$23+($M$15+$M$23)*K860</f>
        <v>-1.6136868166905316</v>
      </c>
      <c r="M860">
        <f t="shared" ref="M860:M923" si="133">$J$12-$J$11*L860+$E$18</f>
        <v>18.537157172664006</v>
      </c>
      <c r="N860">
        <f t="shared" si="127"/>
        <v>1</v>
      </c>
      <c r="O860">
        <f t="shared" si="128"/>
        <v>0.89140196206125533</v>
      </c>
      <c r="P860">
        <f t="shared" si="129"/>
        <v>17.501687500618633</v>
      </c>
    </row>
    <row r="861" spans="3:16" x14ac:dyDescent="0.25">
      <c r="C861">
        <v>0.83299999999999996</v>
      </c>
      <c r="D861">
        <f t="shared" si="130"/>
        <v>-5.5444942364324525</v>
      </c>
      <c r="E861">
        <f t="shared" si="131"/>
        <v>11.322736961021128</v>
      </c>
      <c r="F861">
        <f t="shared" ref="F861:F924" si="134">IF(D861&lt;$J$20,MAX(1-(D861-$J$20)^2/$J$22^2,0),1)</f>
        <v>1</v>
      </c>
      <c r="G861">
        <f t="shared" ref="G861:G924" si="135">IF(D861&gt;$J$17,MAX(1-(D861-$J$17)^2/($J$15-$J$17)^2,0),1)</f>
        <v>0.97658380440371928</v>
      </c>
      <c r="H861">
        <f t="shared" ref="H861:H924" si="136">SQRT(E861^2*F861*G861)</f>
        <v>11.189383970115097</v>
      </c>
      <c r="K861">
        <v>0.83299999999999996</v>
      </c>
      <c r="L861">
        <f t="shared" si="132"/>
        <v>-1.5524942364324517</v>
      </c>
      <c r="M861">
        <f t="shared" si="133"/>
        <v>18.524927712119403</v>
      </c>
      <c r="N861">
        <f t="shared" ref="N861:N924" si="137">IF(L861&lt;$J$20,MAX(1-(L861-$J$20)^2/$M$22^2,0),1)</f>
        <v>1</v>
      </c>
      <c r="O861">
        <f t="shared" ref="O861:O924" si="138">IF(L861&gt;$J$17,MAX(1-(L861-$J$17)^2/($M$15-$J$17)^2,0),1)</f>
        <v>0.88875574819682912</v>
      </c>
      <c r="P861">
        <f t="shared" ref="P861:P924" si="139">SQRT(M861^2*N861*O861)</f>
        <v>17.464161275026985</v>
      </c>
    </row>
    <row r="862" spans="3:16" x14ac:dyDescent="0.25">
      <c r="C862">
        <v>0.83399999999999996</v>
      </c>
      <c r="D862">
        <f t="shared" si="130"/>
        <v>-5.5073016561743735</v>
      </c>
      <c r="E862">
        <f t="shared" si="131"/>
        <v>11.315303948866717</v>
      </c>
      <c r="F862">
        <f t="shared" si="134"/>
        <v>1</v>
      </c>
      <c r="G862">
        <f t="shared" si="135"/>
        <v>0.97500589866118981</v>
      </c>
      <c r="H862">
        <f t="shared" si="136"/>
        <v>11.173001213212682</v>
      </c>
      <c r="K862">
        <v>0.83399999999999996</v>
      </c>
      <c r="L862">
        <f t="shared" si="132"/>
        <v>-1.4913016561743717</v>
      </c>
      <c r="M862">
        <f t="shared" si="133"/>
        <v>18.5126982515748</v>
      </c>
      <c r="N862">
        <f t="shared" si="137"/>
        <v>1</v>
      </c>
      <c r="O862">
        <f t="shared" si="138"/>
        <v>0.88607768103664875</v>
      </c>
      <c r="P862">
        <f t="shared" si="139"/>
        <v>17.426317447795249</v>
      </c>
    </row>
    <row r="863" spans="3:16" x14ac:dyDescent="0.25">
      <c r="C863">
        <v>0.83499999999999996</v>
      </c>
      <c r="D863">
        <f t="shared" si="130"/>
        <v>-5.4701090759162945</v>
      </c>
      <c r="E863">
        <f t="shared" si="131"/>
        <v>11.307870936712304</v>
      </c>
      <c r="F863">
        <f t="shared" si="134"/>
        <v>1</v>
      </c>
      <c r="G863">
        <f t="shared" si="135"/>
        <v>0.97337654832264253</v>
      </c>
      <c r="H863">
        <f t="shared" si="136"/>
        <v>11.156328207045618</v>
      </c>
      <c r="K863">
        <v>0.83499999999999996</v>
      </c>
      <c r="L863">
        <f t="shared" si="132"/>
        <v>-1.4301090759162918</v>
      </c>
      <c r="M863">
        <f t="shared" si="133"/>
        <v>18.500468791030194</v>
      </c>
      <c r="N863">
        <f t="shared" si="137"/>
        <v>1</v>
      </c>
      <c r="O863">
        <f t="shared" si="138"/>
        <v>0.88336776058071442</v>
      </c>
      <c r="P863">
        <f t="shared" si="139"/>
        <v>17.388155120757816</v>
      </c>
    </row>
    <row r="864" spans="3:16" x14ac:dyDescent="0.25">
      <c r="C864">
        <v>0.83599999999999997</v>
      </c>
      <c r="D864">
        <f t="shared" si="130"/>
        <v>-5.4329164956582154</v>
      </c>
      <c r="E864">
        <f t="shared" si="131"/>
        <v>11.300437924557892</v>
      </c>
      <c r="F864">
        <f t="shared" si="134"/>
        <v>1</v>
      </c>
      <c r="G864">
        <f t="shared" si="135"/>
        <v>0.97169575338807757</v>
      </c>
      <c r="H864">
        <f t="shared" si="136"/>
        <v>11.139364788966375</v>
      </c>
      <c r="K864">
        <v>0.83599999999999997</v>
      </c>
      <c r="L864">
        <f t="shared" si="132"/>
        <v>-1.3689164956582189</v>
      </c>
      <c r="M864">
        <f t="shared" si="133"/>
        <v>18.488239330485595</v>
      </c>
      <c r="N864">
        <f t="shared" si="137"/>
        <v>1</v>
      </c>
      <c r="O864">
        <f t="shared" si="138"/>
        <v>0.88062598682902626</v>
      </c>
      <c r="P864">
        <f t="shared" si="139"/>
        <v>17.349673368691334</v>
      </c>
    </row>
    <row r="865" spans="3:16" x14ac:dyDescent="0.25">
      <c r="C865">
        <v>0.83699999999999997</v>
      </c>
      <c r="D865">
        <f t="shared" si="130"/>
        <v>-5.3957239154001364</v>
      </c>
      <c r="E865">
        <f t="shared" si="131"/>
        <v>11.293004912403479</v>
      </c>
      <c r="F865">
        <f t="shared" si="134"/>
        <v>1</v>
      </c>
      <c r="G865">
        <f t="shared" si="135"/>
        <v>0.96996351385749491</v>
      </c>
      <c r="H865">
        <f t="shared" si="136"/>
        <v>11.122110771061278</v>
      </c>
      <c r="K865">
        <v>0.83699999999999997</v>
      </c>
      <c r="L865">
        <f t="shared" si="132"/>
        <v>-1.307723915400139</v>
      </c>
      <c r="M865">
        <f t="shared" si="133"/>
        <v>18.476009869940988</v>
      </c>
      <c r="N865">
        <f t="shared" si="137"/>
        <v>1</v>
      </c>
      <c r="O865">
        <f t="shared" si="138"/>
        <v>0.87785235978158382</v>
      </c>
      <c r="P865">
        <f t="shared" si="139"/>
        <v>17.310871238845937</v>
      </c>
    </row>
    <row r="866" spans="3:16" x14ac:dyDescent="0.25">
      <c r="C866">
        <v>0.83799999999999997</v>
      </c>
      <c r="D866">
        <f t="shared" si="130"/>
        <v>-5.3585313351420574</v>
      </c>
      <c r="E866">
        <f t="shared" si="131"/>
        <v>11.285571900249066</v>
      </c>
      <c r="F866">
        <f t="shared" si="134"/>
        <v>1</v>
      </c>
      <c r="G866">
        <f t="shared" si="135"/>
        <v>0.96817982973089467</v>
      </c>
      <c r="H866">
        <f t="shared" si="136"/>
        <v>11.104565939908367</v>
      </c>
      <c r="K866">
        <v>0.83799999999999997</v>
      </c>
      <c r="L866">
        <f t="shared" si="132"/>
        <v>-1.246531335142059</v>
      </c>
      <c r="M866">
        <f t="shared" si="133"/>
        <v>18.463780409396385</v>
      </c>
      <c r="N866">
        <f t="shared" si="137"/>
        <v>1</v>
      </c>
      <c r="O866">
        <f t="shared" si="138"/>
        <v>0.87504687943838733</v>
      </c>
      <c r="P866">
        <f t="shared" si="139"/>
        <v>17.271747750462179</v>
      </c>
    </row>
    <row r="867" spans="3:16" x14ac:dyDescent="0.25">
      <c r="C867">
        <v>0.83899999999999997</v>
      </c>
      <c r="D867">
        <f t="shared" si="130"/>
        <v>-5.3213387548839783</v>
      </c>
      <c r="E867">
        <f t="shared" si="131"/>
        <v>11.278138888094654</v>
      </c>
      <c r="F867">
        <f t="shared" si="134"/>
        <v>1</v>
      </c>
      <c r="G867">
        <f t="shared" si="135"/>
        <v>0.96634470100827663</v>
      </c>
      <c r="H867">
        <f t="shared" si="136"/>
        <v>11.086730056322949</v>
      </c>
      <c r="K867">
        <v>0.83899999999999997</v>
      </c>
      <c r="L867">
        <f t="shared" si="132"/>
        <v>-1.1853387548839791</v>
      </c>
      <c r="M867">
        <f t="shared" si="133"/>
        <v>18.451550948851782</v>
      </c>
      <c r="N867">
        <f t="shared" si="137"/>
        <v>1</v>
      </c>
      <c r="O867">
        <f t="shared" si="138"/>
        <v>0.87220954579943677</v>
      </c>
      <c r="P867">
        <f t="shared" si="139"/>
        <v>17.232301894273014</v>
      </c>
    </row>
    <row r="868" spans="3:16" x14ac:dyDescent="0.25">
      <c r="C868">
        <v>0.84</v>
      </c>
      <c r="D868">
        <f t="shared" si="130"/>
        <v>-5.2841461746259029</v>
      </c>
      <c r="E868">
        <f t="shared" si="131"/>
        <v>11.270705875940241</v>
      </c>
      <c r="F868">
        <f t="shared" si="134"/>
        <v>1</v>
      </c>
      <c r="G868">
        <f t="shared" si="135"/>
        <v>0.96445812768964112</v>
      </c>
      <c r="H868">
        <f t="shared" si="136"/>
        <v>11.068602855090528</v>
      </c>
      <c r="K868">
        <v>0.84</v>
      </c>
      <c r="L868">
        <f t="shared" si="132"/>
        <v>-1.1241461746258992</v>
      </c>
      <c r="M868">
        <f t="shared" si="133"/>
        <v>18.439321488307179</v>
      </c>
      <c r="N868">
        <f t="shared" si="137"/>
        <v>1</v>
      </c>
      <c r="O868">
        <f t="shared" si="138"/>
        <v>0.86934035886473227</v>
      </c>
      <c r="P868">
        <f t="shared" si="139"/>
        <v>17.192532631990503</v>
      </c>
    </row>
    <row r="869" spans="3:16" x14ac:dyDescent="0.25">
      <c r="C869">
        <v>0.84099999999999997</v>
      </c>
      <c r="D869">
        <f t="shared" si="130"/>
        <v>-5.2469535943678238</v>
      </c>
      <c r="E869">
        <f t="shared" si="131"/>
        <v>11.263272863785829</v>
      </c>
      <c r="F869">
        <f t="shared" si="134"/>
        <v>1</v>
      </c>
      <c r="G869">
        <f t="shared" si="135"/>
        <v>0.96252010977498759</v>
      </c>
      <c r="H869">
        <f t="shared" si="136"/>
        <v>11.050184044686864</v>
      </c>
      <c r="K869">
        <v>0.84099999999999997</v>
      </c>
      <c r="L869">
        <f t="shared" si="132"/>
        <v>-1.0629535943678263</v>
      </c>
      <c r="M869">
        <f t="shared" si="133"/>
        <v>18.427092027762576</v>
      </c>
      <c r="N869">
        <f t="shared" si="137"/>
        <v>1</v>
      </c>
      <c r="O869">
        <f t="shared" si="138"/>
        <v>0.86643931863427404</v>
      </c>
      <c r="P869">
        <f t="shared" si="139"/>
        <v>17.152438895776644</v>
      </c>
    </row>
    <row r="870" spans="3:16" x14ac:dyDescent="0.25">
      <c r="C870">
        <v>0.84199999999999997</v>
      </c>
      <c r="D870">
        <f t="shared" si="130"/>
        <v>-5.2097610141097448</v>
      </c>
      <c r="E870">
        <f t="shared" si="131"/>
        <v>11.255839851631416</v>
      </c>
      <c r="F870">
        <f t="shared" si="134"/>
        <v>1</v>
      </c>
      <c r="G870">
        <f t="shared" si="135"/>
        <v>0.96053064726431658</v>
      </c>
      <c r="H870">
        <f t="shared" si="136"/>
        <v>11.031473306984758</v>
      </c>
      <c r="K870">
        <v>0.84199999999999997</v>
      </c>
      <c r="L870">
        <f t="shared" si="132"/>
        <v>-1.0017610141097464</v>
      </c>
      <c r="M870">
        <f t="shared" si="133"/>
        <v>18.414862567217973</v>
      </c>
      <c r="N870">
        <f t="shared" si="137"/>
        <v>1</v>
      </c>
      <c r="O870">
        <f t="shared" si="138"/>
        <v>0.8635064251080613</v>
      </c>
      <c r="P870">
        <f t="shared" si="139"/>
        <v>17.112019587697837</v>
      </c>
    </row>
    <row r="871" spans="3:16" x14ac:dyDescent="0.25">
      <c r="C871">
        <v>0.84299999999999997</v>
      </c>
      <c r="D871">
        <f t="shared" si="130"/>
        <v>-5.1725684338516658</v>
      </c>
      <c r="E871">
        <f t="shared" si="131"/>
        <v>11.248406839477004</v>
      </c>
      <c r="F871">
        <f t="shared" si="134"/>
        <v>1</v>
      </c>
      <c r="G871">
        <f t="shared" si="135"/>
        <v>0.95848974015762778</v>
      </c>
      <c r="H871">
        <f t="shared" si="136"/>
        <v>11.012470296947317</v>
      </c>
      <c r="K871">
        <v>0.84299999999999997</v>
      </c>
      <c r="L871">
        <f t="shared" si="132"/>
        <v>-0.94056843385166644</v>
      </c>
      <c r="M871">
        <f t="shared" si="133"/>
        <v>18.40263310667337</v>
      </c>
      <c r="N871">
        <f t="shared" si="137"/>
        <v>1</v>
      </c>
      <c r="O871">
        <f t="shared" si="138"/>
        <v>0.86054167828609462</v>
      </c>
      <c r="P871">
        <f t="shared" si="139"/>
        <v>17.07127357916243</v>
      </c>
    </row>
    <row r="872" spans="3:16" x14ac:dyDescent="0.25">
      <c r="C872">
        <v>0.84399999999999997</v>
      </c>
      <c r="D872">
        <f t="shared" si="130"/>
        <v>-5.1353758535935867</v>
      </c>
      <c r="E872">
        <f t="shared" si="131"/>
        <v>11.240973827322591</v>
      </c>
      <c r="F872">
        <f t="shared" si="134"/>
        <v>1</v>
      </c>
      <c r="G872">
        <f t="shared" si="135"/>
        <v>0.95639738845492117</v>
      </c>
      <c r="H872">
        <f t="shared" si="136"/>
        <v>10.993174642307237</v>
      </c>
      <c r="K872">
        <v>0.84399999999999997</v>
      </c>
      <c r="L872">
        <f t="shared" si="132"/>
        <v>-0.8793758535935865</v>
      </c>
      <c r="M872">
        <f t="shared" si="133"/>
        <v>18.390403646128767</v>
      </c>
      <c r="N872">
        <f t="shared" si="137"/>
        <v>1</v>
      </c>
      <c r="O872">
        <f t="shared" si="138"/>
        <v>0.857545078168374</v>
      </c>
      <c r="P872">
        <f t="shared" si="139"/>
        <v>17.030199710340746</v>
      </c>
    </row>
    <row r="873" spans="3:16" x14ac:dyDescent="0.25">
      <c r="C873">
        <v>0.84499999999999997</v>
      </c>
      <c r="D873">
        <f t="shared" si="130"/>
        <v>-5.0981832733355077</v>
      </c>
      <c r="E873">
        <f t="shared" si="131"/>
        <v>11.233540815168178</v>
      </c>
      <c r="F873">
        <f t="shared" si="134"/>
        <v>1</v>
      </c>
      <c r="G873">
        <f t="shared" si="135"/>
        <v>0.95425359215619698</v>
      </c>
      <c r="H873">
        <f t="shared" si="136"/>
        <v>10.97358594323183</v>
      </c>
      <c r="K873">
        <v>0.84499999999999997</v>
      </c>
      <c r="L873">
        <f t="shared" si="132"/>
        <v>-0.81818327333550656</v>
      </c>
      <c r="M873">
        <f t="shared" si="133"/>
        <v>18.378174185584164</v>
      </c>
      <c r="N873">
        <f t="shared" si="137"/>
        <v>1</v>
      </c>
      <c r="O873">
        <f t="shared" si="138"/>
        <v>0.8545166247548992</v>
      </c>
      <c r="P873">
        <f t="shared" si="139"/>
        <v>16.988796789567047</v>
      </c>
    </row>
    <row r="874" spans="3:16" x14ac:dyDescent="0.25">
      <c r="C874">
        <v>0.84599999999999997</v>
      </c>
      <c r="D874">
        <f t="shared" si="130"/>
        <v>-5.0609906930774287</v>
      </c>
      <c r="E874">
        <f t="shared" si="131"/>
        <v>11.226107803013766</v>
      </c>
      <c r="F874">
        <f t="shared" si="134"/>
        <v>1</v>
      </c>
      <c r="G874">
        <f t="shared" si="135"/>
        <v>0.9520583512614551</v>
      </c>
      <c r="H874">
        <f t="shared" si="136"/>
        <v>10.953703771973329</v>
      </c>
      <c r="K874">
        <v>0.84599999999999997</v>
      </c>
      <c r="L874">
        <f t="shared" si="132"/>
        <v>-0.75699069307743372</v>
      </c>
      <c r="M874">
        <f t="shared" si="133"/>
        <v>18.365944725039562</v>
      </c>
      <c r="N874">
        <f t="shared" si="137"/>
        <v>1</v>
      </c>
      <c r="O874">
        <f t="shared" si="138"/>
        <v>0.85145631804567079</v>
      </c>
      <c r="P874">
        <f t="shared" si="139"/>
        <v>16.94706359272276</v>
      </c>
    </row>
    <row r="875" spans="3:16" x14ac:dyDescent="0.25">
      <c r="C875">
        <v>0.84699999999999998</v>
      </c>
      <c r="D875">
        <f t="shared" si="130"/>
        <v>-5.0237981128193532</v>
      </c>
      <c r="E875">
        <f t="shared" si="131"/>
        <v>11.218674790859353</v>
      </c>
      <c r="F875">
        <f t="shared" si="134"/>
        <v>1</v>
      </c>
      <c r="G875">
        <f t="shared" si="135"/>
        <v>0.94981166577069576</v>
      </c>
      <c r="H875">
        <f t="shared" si="136"/>
        <v>10.933527672504077</v>
      </c>
      <c r="K875">
        <v>0.84699999999999998</v>
      </c>
      <c r="L875">
        <f t="shared" si="132"/>
        <v>-0.69579811281935378</v>
      </c>
      <c r="M875">
        <f t="shared" si="133"/>
        <v>18.353715264494959</v>
      </c>
      <c r="N875">
        <f t="shared" si="137"/>
        <v>1</v>
      </c>
      <c r="O875">
        <f t="shared" si="138"/>
        <v>0.84836415804068788</v>
      </c>
      <c r="P875">
        <f t="shared" si="139"/>
        <v>16.904998862600316</v>
      </c>
    </row>
    <row r="876" spans="3:16" x14ac:dyDescent="0.25">
      <c r="C876">
        <v>0.84799999999999998</v>
      </c>
      <c r="D876">
        <f t="shared" si="130"/>
        <v>-4.9866055325612741</v>
      </c>
      <c r="E876">
        <f t="shared" si="131"/>
        <v>11.211241778704942</v>
      </c>
      <c r="F876">
        <f t="shared" si="134"/>
        <v>1</v>
      </c>
      <c r="G876">
        <f t="shared" si="135"/>
        <v>0.94751353568391838</v>
      </c>
      <c r="H876">
        <f t="shared" si="136"/>
        <v>10.913057160136189</v>
      </c>
      <c r="K876">
        <v>0.84799999999999998</v>
      </c>
      <c r="L876">
        <f t="shared" si="132"/>
        <v>-0.63460553256127383</v>
      </c>
      <c r="M876">
        <f t="shared" si="133"/>
        <v>18.341485803950356</v>
      </c>
      <c r="N876">
        <f t="shared" si="137"/>
        <v>1</v>
      </c>
      <c r="O876">
        <f t="shared" si="138"/>
        <v>0.84524014473995102</v>
      </c>
      <c r="P876">
        <f t="shared" si="139"/>
        <v>16.862601308247012</v>
      </c>
    </row>
    <row r="877" spans="3:16" x14ac:dyDescent="0.25">
      <c r="C877">
        <v>0.84899999999999998</v>
      </c>
      <c r="D877">
        <f t="shared" si="130"/>
        <v>-4.9494129523031951</v>
      </c>
      <c r="E877">
        <f t="shared" si="131"/>
        <v>11.203808766550528</v>
      </c>
      <c r="F877">
        <f t="shared" si="134"/>
        <v>1</v>
      </c>
      <c r="G877">
        <f t="shared" si="135"/>
        <v>0.94516396100112343</v>
      </c>
      <c r="H877">
        <f t="shared" si="136"/>
        <v>10.892291721125201</v>
      </c>
      <c r="K877">
        <v>0.84899999999999998</v>
      </c>
      <c r="L877">
        <f t="shared" si="132"/>
        <v>-0.57341295230319389</v>
      </c>
      <c r="M877">
        <f t="shared" si="133"/>
        <v>18.329256343405753</v>
      </c>
      <c r="N877">
        <f t="shared" si="137"/>
        <v>1</v>
      </c>
      <c r="O877">
        <f t="shared" si="138"/>
        <v>0.8420842781434601</v>
      </c>
      <c r="P877">
        <f t="shared" si="139"/>
        <v>16.819869604288044</v>
      </c>
    </row>
    <row r="878" spans="3:16" x14ac:dyDescent="0.25">
      <c r="C878">
        <v>0.85</v>
      </c>
      <c r="D878">
        <f t="shared" si="130"/>
        <v>-4.9122203720451161</v>
      </c>
      <c r="E878">
        <f t="shared" si="131"/>
        <v>11.196375754396117</v>
      </c>
      <c r="F878">
        <f t="shared" si="134"/>
        <v>1</v>
      </c>
      <c r="G878">
        <f t="shared" si="135"/>
        <v>0.94276294172231068</v>
      </c>
      <c r="H878">
        <f t="shared" si="136"/>
        <v>10.871230812257251</v>
      </c>
      <c r="K878">
        <v>0.85</v>
      </c>
      <c r="L878">
        <f t="shared" si="132"/>
        <v>-0.51222037204511395</v>
      </c>
      <c r="M878">
        <f t="shared" si="133"/>
        <v>18.31702688286115</v>
      </c>
      <c r="N878">
        <f t="shared" si="137"/>
        <v>1</v>
      </c>
      <c r="O878">
        <f t="shared" si="138"/>
        <v>0.83889655825121512</v>
      </c>
      <c r="P878">
        <f t="shared" si="139"/>
        <v>16.776802390228113</v>
      </c>
    </row>
    <row r="879" spans="3:16" x14ac:dyDescent="0.25">
      <c r="C879">
        <v>0.85099999999999998</v>
      </c>
      <c r="D879">
        <f t="shared" si="130"/>
        <v>-4.875027791787037</v>
      </c>
      <c r="E879">
        <f t="shared" si="131"/>
        <v>11.188942742241704</v>
      </c>
      <c r="F879">
        <f t="shared" si="134"/>
        <v>1</v>
      </c>
      <c r="G879">
        <f t="shared" si="135"/>
        <v>0.94031047784748034</v>
      </c>
      <c r="H879">
        <f t="shared" si="136"/>
        <v>10.849873860419255</v>
      </c>
      <c r="K879">
        <v>0.85099999999999998</v>
      </c>
      <c r="L879">
        <f t="shared" si="132"/>
        <v>-0.45102779178704111</v>
      </c>
      <c r="M879">
        <f t="shared" si="133"/>
        <v>18.304797422316547</v>
      </c>
      <c r="N879">
        <f t="shared" si="137"/>
        <v>1</v>
      </c>
      <c r="O879">
        <f t="shared" si="138"/>
        <v>0.83567698506321653</v>
      </c>
      <c r="P879">
        <f t="shared" si="139"/>
        <v>16.733398269730728</v>
      </c>
    </row>
    <row r="880" spans="3:16" x14ac:dyDescent="0.25">
      <c r="C880">
        <v>0.85199999999999998</v>
      </c>
      <c r="D880">
        <f t="shared" si="130"/>
        <v>-4.837835211528958</v>
      </c>
      <c r="E880">
        <f t="shared" si="131"/>
        <v>11.18150973008729</v>
      </c>
      <c r="F880">
        <f t="shared" si="134"/>
        <v>1</v>
      </c>
      <c r="G880">
        <f t="shared" si="135"/>
        <v>0.9378065693766322</v>
      </c>
      <c r="H880">
        <f t="shared" si="136"/>
        <v>10.828220262151605</v>
      </c>
      <c r="K880">
        <v>0.85199999999999998</v>
      </c>
      <c r="L880">
        <f t="shared" si="132"/>
        <v>-0.38983521152896117</v>
      </c>
      <c r="M880">
        <f t="shared" si="133"/>
        <v>18.292567961771944</v>
      </c>
      <c r="N880">
        <f t="shared" si="137"/>
        <v>1</v>
      </c>
      <c r="O880">
        <f t="shared" si="138"/>
        <v>0.83242555857946354</v>
      </c>
      <c r="P880">
        <f t="shared" si="139"/>
        <v>16.689655809874473</v>
      </c>
    </row>
    <row r="881" spans="3:16" x14ac:dyDescent="0.25">
      <c r="C881">
        <v>0.85299999999999998</v>
      </c>
      <c r="D881">
        <f t="shared" si="130"/>
        <v>-4.800642631270879</v>
      </c>
      <c r="E881">
        <f t="shared" si="131"/>
        <v>11.174076717932879</v>
      </c>
      <c r="F881">
        <f t="shared" si="134"/>
        <v>1</v>
      </c>
      <c r="G881">
        <f t="shared" si="135"/>
        <v>0.93525121630976649</v>
      </c>
      <c r="H881">
        <f t="shared" si="136"/>
        <v>10.806269383182794</v>
      </c>
      <c r="K881">
        <v>0.85299999999999998</v>
      </c>
      <c r="L881">
        <f t="shared" si="132"/>
        <v>-0.32864263127088122</v>
      </c>
      <c r="M881">
        <f t="shared" si="133"/>
        <v>18.280338501227337</v>
      </c>
      <c r="N881">
        <f t="shared" si="137"/>
        <v>1</v>
      </c>
      <c r="O881">
        <f t="shared" si="138"/>
        <v>0.8291422787999565</v>
      </c>
      <c r="P881">
        <f t="shared" si="139"/>
        <v>16.645573540385374</v>
      </c>
    </row>
    <row r="882" spans="3:16" x14ac:dyDescent="0.25">
      <c r="C882">
        <v>0.85399999999999998</v>
      </c>
      <c r="D882">
        <f t="shared" si="130"/>
        <v>-4.7634500510127999</v>
      </c>
      <c r="E882">
        <f t="shared" si="131"/>
        <v>11.166643705778466</v>
      </c>
      <c r="F882">
        <f t="shared" si="134"/>
        <v>1</v>
      </c>
      <c r="G882">
        <f t="shared" si="135"/>
        <v>0.93264441864688297</v>
      </c>
      <c r="H882">
        <f t="shared" si="136"/>
        <v>10.784020557945393</v>
      </c>
      <c r="K882">
        <v>0.85399999999999998</v>
      </c>
      <c r="L882">
        <f t="shared" si="132"/>
        <v>-0.26745005101280128</v>
      </c>
      <c r="M882">
        <f t="shared" si="133"/>
        <v>18.268109040682734</v>
      </c>
      <c r="N882">
        <f t="shared" si="137"/>
        <v>1</v>
      </c>
      <c r="O882">
        <f t="shared" si="138"/>
        <v>0.82582714572469529</v>
      </c>
      <c r="P882">
        <f t="shared" si="139"/>
        <v>16.601149952844477</v>
      </c>
    </row>
    <row r="883" spans="3:16" x14ac:dyDescent="0.25">
      <c r="C883">
        <v>0.85499999999999998</v>
      </c>
      <c r="D883">
        <f t="shared" si="130"/>
        <v>-4.7262574707547245</v>
      </c>
      <c r="E883">
        <f t="shared" si="131"/>
        <v>11.159210693624054</v>
      </c>
      <c r="F883">
        <f t="shared" si="134"/>
        <v>1</v>
      </c>
      <c r="G883">
        <f t="shared" si="135"/>
        <v>0.92998617638798209</v>
      </c>
      <c r="H883">
        <f t="shared" si="136"/>
        <v>10.761473089072812</v>
      </c>
      <c r="K883">
        <v>0.85499999999999998</v>
      </c>
      <c r="L883">
        <f t="shared" si="132"/>
        <v>-0.20625747075472134</v>
      </c>
      <c r="M883">
        <f t="shared" si="133"/>
        <v>18.255879580138132</v>
      </c>
      <c r="N883">
        <f t="shared" si="137"/>
        <v>1</v>
      </c>
      <c r="O883">
        <f t="shared" si="138"/>
        <v>0.82248015935368013</v>
      </c>
      <c r="P883">
        <f t="shared" si="139"/>
        <v>16.556383499869728</v>
      </c>
    </row>
    <row r="884" spans="3:16" x14ac:dyDescent="0.25">
      <c r="C884">
        <v>0.85599999999999998</v>
      </c>
      <c r="D884">
        <f t="shared" si="130"/>
        <v>-4.6890648904966454</v>
      </c>
      <c r="E884">
        <f t="shared" si="131"/>
        <v>11.151777681469641</v>
      </c>
      <c r="F884">
        <f t="shared" si="134"/>
        <v>1</v>
      </c>
      <c r="G884">
        <f t="shared" si="135"/>
        <v>0.92727648953306319</v>
      </c>
      <c r="H884">
        <f t="shared" si="136"/>
        <v>10.738626246876136</v>
      </c>
      <c r="K884">
        <v>0.85599999999999998</v>
      </c>
      <c r="L884">
        <f t="shared" si="132"/>
        <v>-0.1450648904966414</v>
      </c>
      <c r="M884">
        <f t="shared" si="133"/>
        <v>18.243650119593525</v>
      </c>
      <c r="N884">
        <f t="shared" si="137"/>
        <v>1</v>
      </c>
      <c r="O884">
        <f t="shared" si="138"/>
        <v>0.81910131968691102</v>
      </c>
      <c r="P884">
        <f t="shared" si="139"/>
        <v>16.511272594271212</v>
      </c>
    </row>
    <row r="885" spans="3:16" x14ac:dyDescent="0.25">
      <c r="C885">
        <v>0.85699999999999998</v>
      </c>
      <c r="D885">
        <f t="shared" si="130"/>
        <v>-4.6518723102385664</v>
      </c>
      <c r="E885">
        <f t="shared" si="131"/>
        <v>11.144344669315229</v>
      </c>
      <c r="F885">
        <f t="shared" si="134"/>
        <v>1</v>
      </c>
      <c r="G885">
        <f t="shared" si="135"/>
        <v>0.92451535808212659</v>
      </c>
      <c r="H885">
        <f t="shared" si="136"/>
        <v>10.715479268800465</v>
      </c>
      <c r="K885">
        <v>0.85699999999999998</v>
      </c>
      <c r="L885">
        <f t="shared" si="132"/>
        <v>-8.3872310238568559E-2</v>
      </c>
      <c r="M885">
        <f t="shared" si="133"/>
        <v>18.231420659048926</v>
      </c>
      <c r="N885">
        <f t="shared" si="137"/>
        <v>1</v>
      </c>
      <c r="O885">
        <f t="shared" si="138"/>
        <v>0.81569062672438819</v>
      </c>
      <c r="P885">
        <f t="shared" si="139"/>
        <v>16.465815608178737</v>
      </c>
    </row>
    <row r="886" spans="3:16" x14ac:dyDescent="0.25">
      <c r="C886">
        <v>0.85799999999999998</v>
      </c>
      <c r="D886">
        <f t="shared" si="130"/>
        <v>-4.6146797299804874</v>
      </c>
      <c r="E886">
        <f t="shared" si="131"/>
        <v>11.136911657160816</v>
      </c>
      <c r="F886">
        <f t="shared" si="134"/>
        <v>1</v>
      </c>
      <c r="G886">
        <f t="shared" si="135"/>
        <v>0.92170278203517242</v>
      </c>
      <c r="H886">
        <f t="shared" si="136"/>
        <v>10.692031358859955</v>
      </c>
      <c r="K886">
        <v>0.85799999999999998</v>
      </c>
      <c r="L886">
        <f t="shared" si="132"/>
        <v>-2.2679729980488617E-2</v>
      </c>
      <c r="M886">
        <f t="shared" si="133"/>
        <v>18.219191198504319</v>
      </c>
      <c r="N886">
        <f t="shared" si="137"/>
        <v>1</v>
      </c>
      <c r="O886">
        <f t="shared" si="138"/>
        <v>0.81224808046611097</v>
      </c>
      <c r="P886">
        <f t="shared" si="139"/>
        <v>16.420010872140686</v>
      </c>
    </row>
    <row r="887" spans="3:16" x14ac:dyDescent="0.25">
      <c r="C887">
        <v>0.85899999999999999</v>
      </c>
      <c r="D887">
        <f t="shared" si="130"/>
        <v>-4.5774871497224083</v>
      </c>
      <c r="E887">
        <f t="shared" si="131"/>
        <v>11.129478645006403</v>
      </c>
      <c r="F887">
        <f t="shared" si="134"/>
        <v>1</v>
      </c>
      <c r="G887">
        <f t="shared" si="135"/>
        <v>0.91883876139220044</v>
      </c>
      <c r="H887">
        <f t="shared" si="136"/>
        <v>10.668281687050905</v>
      </c>
      <c r="K887">
        <v>0.85899999999999999</v>
      </c>
      <c r="L887">
        <f t="shared" si="132"/>
        <v>3.8512850277591326E-2</v>
      </c>
      <c r="M887">
        <f t="shared" si="133"/>
        <v>18.206961737959716</v>
      </c>
      <c r="N887">
        <f t="shared" si="137"/>
        <v>1</v>
      </c>
      <c r="O887">
        <f t="shared" si="138"/>
        <v>0.80877368091207957</v>
      </c>
      <c r="P887">
        <f t="shared" si="139"/>
        <v>16.373856674193139</v>
      </c>
    </row>
    <row r="888" spans="3:16" x14ac:dyDescent="0.25">
      <c r="C888">
        <v>0.86</v>
      </c>
      <c r="D888">
        <f t="shared" si="130"/>
        <v>-4.5402945694643293</v>
      </c>
      <c r="E888">
        <f t="shared" si="131"/>
        <v>11.122045632851991</v>
      </c>
      <c r="F888">
        <f t="shared" si="134"/>
        <v>1</v>
      </c>
      <c r="G888">
        <f t="shared" si="135"/>
        <v>0.91592329615321078</v>
      </c>
      <c r="H888">
        <f t="shared" si="136"/>
        <v>10.644229388742072</v>
      </c>
      <c r="K888">
        <v>0.86</v>
      </c>
      <c r="L888">
        <f t="shared" si="132"/>
        <v>9.9705430535671269E-2</v>
      </c>
      <c r="M888">
        <f t="shared" si="133"/>
        <v>18.194732277415113</v>
      </c>
      <c r="N888">
        <f t="shared" si="137"/>
        <v>1</v>
      </c>
      <c r="O888">
        <f t="shared" si="138"/>
        <v>0.80526742806229423</v>
      </c>
      <c r="P888">
        <f t="shared" si="139"/>
        <v>16.327351258897973</v>
      </c>
    </row>
    <row r="889" spans="3:16" x14ac:dyDescent="0.25">
      <c r="C889">
        <v>0.86099999999999999</v>
      </c>
      <c r="D889">
        <f t="shared" si="130"/>
        <v>-4.5031019892062503</v>
      </c>
      <c r="E889">
        <f t="shared" si="131"/>
        <v>11.114612620697578</v>
      </c>
      <c r="F889">
        <f t="shared" si="134"/>
        <v>1</v>
      </c>
      <c r="G889">
        <f t="shared" si="135"/>
        <v>0.91295638631820342</v>
      </c>
      <c r="H889">
        <f t="shared" si="136"/>
        <v>10.619873564041427</v>
      </c>
      <c r="K889">
        <v>0.86099999999999999</v>
      </c>
      <c r="L889">
        <f t="shared" si="132"/>
        <v>0.16089801079375121</v>
      </c>
      <c r="M889">
        <f t="shared" si="133"/>
        <v>18.18250281687051</v>
      </c>
      <c r="N889">
        <f t="shared" si="137"/>
        <v>1</v>
      </c>
      <c r="O889">
        <f t="shared" si="138"/>
        <v>0.80172932191675483</v>
      </c>
      <c r="P889">
        <f t="shared" si="139"/>
        <v>16.280492826348869</v>
      </c>
    </row>
    <row r="890" spans="3:16" x14ac:dyDescent="0.25">
      <c r="C890">
        <v>0.86199999999999999</v>
      </c>
      <c r="D890">
        <f t="shared" si="130"/>
        <v>-4.4659094089481712</v>
      </c>
      <c r="E890">
        <f t="shared" si="131"/>
        <v>11.107179608543165</v>
      </c>
      <c r="F890">
        <f t="shared" si="134"/>
        <v>1</v>
      </c>
      <c r="G890">
        <f t="shared" si="135"/>
        <v>0.90993803188717837</v>
      </c>
      <c r="H890">
        <f t="shared" si="136"/>
        <v>10.5952132771385</v>
      </c>
      <c r="K890">
        <v>0.86199999999999999</v>
      </c>
      <c r="L890">
        <f t="shared" si="132"/>
        <v>0.22209059105182405</v>
      </c>
      <c r="M890">
        <f t="shared" si="133"/>
        <v>18.170273356325907</v>
      </c>
      <c r="N890">
        <f t="shared" si="137"/>
        <v>1</v>
      </c>
      <c r="O890">
        <f t="shared" si="138"/>
        <v>0.79815936247546182</v>
      </c>
      <c r="P890">
        <f t="shared" si="139"/>
        <v>16.233279531143896</v>
      </c>
    </row>
    <row r="891" spans="3:16" x14ac:dyDescent="0.25">
      <c r="C891">
        <v>0.86299999999999999</v>
      </c>
      <c r="D891">
        <f t="shared" si="130"/>
        <v>-4.4287168286900922</v>
      </c>
      <c r="E891">
        <f t="shared" si="131"/>
        <v>11.099746596388753</v>
      </c>
      <c r="F891">
        <f t="shared" si="134"/>
        <v>1</v>
      </c>
      <c r="G891">
        <f t="shared" si="135"/>
        <v>0.90686823286013563</v>
      </c>
      <c r="H891">
        <f t="shared" si="136"/>
        <v>10.570247555621414</v>
      </c>
      <c r="K891">
        <v>0.86299999999999999</v>
      </c>
      <c r="L891">
        <f t="shared" si="132"/>
        <v>0.28328317130990399</v>
      </c>
      <c r="M891">
        <f t="shared" si="133"/>
        <v>18.158043895781304</v>
      </c>
      <c r="N891">
        <f t="shared" si="137"/>
        <v>1</v>
      </c>
      <c r="O891">
        <f t="shared" si="138"/>
        <v>0.79455754973841441</v>
      </c>
      <c r="P891">
        <f t="shared" si="139"/>
        <v>16.185709481323382</v>
      </c>
    </row>
    <row r="892" spans="3:16" x14ac:dyDescent="0.25">
      <c r="C892">
        <v>0.86399999999999999</v>
      </c>
      <c r="D892">
        <f t="shared" si="130"/>
        <v>-4.3915242484320132</v>
      </c>
      <c r="E892">
        <f t="shared" si="131"/>
        <v>11.09231358423434</v>
      </c>
      <c r="F892">
        <f t="shared" si="134"/>
        <v>1</v>
      </c>
      <c r="G892">
        <f t="shared" si="135"/>
        <v>0.90374698923707508</v>
      </c>
      <c r="H892">
        <f t="shared" si="136"/>
        <v>10.544975389767675</v>
      </c>
      <c r="K892">
        <v>0.86399999999999999</v>
      </c>
      <c r="L892">
        <f t="shared" si="132"/>
        <v>0.34447575156798393</v>
      </c>
      <c r="M892">
        <f t="shared" si="133"/>
        <v>18.145814435236701</v>
      </c>
      <c r="N892">
        <f t="shared" si="137"/>
        <v>1</v>
      </c>
      <c r="O892">
        <f t="shared" si="138"/>
        <v>0.79092388370561295</v>
      </c>
      <c r="P892">
        <f t="shared" si="139"/>
        <v>16.137780737271701</v>
      </c>
    </row>
    <row r="893" spans="3:16" x14ac:dyDescent="0.25">
      <c r="C893">
        <v>0.86499999999999999</v>
      </c>
      <c r="D893">
        <f t="shared" si="130"/>
        <v>-4.3543316681739341</v>
      </c>
      <c r="E893">
        <f t="shared" si="131"/>
        <v>11.084880572079928</v>
      </c>
      <c r="F893">
        <f t="shared" si="134"/>
        <v>1</v>
      </c>
      <c r="G893">
        <f t="shared" si="135"/>
        <v>0.90057430101799696</v>
      </c>
      <c r="H893">
        <f t="shared" si="136"/>
        <v>10.519395731807759</v>
      </c>
      <c r="K893">
        <v>0.86499999999999999</v>
      </c>
      <c r="L893">
        <f t="shared" si="132"/>
        <v>0.40566833182606388</v>
      </c>
      <c r="M893">
        <f t="shared" si="133"/>
        <v>18.133584974692099</v>
      </c>
      <c r="N893">
        <f t="shared" si="137"/>
        <v>1</v>
      </c>
      <c r="O893">
        <f t="shared" si="138"/>
        <v>0.78725836437705743</v>
      </c>
      <c r="P893">
        <f t="shared" si="139"/>
        <v>16.089491310581476</v>
      </c>
    </row>
    <row r="894" spans="3:16" x14ac:dyDescent="0.25">
      <c r="C894">
        <v>0.86599999999999999</v>
      </c>
      <c r="D894">
        <f t="shared" si="130"/>
        <v>-4.3171390879158622</v>
      </c>
      <c r="E894">
        <f t="shared" si="131"/>
        <v>11.077447559925517</v>
      </c>
      <c r="F894">
        <f t="shared" si="134"/>
        <v>1</v>
      </c>
      <c r="G894">
        <f t="shared" si="135"/>
        <v>0.8973501682029017</v>
      </c>
      <c r="H894">
        <f t="shared" si="136"/>
        <v>10.493507495160426</v>
      </c>
      <c r="K894">
        <v>0.86599999999999999</v>
      </c>
      <c r="L894">
        <f t="shared" si="132"/>
        <v>0.46686091208414382</v>
      </c>
      <c r="M894">
        <f t="shared" si="133"/>
        <v>18.121355514147496</v>
      </c>
      <c r="N894">
        <f t="shared" si="137"/>
        <v>1</v>
      </c>
      <c r="O894">
        <f t="shared" si="138"/>
        <v>0.78356099175274774</v>
      </c>
      <c r="P894">
        <f t="shared" si="139"/>
        <v>16.040839162878797</v>
      </c>
    </row>
    <row r="895" spans="3:16" x14ac:dyDescent="0.25">
      <c r="C895">
        <v>0.86699999999999999</v>
      </c>
      <c r="D895">
        <f t="shared" si="130"/>
        <v>-4.2799465076577832</v>
      </c>
      <c r="E895">
        <f t="shared" si="131"/>
        <v>11.070014547771104</v>
      </c>
      <c r="F895">
        <f t="shared" si="134"/>
        <v>1</v>
      </c>
      <c r="G895">
        <f t="shared" si="135"/>
        <v>0.89407459079178819</v>
      </c>
      <c r="H895">
        <f t="shared" si="136"/>
        <v>10.467309553638685</v>
      </c>
      <c r="K895">
        <v>0.86699999999999999</v>
      </c>
      <c r="L895">
        <f t="shared" si="132"/>
        <v>0.52805349234221666</v>
      </c>
      <c r="M895">
        <f t="shared" si="133"/>
        <v>18.109126053602893</v>
      </c>
      <c r="N895">
        <f t="shared" si="137"/>
        <v>1</v>
      </c>
      <c r="O895">
        <f t="shared" si="138"/>
        <v>0.77983176583268454</v>
      </c>
      <c r="P895">
        <f t="shared" si="139"/>
        <v>15.991822204607711</v>
      </c>
    </row>
    <row r="896" spans="3:16" x14ac:dyDescent="0.25">
      <c r="C896">
        <v>0.86799999999999999</v>
      </c>
      <c r="D896">
        <f t="shared" si="130"/>
        <v>-4.2427539273997041</v>
      </c>
      <c r="E896">
        <f t="shared" si="131"/>
        <v>11.06258153561669</v>
      </c>
      <c r="F896">
        <f t="shared" si="134"/>
        <v>1</v>
      </c>
      <c r="G896">
        <f t="shared" si="135"/>
        <v>0.890747568784657</v>
      </c>
      <c r="H896">
        <f t="shared" si="136"/>
        <v>10.44080074062534</v>
      </c>
      <c r="K896">
        <v>0.86799999999999999</v>
      </c>
      <c r="L896">
        <f t="shared" si="132"/>
        <v>0.5892460726002966</v>
      </c>
      <c r="M896">
        <f t="shared" si="133"/>
        <v>18.09689659305829</v>
      </c>
      <c r="N896">
        <f t="shared" si="137"/>
        <v>1</v>
      </c>
      <c r="O896">
        <f t="shared" si="138"/>
        <v>0.77607068661686696</v>
      </c>
      <c r="P896">
        <f t="shared" si="139"/>
        <v>15.942438293772446</v>
      </c>
    </row>
    <row r="897" spans="3:16" x14ac:dyDescent="0.25">
      <c r="C897">
        <v>0.86899999999999999</v>
      </c>
      <c r="D897">
        <f t="shared" si="130"/>
        <v>-4.2055613471416251</v>
      </c>
      <c r="E897">
        <f t="shared" si="131"/>
        <v>11.055148523462279</v>
      </c>
      <c r="F897">
        <f t="shared" si="134"/>
        <v>1</v>
      </c>
      <c r="G897">
        <f t="shared" si="135"/>
        <v>0.887369102181508</v>
      </c>
      <c r="H897">
        <f t="shared" si="136"/>
        <v>10.413979848216798</v>
      </c>
      <c r="K897">
        <v>0.86899999999999999</v>
      </c>
      <c r="L897">
        <f t="shared" si="132"/>
        <v>0.65043865285837654</v>
      </c>
      <c r="M897">
        <f t="shared" si="133"/>
        <v>18.084667132513687</v>
      </c>
      <c r="N897">
        <f t="shared" si="137"/>
        <v>1</v>
      </c>
      <c r="O897">
        <f t="shared" si="138"/>
        <v>0.7722777541052952</v>
      </c>
      <c r="P897">
        <f t="shared" si="139"/>
        <v>15.892685234635559</v>
      </c>
    </row>
    <row r="898" spans="3:16" x14ac:dyDescent="0.25">
      <c r="C898">
        <v>0.87</v>
      </c>
      <c r="D898">
        <f t="shared" si="130"/>
        <v>-4.1683687668835461</v>
      </c>
      <c r="E898">
        <f t="shared" si="131"/>
        <v>11.047715511307866</v>
      </c>
      <c r="F898">
        <f t="shared" si="134"/>
        <v>1</v>
      </c>
      <c r="G898">
        <f t="shared" si="135"/>
        <v>0.88393919098234142</v>
      </c>
      <c r="H898">
        <f t="shared" si="136"/>
        <v>10.386845626333988</v>
      </c>
      <c r="K898">
        <v>0.87</v>
      </c>
      <c r="L898">
        <f t="shared" si="132"/>
        <v>0.71163123311645649</v>
      </c>
      <c r="M898">
        <f t="shared" si="133"/>
        <v>18.072437671969084</v>
      </c>
      <c r="N898">
        <f t="shared" si="137"/>
        <v>1</v>
      </c>
      <c r="O898">
        <f t="shared" si="138"/>
        <v>0.7684529682979695</v>
      </c>
      <c r="P898">
        <f t="shared" si="139"/>
        <v>15.842560776370192</v>
      </c>
    </row>
    <row r="899" spans="3:16" x14ac:dyDescent="0.25">
      <c r="C899">
        <v>0.871</v>
      </c>
      <c r="D899">
        <f t="shared" si="130"/>
        <v>-4.131176186625467</v>
      </c>
      <c r="E899">
        <f t="shared" si="131"/>
        <v>11.040282499153452</v>
      </c>
      <c r="F899">
        <f t="shared" si="134"/>
        <v>1</v>
      </c>
      <c r="G899">
        <f t="shared" si="135"/>
        <v>0.88045783518715703</v>
      </c>
      <c r="H899">
        <f t="shared" si="136"/>
        <v>10.359396781799028</v>
      </c>
      <c r="K899">
        <v>0.871</v>
      </c>
      <c r="L899">
        <f t="shared" si="132"/>
        <v>0.77282381337453643</v>
      </c>
      <c r="M899">
        <f t="shared" si="133"/>
        <v>18.060208211424481</v>
      </c>
      <c r="N899">
        <f t="shared" si="137"/>
        <v>1</v>
      </c>
      <c r="O899">
        <f t="shared" si="138"/>
        <v>0.76459632919488973</v>
      </c>
      <c r="P899">
        <f t="shared" si="139"/>
        <v>15.792062611664468</v>
      </c>
    </row>
    <row r="900" spans="3:16" x14ac:dyDescent="0.25">
      <c r="C900">
        <v>0.872</v>
      </c>
      <c r="D900">
        <f t="shared" si="130"/>
        <v>-4.093983606367388</v>
      </c>
      <c r="E900">
        <f t="shared" si="131"/>
        <v>11.032849486999041</v>
      </c>
      <c r="F900">
        <f t="shared" si="134"/>
        <v>1</v>
      </c>
      <c r="G900">
        <f t="shared" si="135"/>
        <v>0.87692503479595507</v>
      </c>
      <c r="H900">
        <f t="shared" si="136"/>
        <v>10.331631977376238</v>
      </c>
      <c r="K900">
        <v>0.872</v>
      </c>
      <c r="L900">
        <f t="shared" si="132"/>
        <v>0.83401639363260927</v>
      </c>
      <c r="M900">
        <f t="shared" si="133"/>
        <v>18.047978750879878</v>
      </c>
      <c r="N900">
        <f t="shared" si="137"/>
        <v>1</v>
      </c>
      <c r="O900">
        <f t="shared" si="138"/>
        <v>0.76070783679605636</v>
      </c>
      <c r="P900">
        <f t="shared" si="139"/>
        <v>15.741188375276064</v>
      </c>
    </row>
    <row r="901" spans="3:16" x14ac:dyDescent="0.25">
      <c r="C901">
        <v>0.873</v>
      </c>
      <c r="D901">
        <f t="shared" si="130"/>
        <v>-4.056791026109309</v>
      </c>
      <c r="E901">
        <f t="shared" si="131"/>
        <v>11.025416474844628</v>
      </c>
      <c r="F901">
        <f t="shared" si="134"/>
        <v>1</v>
      </c>
      <c r="G901">
        <f t="shared" si="135"/>
        <v>0.87334078980873531</v>
      </c>
      <c r="H901">
        <f t="shared" si="136"/>
        <v>10.303549830776058</v>
      </c>
      <c r="K901">
        <v>0.873</v>
      </c>
      <c r="L901">
        <f t="shared" si="132"/>
        <v>0.89520897389068921</v>
      </c>
      <c r="M901">
        <f t="shared" si="133"/>
        <v>18.035749290335275</v>
      </c>
      <c r="N901">
        <f t="shared" si="137"/>
        <v>1</v>
      </c>
      <c r="O901">
        <f t="shared" si="138"/>
        <v>0.75678749110146848</v>
      </c>
      <c r="P901">
        <f t="shared" si="139"/>
        <v>15.689935642534756</v>
      </c>
    </row>
    <row r="902" spans="3:16" x14ac:dyDescent="0.25">
      <c r="C902">
        <v>0.874</v>
      </c>
      <c r="D902">
        <f t="shared" si="130"/>
        <v>-4.0195984458512299</v>
      </c>
      <c r="E902">
        <f t="shared" si="131"/>
        <v>11.017983462690216</v>
      </c>
      <c r="F902">
        <f t="shared" si="134"/>
        <v>1</v>
      </c>
      <c r="G902">
        <f t="shared" si="135"/>
        <v>0.86970510022549785</v>
      </c>
      <c r="H902">
        <f t="shared" si="136"/>
        <v>10.275148913620342</v>
      </c>
      <c r="K902">
        <v>0.874</v>
      </c>
      <c r="L902">
        <f t="shared" si="132"/>
        <v>0.95640155414876915</v>
      </c>
      <c r="M902">
        <f t="shared" si="133"/>
        <v>18.023519829790668</v>
      </c>
      <c r="N902">
        <f t="shared" si="137"/>
        <v>1</v>
      </c>
      <c r="O902">
        <f t="shared" si="138"/>
        <v>0.75283529211112665</v>
      </c>
      <c r="P902">
        <f t="shared" si="139"/>
        <v>15.638301927790778</v>
      </c>
    </row>
    <row r="903" spans="3:16" x14ac:dyDescent="0.25">
      <c r="C903">
        <v>0.875</v>
      </c>
      <c r="D903">
        <f t="shared" si="130"/>
        <v>-3.9824058655931509</v>
      </c>
      <c r="E903">
        <f t="shared" si="131"/>
        <v>11.010550450535803</v>
      </c>
      <c r="F903">
        <f t="shared" si="134"/>
        <v>1</v>
      </c>
      <c r="G903">
        <f t="shared" si="135"/>
        <v>0.86601796604624282</v>
      </c>
      <c r="H903">
        <f t="shared" si="136"/>
        <v>10.246427750367364</v>
      </c>
      <c r="K903">
        <v>0.875</v>
      </c>
      <c r="L903">
        <f t="shared" si="132"/>
        <v>1.0175941344068491</v>
      </c>
      <c r="M903">
        <f t="shared" si="133"/>
        <v>18.011290369246066</v>
      </c>
      <c r="N903">
        <f t="shared" si="137"/>
        <v>1</v>
      </c>
      <c r="O903">
        <f t="shared" si="138"/>
        <v>0.74885123982503066</v>
      </c>
      <c r="P903">
        <f t="shared" si="139"/>
        <v>15.586284682806578</v>
      </c>
    </row>
    <row r="904" spans="3:16" x14ac:dyDescent="0.25">
      <c r="C904">
        <v>0.876</v>
      </c>
      <c r="D904">
        <f t="shared" si="130"/>
        <v>-3.9452132853350719</v>
      </c>
      <c r="E904">
        <f t="shared" si="131"/>
        <v>11.003117438381389</v>
      </c>
      <c r="F904">
        <f t="shared" si="134"/>
        <v>1</v>
      </c>
      <c r="G904">
        <f t="shared" si="135"/>
        <v>0.86227938727096998</v>
      </c>
      <c r="H904">
        <f t="shared" si="136"/>
        <v>10.217384817194873</v>
      </c>
      <c r="K904">
        <v>0.876</v>
      </c>
      <c r="L904">
        <f t="shared" si="132"/>
        <v>1.078786714664929</v>
      </c>
      <c r="M904">
        <f t="shared" si="133"/>
        <v>17.999060908701463</v>
      </c>
      <c r="N904">
        <f t="shared" si="137"/>
        <v>1</v>
      </c>
      <c r="O904">
        <f t="shared" si="138"/>
        <v>0.74483533424318082</v>
      </c>
      <c r="P904">
        <f t="shared" si="139"/>
        <v>15.533881295089484</v>
      </c>
    </row>
    <row r="905" spans="3:16" x14ac:dyDescent="0.25">
      <c r="C905">
        <v>0.877</v>
      </c>
      <c r="D905">
        <f t="shared" si="130"/>
        <v>-3.9080207050769928</v>
      </c>
      <c r="E905">
        <f t="shared" si="131"/>
        <v>10.995684426226978</v>
      </c>
      <c r="F905">
        <f t="shared" si="134"/>
        <v>1</v>
      </c>
      <c r="G905">
        <f t="shared" si="135"/>
        <v>0.85848936389967945</v>
      </c>
      <c r="H905">
        <f t="shared" si="136"/>
        <v>10.188018540839394</v>
      </c>
      <c r="K905">
        <v>0.877</v>
      </c>
      <c r="L905">
        <f t="shared" si="132"/>
        <v>1.1399792949230019</v>
      </c>
      <c r="M905">
        <f t="shared" si="133"/>
        <v>17.98683144815686</v>
      </c>
      <c r="N905">
        <f t="shared" si="137"/>
        <v>1</v>
      </c>
      <c r="O905">
        <f t="shared" si="138"/>
        <v>0.74078757536557727</v>
      </c>
      <c r="P905">
        <f t="shared" si="139"/>
        <v>15.481089086162747</v>
      </c>
    </row>
    <row r="906" spans="3:16" x14ac:dyDescent="0.25">
      <c r="C906">
        <v>0.878</v>
      </c>
      <c r="D906">
        <f t="shared" si="130"/>
        <v>-3.8708281248189138</v>
      </c>
      <c r="E906">
        <f t="shared" si="131"/>
        <v>10.988251414072565</v>
      </c>
      <c r="F906">
        <f t="shared" si="134"/>
        <v>1</v>
      </c>
      <c r="G906">
        <f t="shared" si="135"/>
        <v>0.85464789593237123</v>
      </c>
      <c r="H906">
        <f t="shared" si="136"/>
        <v>10.158327297389853</v>
      </c>
      <c r="K906">
        <v>0.878</v>
      </c>
      <c r="L906">
        <f t="shared" si="132"/>
        <v>1.2011718751810818</v>
      </c>
      <c r="M906">
        <f t="shared" si="133"/>
        <v>17.974601987612257</v>
      </c>
      <c r="N906">
        <f t="shared" si="137"/>
        <v>1</v>
      </c>
      <c r="O906">
        <f t="shared" si="138"/>
        <v>0.7367079631922191</v>
      </c>
      <c r="P906">
        <f t="shared" si="139"/>
        <v>15.427905309772111</v>
      </c>
    </row>
    <row r="907" spans="3:16" x14ac:dyDescent="0.25">
      <c r="C907">
        <v>0.879</v>
      </c>
      <c r="D907">
        <f t="shared" si="130"/>
        <v>-3.8336355445608348</v>
      </c>
      <c r="E907">
        <f t="shared" si="131"/>
        <v>10.980818401918151</v>
      </c>
      <c r="F907">
        <f t="shared" si="134"/>
        <v>1</v>
      </c>
      <c r="G907">
        <f t="shared" si="135"/>
        <v>0.85075498336904531</v>
      </c>
      <c r="H907">
        <f t="shared" si="136"/>
        <v>10.128309411033561</v>
      </c>
      <c r="K907">
        <v>0.879</v>
      </c>
      <c r="L907">
        <f t="shared" si="132"/>
        <v>1.2623644554391618</v>
      </c>
      <c r="M907">
        <f t="shared" si="133"/>
        <v>17.962372527067654</v>
      </c>
      <c r="N907">
        <f t="shared" si="137"/>
        <v>1</v>
      </c>
      <c r="O907">
        <f t="shared" si="138"/>
        <v>0.73259649772310709</v>
      </c>
      <c r="P907">
        <f t="shared" si="139"/>
        <v>15.374327150025135</v>
      </c>
    </row>
    <row r="908" spans="3:16" x14ac:dyDescent="0.25">
      <c r="C908">
        <v>0.88</v>
      </c>
      <c r="D908">
        <f t="shared" si="130"/>
        <v>-3.7964429643027557</v>
      </c>
      <c r="E908">
        <f t="shared" si="131"/>
        <v>10.97338538976374</v>
      </c>
      <c r="F908">
        <f t="shared" si="134"/>
        <v>1</v>
      </c>
      <c r="G908">
        <f t="shared" si="135"/>
        <v>0.84681062620970171</v>
      </c>
      <c r="H908">
        <f t="shared" si="136"/>
        <v>10.097963152752458</v>
      </c>
      <c r="K908">
        <v>0.88</v>
      </c>
      <c r="L908">
        <f t="shared" si="132"/>
        <v>1.3235570356972417</v>
      </c>
      <c r="M908">
        <f t="shared" si="133"/>
        <v>17.950143066523047</v>
      </c>
      <c r="N908">
        <f t="shared" si="137"/>
        <v>1</v>
      </c>
      <c r="O908">
        <f t="shared" si="138"/>
        <v>0.72845317895824091</v>
      </c>
      <c r="P908">
        <f t="shared" si="139"/>
        <v>15.320351719460062</v>
      </c>
    </row>
    <row r="909" spans="3:16" x14ac:dyDescent="0.25">
      <c r="C909">
        <v>0.88100000000000001</v>
      </c>
      <c r="D909">
        <f t="shared" si="130"/>
        <v>-3.7592503840446838</v>
      </c>
      <c r="E909">
        <f t="shared" si="131"/>
        <v>10.965952377609328</v>
      </c>
      <c r="F909">
        <f t="shared" si="134"/>
        <v>1</v>
      </c>
      <c r="G909">
        <f t="shared" si="135"/>
        <v>0.84281482445434119</v>
      </c>
      <c r="H909">
        <f t="shared" si="136"/>
        <v>10.067286738967349</v>
      </c>
      <c r="K909">
        <v>0.88100000000000001</v>
      </c>
      <c r="L909">
        <f t="shared" si="132"/>
        <v>1.3847496159553216</v>
      </c>
      <c r="M909">
        <f t="shared" si="133"/>
        <v>17.937913605978444</v>
      </c>
      <c r="N909">
        <f t="shared" si="137"/>
        <v>1</v>
      </c>
      <c r="O909">
        <f t="shared" si="138"/>
        <v>0.72427800689762067</v>
      </c>
      <c r="P909">
        <f t="shared" si="139"/>
        <v>15.265976057041206</v>
      </c>
    </row>
    <row r="910" spans="3:16" x14ac:dyDescent="0.25">
      <c r="C910">
        <v>0.88200000000000001</v>
      </c>
      <c r="D910">
        <f t="shared" si="130"/>
        <v>-3.7220578037866048</v>
      </c>
      <c r="E910">
        <f t="shared" si="131"/>
        <v>10.958519365454915</v>
      </c>
      <c r="F910">
        <f t="shared" si="134"/>
        <v>1</v>
      </c>
      <c r="G910">
        <f t="shared" si="135"/>
        <v>0.83876757810296221</v>
      </c>
      <c r="H910">
        <f t="shared" si="136"/>
        <v>10.036278330127836</v>
      </c>
      <c r="K910">
        <v>0.88200000000000001</v>
      </c>
      <c r="L910">
        <f t="shared" si="132"/>
        <v>1.4459421962134016</v>
      </c>
      <c r="M910">
        <f t="shared" si="133"/>
        <v>17.925684145433841</v>
      </c>
      <c r="N910">
        <f t="shared" si="137"/>
        <v>1</v>
      </c>
      <c r="O910">
        <f t="shared" si="138"/>
        <v>0.72007098154124649</v>
      </c>
      <c r="P910">
        <f t="shared" si="139"/>
        <v>15.211197126077277</v>
      </c>
    </row>
    <row r="911" spans="3:16" x14ac:dyDescent="0.25">
      <c r="C911">
        <v>0.88300000000000001</v>
      </c>
      <c r="D911">
        <f t="shared" si="130"/>
        <v>-3.6848652235285257</v>
      </c>
      <c r="E911">
        <f t="shared" si="131"/>
        <v>10.951086353300504</v>
      </c>
      <c r="F911">
        <f t="shared" si="134"/>
        <v>1</v>
      </c>
      <c r="G911">
        <f t="shared" si="135"/>
        <v>0.83466888715556553</v>
      </c>
      <c r="H911">
        <f t="shared" si="136"/>
        <v>10.004936029245489</v>
      </c>
      <c r="K911">
        <v>0.88300000000000001</v>
      </c>
      <c r="L911">
        <f t="shared" si="132"/>
        <v>1.5071347764714744</v>
      </c>
      <c r="M911">
        <f t="shared" si="133"/>
        <v>17.913454684889238</v>
      </c>
      <c r="N911">
        <f t="shared" si="137"/>
        <v>1</v>
      </c>
      <c r="O911">
        <f t="shared" si="138"/>
        <v>0.7158321028891188</v>
      </c>
      <c r="P911">
        <f t="shared" si="139"/>
        <v>15.156011812059214</v>
      </c>
    </row>
    <row r="912" spans="3:16" x14ac:dyDescent="0.25">
      <c r="C912">
        <v>0.88400000000000001</v>
      </c>
      <c r="D912">
        <f t="shared" si="130"/>
        <v>-3.6476726432704467</v>
      </c>
      <c r="E912">
        <f t="shared" si="131"/>
        <v>10.94365334114609</v>
      </c>
      <c r="F912">
        <f t="shared" si="134"/>
        <v>1</v>
      </c>
      <c r="G912">
        <f t="shared" si="135"/>
        <v>0.83051875161215105</v>
      </c>
      <c r="H912">
        <f t="shared" si="136"/>
        <v>9.973257880367564</v>
      </c>
      <c r="K912">
        <v>0.88400000000000001</v>
      </c>
      <c r="L912">
        <f t="shared" si="132"/>
        <v>1.5683273567295544</v>
      </c>
      <c r="M912">
        <f t="shared" si="133"/>
        <v>17.901225224344635</v>
      </c>
      <c r="N912">
        <f t="shared" si="137"/>
        <v>1</v>
      </c>
      <c r="O912">
        <f t="shared" si="138"/>
        <v>0.7115613709412365</v>
      </c>
      <c r="P912">
        <f t="shared" si="139"/>
        <v>15.100416920413632</v>
      </c>
    </row>
    <row r="913" spans="3:16" x14ac:dyDescent="0.25">
      <c r="C913">
        <v>0.88500000000000001</v>
      </c>
      <c r="D913">
        <f t="shared" si="130"/>
        <v>-3.6104800630123677</v>
      </c>
      <c r="E913">
        <f t="shared" si="131"/>
        <v>10.936220328991677</v>
      </c>
      <c r="F913">
        <f t="shared" si="134"/>
        <v>1</v>
      </c>
      <c r="G913">
        <f t="shared" si="135"/>
        <v>0.82631717147271899</v>
      </c>
      <c r="H913">
        <f t="shared" si="136"/>
        <v>9.9412418669885998</v>
      </c>
      <c r="K913">
        <v>0.88500000000000001</v>
      </c>
      <c r="L913">
        <f t="shared" si="132"/>
        <v>1.6295199369876343</v>
      </c>
      <c r="M913">
        <f t="shared" si="133"/>
        <v>17.888995763800033</v>
      </c>
      <c r="N913">
        <f t="shared" si="137"/>
        <v>1</v>
      </c>
      <c r="O913">
        <f t="shared" si="138"/>
        <v>0.70725878569760015</v>
      </c>
      <c r="P913">
        <f t="shared" si="139"/>
        <v>15.044409174168017</v>
      </c>
    </row>
    <row r="914" spans="3:16" x14ac:dyDescent="0.25">
      <c r="C914">
        <v>0.88600000000000001</v>
      </c>
      <c r="D914">
        <f t="shared" si="130"/>
        <v>-3.5732874827542886</v>
      </c>
      <c r="E914">
        <f t="shared" si="131"/>
        <v>10.928787316837266</v>
      </c>
      <c r="F914">
        <f t="shared" si="134"/>
        <v>1</v>
      </c>
      <c r="G914">
        <f t="shared" si="135"/>
        <v>0.82206414673726924</v>
      </c>
      <c r="H914">
        <f t="shared" si="136"/>
        <v>9.9088859103969114</v>
      </c>
      <c r="K914">
        <v>0.88600000000000001</v>
      </c>
      <c r="L914">
        <f t="shared" si="132"/>
        <v>1.6907125172457143</v>
      </c>
      <c r="M914">
        <f t="shared" si="133"/>
        <v>17.87676630325543</v>
      </c>
      <c r="N914">
        <f t="shared" si="137"/>
        <v>1</v>
      </c>
      <c r="O914">
        <f t="shared" si="138"/>
        <v>0.70292434715820984</v>
      </c>
      <c r="P914">
        <f t="shared" si="139"/>
        <v>14.987985211523316</v>
      </c>
    </row>
    <row r="915" spans="3:16" x14ac:dyDescent="0.25">
      <c r="C915">
        <v>0.88700000000000001</v>
      </c>
      <c r="D915">
        <f t="shared" si="130"/>
        <v>-3.5360949024962096</v>
      </c>
      <c r="E915">
        <f t="shared" si="131"/>
        <v>10.921354304682852</v>
      </c>
      <c r="F915">
        <f t="shared" si="134"/>
        <v>1</v>
      </c>
      <c r="G915">
        <f t="shared" si="135"/>
        <v>0.8177596774058018</v>
      </c>
      <c r="H915">
        <f t="shared" si="136"/>
        <v>9.8761878679529218</v>
      </c>
      <c r="K915">
        <v>0.88700000000000001</v>
      </c>
      <c r="L915">
        <f t="shared" si="132"/>
        <v>1.7519050975037942</v>
      </c>
      <c r="M915">
        <f t="shared" si="133"/>
        <v>17.864536842710827</v>
      </c>
      <c r="N915">
        <f t="shared" si="137"/>
        <v>1</v>
      </c>
      <c r="O915">
        <f t="shared" si="138"/>
        <v>0.69855805532306547</v>
      </c>
      <c r="P915">
        <f t="shared" si="139"/>
        <v>14.93114158332955</v>
      </c>
    </row>
    <row r="916" spans="3:16" x14ac:dyDescent="0.25">
      <c r="C916">
        <v>0.88800000000000001</v>
      </c>
      <c r="D916">
        <f t="shared" si="130"/>
        <v>-3.4989023222381306</v>
      </c>
      <c r="E916">
        <f t="shared" si="131"/>
        <v>10.913921292528439</v>
      </c>
      <c r="F916">
        <f t="shared" si="134"/>
        <v>1</v>
      </c>
      <c r="G916">
        <f t="shared" si="135"/>
        <v>0.81340376347831655</v>
      </c>
      <c r="H916">
        <f t="shared" si="136"/>
        <v>9.8431455312960896</v>
      </c>
      <c r="K916">
        <v>0.88800000000000001</v>
      </c>
      <c r="L916">
        <f t="shared" si="132"/>
        <v>1.813097677761867</v>
      </c>
      <c r="M916">
        <f t="shared" si="133"/>
        <v>17.852307382166224</v>
      </c>
      <c r="N916">
        <f t="shared" si="137"/>
        <v>1</v>
      </c>
      <c r="O916">
        <f t="shared" si="138"/>
        <v>0.6941599101921675</v>
      </c>
      <c r="P916">
        <f t="shared" si="139"/>
        <v>14.873874750459711</v>
      </c>
    </row>
    <row r="917" spans="3:16" x14ac:dyDescent="0.25">
      <c r="C917">
        <v>0.88900000000000001</v>
      </c>
      <c r="D917">
        <f t="shared" si="130"/>
        <v>-3.4617097419800515</v>
      </c>
      <c r="E917">
        <f t="shared" si="131"/>
        <v>10.906488280374028</v>
      </c>
      <c r="F917">
        <f t="shared" si="134"/>
        <v>1</v>
      </c>
      <c r="G917">
        <f t="shared" si="135"/>
        <v>0.80899640495481373</v>
      </c>
      <c r="H917">
        <f t="shared" si="136"/>
        <v>9.8097566244769236</v>
      </c>
      <c r="K917">
        <v>0.88900000000000001</v>
      </c>
      <c r="L917">
        <f t="shared" si="132"/>
        <v>1.874290258019947</v>
      </c>
      <c r="M917">
        <f t="shared" si="133"/>
        <v>17.840077921621621</v>
      </c>
      <c r="N917">
        <f t="shared" si="137"/>
        <v>1</v>
      </c>
      <c r="O917">
        <f t="shared" si="138"/>
        <v>0.68972991176551501</v>
      </c>
      <c r="P917">
        <f t="shared" si="139"/>
        <v>14.81618108107695</v>
      </c>
    </row>
    <row r="918" spans="3:16" x14ac:dyDescent="0.25">
      <c r="C918">
        <v>0.89</v>
      </c>
      <c r="D918">
        <f t="shared" si="130"/>
        <v>-3.4245171617219725</v>
      </c>
      <c r="E918">
        <f t="shared" si="131"/>
        <v>10.899055268219614</v>
      </c>
      <c r="F918">
        <f t="shared" si="134"/>
        <v>1</v>
      </c>
      <c r="G918">
        <f t="shared" si="135"/>
        <v>0.8045376018352931</v>
      </c>
      <c r="H918">
        <f t="shared" si="136"/>
        <v>9.7760188020104817</v>
      </c>
      <c r="K918">
        <v>0.89</v>
      </c>
      <c r="L918">
        <f t="shared" si="132"/>
        <v>1.9354828382780269</v>
      </c>
      <c r="M918">
        <f t="shared" si="133"/>
        <v>17.827848461077018</v>
      </c>
      <c r="N918">
        <f t="shared" si="137"/>
        <v>1</v>
      </c>
      <c r="O918">
        <f t="shared" si="138"/>
        <v>0.68526806004310847</v>
      </c>
      <c r="P918">
        <f t="shared" si="139"/>
        <v>14.758056847789781</v>
      </c>
    </row>
    <row r="919" spans="3:16" x14ac:dyDescent="0.25">
      <c r="C919">
        <v>0.89100000000000001</v>
      </c>
      <c r="D919">
        <f t="shared" si="130"/>
        <v>-3.3873245814638935</v>
      </c>
      <c r="E919">
        <f t="shared" si="131"/>
        <v>10.891622256065203</v>
      </c>
      <c r="F919">
        <f t="shared" si="134"/>
        <v>1</v>
      </c>
      <c r="G919">
        <f t="shared" si="135"/>
        <v>0.8000273541197549</v>
      </c>
      <c r="H919">
        <f t="shared" si="136"/>
        <v>9.7419296468474457</v>
      </c>
      <c r="K919">
        <v>0.89100000000000001</v>
      </c>
      <c r="L919">
        <f t="shared" si="132"/>
        <v>1.9966754185361069</v>
      </c>
      <c r="M919">
        <f t="shared" si="133"/>
        <v>17.815619000532415</v>
      </c>
      <c r="N919">
        <f t="shared" si="137"/>
        <v>1</v>
      </c>
      <c r="O919">
        <f t="shared" si="138"/>
        <v>0.68077435502494799</v>
      </c>
      <c r="P919">
        <f t="shared" si="139"/>
        <v>14.699498224689695</v>
      </c>
    </row>
    <row r="920" spans="3:16" x14ac:dyDescent="0.25">
      <c r="C920">
        <v>0.89200000000000002</v>
      </c>
      <c r="D920">
        <f t="shared" si="130"/>
        <v>-3.3501320012058144</v>
      </c>
      <c r="E920">
        <f t="shared" si="131"/>
        <v>10.884189243910789</v>
      </c>
      <c r="F920">
        <f t="shared" si="134"/>
        <v>1</v>
      </c>
      <c r="G920">
        <f t="shared" si="135"/>
        <v>0.79546566180819889</v>
      </c>
      <c r="H920">
        <f t="shared" si="136"/>
        <v>9.7074866682586656</v>
      </c>
      <c r="K920">
        <v>0.89200000000000002</v>
      </c>
      <c r="L920">
        <f t="shared" si="132"/>
        <v>2.0578679987941868</v>
      </c>
      <c r="M920">
        <f t="shared" si="133"/>
        <v>17.803389539987812</v>
      </c>
      <c r="N920">
        <f t="shared" si="137"/>
        <v>1</v>
      </c>
      <c r="O920">
        <f t="shared" si="138"/>
        <v>0.67624879671103333</v>
      </c>
      <c r="P920">
        <f t="shared" si="139"/>
        <v>14.640501284265241</v>
      </c>
    </row>
    <row r="921" spans="3:16" x14ac:dyDescent="0.25">
      <c r="C921">
        <v>0.89300000000000002</v>
      </c>
      <c r="D921">
        <f t="shared" si="130"/>
        <v>-3.3129394209477354</v>
      </c>
      <c r="E921">
        <f t="shared" si="131"/>
        <v>10.876756231756376</v>
      </c>
      <c r="F921">
        <f t="shared" si="134"/>
        <v>1</v>
      </c>
      <c r="G921">
        <f t="shared" si="135"/>
        <v>0.79085252490062519</v>
      </c>
      <c r="H921">
        <f t="shared" si="136"/>
        <v>9.6726872996288495</v>
      </c>
      <c r="K921">
        <v>0.89300000000000002</v>
      </c>
      <c r="L921">
        <f t="shared" si="132"/>
        <v>2.1190605790522596</v>
      </c>
      <c r="M921">
        <f t="shared" si="133"/>
        <v>17.791160079443209</v>
      </c>
      <c r="N921">
        <f t="shared" si="137"/>
        <v>1</v>
      </c>
      <c r="O921">
        <f t="shared" si="138"/>
        <v>0.67169138510136528</v>
      </c>
      <c r="P921">
        <f t="shared" si="139"/>
        <v>14.581061994186344</v>
      </c>
    </row>
    <row r="922" spans="3:16" x14ac:dyDescent="0.25">
      <c r="C922">
        <v>0.89400000000000002</v>
      </c>
      <c r="D922">
        <f t="shared" si="130"/>
        <v>-3.2757468406896564</v>
      </c>
      <c r="E922">
        <f t="shared" si="131"/>
        <v>10.869323219601965</v>
      </c>
      <c r="F922">
        <f t="shared" si="134"/>
        <v>1</v>
      </c>
      <c r="G922">
        <f t="shared" si="135"/>
        <v>0.78618794339703379</v>
      </c>
      <c r="H922">
        <f t="shared" si="136"/>
        <v>9.6375288961547305</v>
      </c>
      <c r="K922">
        <v>0.89400000000000002</v>
      </c>
      <c r="L922">
        <f t="shared" si="132"/>
        <v>2.1802531593103396</v>
      </c>
      <c r="M922">
        <f t="shared" si="133"/>
        <v>17.778930618898606</v>
      </c>
      <c r="N922">
        <f t="shared" si="137"/>
        <v>1</v>
      </c>
      <c r="O922">
        <f t="shared" si="138"/>
        <v>0.66710212019594262</v>
      </c>
      <c r="P922">
        <f t="shared" si="139"/>
        <v>14.52117621395208</v>
      </c>
    </row>
    <row r="923" spans="3:16" x14ac:dyDescent="0.25">
      <c r="C923">
        <v>0.89500000000000002</v>
      </c>
      <c r="D923">
        <f t="shared" si="130"/>
        <v>-3.2385542604315773</v>
      </c>
      <c r="E923">
        <f t="shared" si="131"/>
        <v>10.861890207447551</v>
      </c>
      <c r="F923">
        <f t="shared" si="134"/>
        <v>1</v>
      </c>
      <c r="G923">
        <f t="shared" si="135"/>
        <v>0.78147191729742471</v>
      </c>
      <c r="H923">
        <f t="shared" si="136"/>
        <v>9.6020087324428189</v>
      </c>
      <c r="K923">
        <v>0.89500000000000002</v>
      </c>
      <c r="L923">
        <f t="shared" si="132"/>
        <v>2.2414457395684195</v>
      </c>
      <c r="M923">
        <f t="shared" si="133"/>
        <v>17.766701158354003</v>
      </c>
      <c r="N923">
        <f t="shared" si="137"/>
        <v>1</v>
      </c>
      <c r="O923">
        <f t="shared" si="138"/>
        <v>0.66248100199476589</v>
      </c>
      <c r="P923">
        <f t="shared" si="139"/>
        <v>14.460839691394957</v>
      </c>
    </row>
    <row r="924" spans="3:16" x14ac:dyDescent="0.25">
      <c r="C924">
        <v>0.89600000000000002</v>
      </c>
      <c r="D924">
        <f t="shared" ref="D924:D987" si="140">-$J$23+($J$15+$J$23)*C924</f>
        <v>-3.2013616801735054</v>
      </c>
      <c r="E924">
        <f t="shared" ref="E924:E987" si="141">$J$12-$J$11*D924</f>
        <v>10.85445719529314</v>
      </c>
      <c r="F924">
        <f t="shared" si="134"/>
        <v>1</v>
      </c>
      <c r="G924">
        <f t="shared" si="135"/>
        <v>0.77670444660179894</v>
      </c>
      <c r="H924">
        <f t="shared" si="136"/>
        <v>9.5661240000015741</v>
      </c>
      <c r="K924">
        <v>0.89600000000000002</v>
      </c>
      <c r="L924">
        <f t="shared" ref="L924:L987" si="142">-$M$23+($M$15+$M$23)*K924</f>
        <v>2.3026383198264995</v>
      </c>
      <c r="M924">
        <f t="shared" ref="M924:M987" si="143">$J$12-$J$11*L924+$E$18</f>
        <v>17.754471697809397</v>
      </c>
      <c r="N924">
        <f t="shared" si="137"/>
        <v>1</v>
      </c>
      <c r="O924">
        <f t="shared" si="138"/>
        <v>0.65782803049783511</v>
      </c>
      <c r="P924">
        <f t="shared" si="139"/>
        <v>14.400048059034081</v>
      </c>
    </row>
    <row r="925" spans="3:16" x14ac:dyDescent="0.25">
      <c r="C925">
        <v>0.89700000000000002</v>
      </c>
      <c r="D925">
        <f t="shared" si="140"/>
        <v>-3.1641690999154264</v>
      </c>
      <c r="E925">
        <f t="shared" si="141"/>
        <v>10.847024183138728</v>
      </c>
      <c r="F925">
        <f t="shared" ref="F925:F988" si="144">IF(D925&lt;$J$20,MAX(1-(D925-$J$20)^2/$J$22^2,0),1)</f>
        <v>1</v>
      </c>
      <c r="G925">
        <f t="shared" ref="G925:G988" si="145">IF(D925&gt;$J$17,MAX(1-(D925-$J$17)^2/($J$15-$J$17)^2,0),1)</f>
        <v>0.77188553131015447</v>
      </c>
      <c r="H925">
        <f t="shared" ref="H925:H988" si="146">SQRT(E925^2*F925*G925)</f>
        <v>9.5298718046223421</v>
      </c>
      <c r="K925">
        <v>0.89700000000000002</v>
      </c>
      <c r="L925">
        <f t="shared" si="142"/>
        <v>2.3638309000845794</v>
      </c>
      <c r="M925">
        <f t="shared" si="143"/>
        <v>17.742242237264794</v>
      </c>
      <c r="N925">
        <f t="shared" ref="N925:N988" si="147">IF(L925&lt;$J$20,MAX(1-(L925-$J$20)^2/$M$22^2,0),1)</f>
        <v>1</v>
      </c>
      <c r="O925">
        <f t="shared" ref="O925:O988" si="148">IF(L925&gt;$J$17,MAX(1-(L925-$J$17)^2/($M$15-$J$17)^2,0),1)</f>
        <v>0.65314320570515039</v>
      </c>
      <c r="P925">
        <f t="shared" ref="P925:P988" si="149">SQRT(M925^2*N925*O925)</f>
        <v>14.338796830269262</v>
      </c>
    </row>
    <row r="926" spans="3:16" x14ac:dyDescent="0.25">
      <c r="C926">
        <v>0.89800000000000002</v>
      </c>
      <c r="D926">
        <f t="shared" si="140"/>
        <v>-3.1269765196573474</v>
      </c>
      <c r="E926">
        <f t="shared" si="141"/>
        <v>10.839591170984315</v>
      </c>
      <c r="F926">
        <f t="shared" si="144"/>
        <v>1</v>
      </c>
      <c r="G926">
        <f t="shared" si="145"/>
        <v>0.76701517142249231</v>
      </c>
      <c r="H926">
        <f t="shared" si="146"/>
        <v>9.4932491636433394</v>
      </c>
      <c r="K926">
        <v>0.89800000000000002</v>
      </c>
      <c r="L926">
        <f t="shared" si="142"/>
        <v>2.4250234803426522</v>
      </c>
      <c r="M926">
        <f t="shared" si="143"/>
        <v>17.730012776720191</v>
      </c>
      <c r="N926">
        <f t="shared" si="147"/>
        <v>1</v>
      </c>
      <c r="O926">
        <f t="shared" si="148"/>
        <v>0.64842652761671205</v>
      </c>
      <c r="P926">
        <f t="shared" si="149"/>
        <v>14.277081395407526</v>
      </c>
    </row>
    <row r="927" spans="3:16" x14ac:dyDescent="0.25">
      <c r="C927">
        <v>0.89900000000000002</v>
      </c>
      <c r="D927">
        <f t="shared" si="140"/>
        <v>-3.0897839393992683</v>
      </c>
      <c r="E927">
        <f t="shared" si="141"/>
        <v>10.832158158829902</v>
      </c>
      <c r="F927">
        <f t="shared" si="144"/>
        <v>1</v>
      </c>
      <c r="G927">
        <f t="shared" si="145"/>
        <v>0.76209336693881247</v>
      </c>
      <c r="H927">
        <f t="shared" si="146"/>
        <v>9.4562530030902376</v>
      </c>
      <c r="K927">
        <v>0.89900000000000002</v>
      </c>
      <c r="L927">
        <f t="shared" si="142"/>
        <v>2.4862160606007322</v>
      </c>
      <c r="M927">
        <f t="shared" si="143"/>
        <v>17.717783316175588</v>
      </c>
      <c r="N927">
        <f t="shared" si="147"/>
        <v>1</v>
      </c>
      <c r="O927">
        <f t="shared" si="148"/>
        <v>0.6436779962325192</v>
      </c>
      <c r="P927">
        <f t="shared" si="149"/>
        <v>14.214897017513039</v>
      </c>
    </row>
    <row r="928" spans="3:16" x14ac:dyDescent="0.25">
      <c r="C928">
        <v>0.9</v>
      </c>
      <c r="D928">
        <f t="shared" si="140"/>
        <v>-3.0525913591411893</v>
      </c>
      <c r="E928">
        <f t="shared" si="141"/>
        <v>10.82472514667549</v>
      </c>
      <c r="F928">
        <f t="shared" si="144"/>
        <v>1</v>
      </c>
      <c r="G928">
        <f t="shared" si="145"/>
        <v>0.75712011785911493</v>
      </c>
      <c r="H928">
        <f t="shared" si="146"/>
        <v>9.4188801546867857</v>
      </c>
      <c r="K928">
        <v>0.9</v>
      </c>
      <c r="L928">
        <f t="shared" si="142"/>
        <v>2.5474086408588121</v>
      </c>
      <c r="M928">
        <f t="shared" si="143"/>
        <v>17.705553855630985</v>
      </c>
      <c r="N928">
        <f t="shared" si="147"/>
        <v>1</v>
      </c>
      <c r="O928">
        <f t="shared" si="148"/>
        <v>0.6388976115525723</v>
      </c>
      <c r="P928">
        <f t="shared" si="149"/>
        <v>14.152238828070802</v>
      </c>
    </row>
    <row r="929" spans="3:16" x14ac:dyDescent="0.25">
      <c r="C929">
        <v>0.90100000000000002</v>
      </c>
      <c r="D929">
        <f t="shared" si="140"/>
        <v>-3.0153987788831103</v>
      </c>
      <c r="E929">
        <f t="shared" si="141"/>
        <v>10.817292134521077</v>
      </c>
      <c r="F929">
        <f t="shared" si="144"/>
        <v>1</v>
      </c>
      <c r="G929">
        <f t="shared" si="145"/>
        <v>0.7520954241833997</v>
      </c>
      <c r="H929">
        <f t="shared" si="146"/>
        <v>9.3811273527283454</v>
      </c>
      <c r="K929">
        <v>0.90100000000000002</v>
      </c>
      <c r="L929">
        <f t="shared" si="142"/>
        <v>2.6086012211168921</v>
      </c>
      <c r="M929">
        <f t="shared" si="143"/>
        <v>17.693324395086378</v>
      </c>
      <c r="N929">
        <f t="shared" si="147"/>
        <v>1</v>
      </c>
      <c r="O929">
        <f t="shared" si="148"/>
        <v>0.63408537357687134</v>
      </c>
      <c r="P929">
        <f t="shared" si="149"/>
        <v>14.08910182245384</v>
      </c>
    </row>
    <row r="930" spans="3:16" x14ac:dyDescent="0.25">
      <c r="C930">
        <v>0.90200000000000002</v>
      </c>
      <c r="D930">
        <f t="shared" si="140"/>
        <v>-2.9782061986250312</v>
      </c>
      <c r="E930">
        <f t="shared" si="141"/>
        <v>10.809859122366664</v>
      </c>
      <c r="F930">
        <f t="shared" si="144"/>
        <v>1</v>
      </c>
      <c r="G930">
        <f t="shared" si="145"/>
        <v>0.74701928591166677</v>
      </c>
      <c r="H930">
        <f t="shared" si="146"/>
        <v>9.3429912308107337</v>
      </c>
      <c r="K930">
        <v>0.90200000000000002</v>
      </c>
      <c r="L930">
        <f t="shared" si="142"/>
        <v>2.669793801374972</v>
      </c>
      <c r="M930">
        <f t="shared" si="143"/>
        <v>17.681094934541775</v>
      </c>
      <c r="N930">
        <f t="shared" si="147"/>
        <v>1</v>
      </c>
      <c r="O930">
        <f t="shared" si="148"/>
        <v>0.62924128230541632</v>
      </c>
      <c r="P930">
        <f t="shared" si="149"/>
        <v>14.025480855182989</v>
      </c>
    </row>
    <row r="931" spans="3:16" x14ac:dyDescent="0.25">
      <c r="C931">
        <v>0.90300000000000002</v>
      </c>
      <c r="D931">
        <f t="shared" si="140"/>
        <v>-2.9410136183669522</v>
      </c>
      <c r="E931">
        <f t="shared" si="141"/>
        <v>10.802426110212252</v>
      </c>
      <c r="F931">
        <f t="shared" si="144"/>
        <v>1</v>
      </c>
      <c r="G931">
        <f t="shared" si="145"/>
        <v>0.74189170304391605</v>
      </c>
      <c r="H931">
        <f t="shared" si="146"/>
        <v>9.3044683184063306</v>
      </c>
      <c r="K931">
        <v>0.90300000000000002</v>
      </c>
      <c r="L931">
        <f t="shared" si="142"/>
        <v>2.730986381633052</v>
      </c>
      <c r="M931">
        <f t="shared" si="143"/>
        <v>17.668865473997172</v>
      </c>
      <c r="N931">
        <f t="shared" si="147"/>
        <v>1</v>
      </c>
      <c r="O931">
        <f t="shared" si="148"/>
        <v>0.62436533773820735</v>
      </c>
      <c r="P931">
        <f t="shared" si="149"/>
        <v>13.961370634967619</v>
      </c>
    </row>
    <row r="932" spans="3:16" x14ac:dyDescent="0.25">
      <c r="C932">
        <v>0.90400000000000003</v>
      </c>
      <c r="D932">
        <f t="shared" si="140"/>
        <v>-2.9038210381088732</v>
      </c>
      <c r="E932">
        <f t="shared" si="141"/>
        <v>10.794993098057839</v>
      </c>
      <c r="F932">
        <f t="shared" si="144"/>
        <v>1</v>
      </c>
      <c r="G932">
        <f t="shared" si="145"/>
        <v>0.73671267558014786</v>
      </c>
      <c r="H932">
        <f t="shared" si="146"/>
        <v>9.2655550372787978</v>
      </c>
      <c r="K932">
        <v>0.90400000000000003</v>
      </c>
      <c r="L932">
        <f t="shared" si="142"/>
        <v>2.7921789618911248</v>
      </c>
      <c r="M932">
        <f t="shared" si="143"/>
        <v>17.65663601345257</v>
      </c>
      <c r="N932">
        <f t="shared" si="147"/>
        <v>1</v>
      </c>
      <c r="O932">
        <f t="shared" si="148"/>
        <v>0.61945753987524488</v>
      </c>
      <c r="P932">
        <f t="shared" si="149"/>
        <v>13.896765719514853</v>
      </c>
    </row>
    <row r="933" spans="3:16" x14ac:dyDescent="0.25">
      <c r="C933">
        <v>0.90500000000000003</v>
      </c>
      <c r="D933">
        <f t="shared" si="140"/>
        <v>-2.8666284578507941</v>
      </c>
      <c r="E933">
        <f t="shared" si="141"/>
        <v>10.787560085903428</v>
      </c>
      <c r="F933">
        <f t="shared" si="144"/>
        <v>1</v>
      </c>
      <c r="G933">
        <f t="shared" si="145"/>
        <v>0.73148220352036175</v>
      </c>
      <c r="H933">
        <f t="shared" si="146"/>
        <v>9.2262476977272136</v>
      </c>
      <c r="K933">
        <v>0.90500000000000003</v>
      </c>
      <c r="L933">
        <f t="shared" si="142"/>
        <v>2.8533715421492047</v>
      </c>
      <c r="M933">
        <f t="shared" si="143"/>
        <v>17.644406552907967</v>
      </c>
      <c r="N933">
        <f t="shared" si="147"/>
        <v>1</v>
      </c>
      <c r="O933">
        <f t="shared" si="148"/>
        <v>0.61451788871652779</v>
      </c>
      <c r="P933">
        <f t="shared" si="149"/>
        <v>13.831660510094007</v>
      </c>
    </row>
    <row r="934" spans="3:16" x14ac:dyDescent="0.25">
      <c r="C934">
        <v>0.90600000000000003</v>
      </c>
      <c r="D934">
        <f t="shared" si="140"/>
        <v>-2.8294358775927151</v>
      </c>
      <c r="E934">
        <f t="shared" si="141"/>
        <v>10.780127073749014</v>
      </c>
      <c r="F934">
        <f t="shared" si="144"/>
        <v>1</v>
      </c>
      <c r="G934">
        <f t="shared" si="145"/>
        <v>0.72620028686455806</v>
      </c>
      <c r="H934">
        <f t="shared" si="146"/>
        <v>9.1865424946498013</v>
      </c>
      <c r="K934">
        <v>0.90600000000000003</v>
      </c>
      <c r="L934">
        <f t="shared" si="142"/>
        <v>2.9145641224072847</v>
      </c>
      <c r="M934">
        <f t="shared" si="143"/>
        <v>17.632177092363364</v>
      </c>
      <c r="N934">
        <f t="shared" si="147"/>
        <v>1</v>
      </c>
      <c r="O934">
        <f t="shared" si="148"/>
        <v>0.60954638426205654</v>
      </c>
      <c r="P934">
        <f t="shared" si="149"/>
        <v>13.766049245842098</v>
      </c>
    </row>
    <row r="935" spans="3:16" x14ac:dyDescent="0.25">
      <c r="C935">
        <v>0.90700000000000003</v>
      </c>
      <c r="D935">
        <f t="shared" si="140"/>
        <v>-2.7922432973346361</v>
      </c>
      <c r="E935">
        <f t="shared" si="141"/>
        <v>10.772694061594601</v>
      </c>
      <c r="F935">
        <f t="shared" si="144"/>
        <v>1</v>
      </c>
      <c r="G935">
        <f t="shared" si="145"/>
        <v>0.72086692561273669</v>
      </c>
      <c r="H935">
        <f t="shared" si="146"/>
        <v>9.1464355034166971</v>
      </c>
      <c r="K935">
        <v>0.90700000000000003</v>
      </c>
      <c r="L935">
        <f t="shared" si="142"/>
        <v>2.9757567026653646</v>
      </c>
      <c r="M935">
        <f t="shared" si="143"/>
        <v>17.619947631818761</v>
      </c>
      <c r="N935">
        <f t="shared" si="147"/>
        <v>1</v>
      </c>
      <c r="O935">
        <f t="shared" si="148"/>
        <v>0.60454302651183145</v>
      </c>
      <c r="P935">
        <f t="shared" si="149"/>
        <v>13.69992599779517</v>
      </c>
    </row>
    <row r="936" spans="3:16" x14ac:dyDescent="0.25">
      <c r="C936">
        <v>0.90800000000000003</v>
      </c>
      <c r="D936">
        <f t="shared" si="140"/>
        <v>-2.755050717076557</v>
      </c>
      <c r="E936">
        <f t="shared" si="141"/>
        <v>10.765261049440189</v>
      </c>
      <c r="F936">
        <f t="shared" si="144"/>
        <v>1</v>
      </c>
      <c r="G936">
        <f t="shared" si="145"/>
        <v>0.71548211976489751</v>
      </c>
      <c r="H936">
        <f t="shared" si="146"/>
        <v>9.1059226755405174</v>
      </c>
      <c r="K936">
        <v>0.90800000000000003</v>
      </c>
      <c r="L936">
        <f t="shared" si="142"/>
        <v>3.0369492829234446</v>
      </c>
      <c r="M936">
        <f t="shared" si="143"/>
        <v>17.607718171274158</v>
      </c>
      <c r="N936">
        <f t="shared" si="147"/>
        <v>1</v>
      </c>
      <c r="O936">
        <f t="shared" si="148"/>
        <v>0.59950781546585219</v>
      </c>
      <c r="P936">
        <f t="shared" si="149"/>
        <v>13.633284662629258</v>
      </c>
    </row>
    <row r="937" spans="3:16" x14ac:dyDescent="0.25">
      <c r="C937">
        <v>0.90900000000000003</v>
      </c>
      <c r="D937">
        <f t="shared" si="140"/>
        <v>-2.717858136818478</v>
      </c>
      <c r="E937">
        <f t="shared" si="141"/>
        <v>10.757828037285776</v>
      </c>
      <c r="F937">
        <f t="shared" si="144"/>
        <v>1</v>
      </c>
      <c r="G937">
        <f t="shared" si="145"/>
        <v>0.71004586932104063</v>
      </c>
      <c r="H937">
        <f t="shared" si="146"/>
        <v>9.0649998341326654</v>
      </c>
      <c r="K937">
        <v>0.90900000000000003</v>
      </c>
      <c r="L937">
        <f t="shared" si="142"/>
        <v>3.0981418631815174</v>
      </c>
      <c r="M937">
        <f t="shared" si="143"/>
        <v>17.595488710729555</v>
      </c>
      <c r="N937">
        <f t="shared" si="147"/>
        <v>1</v>
      </c>
      <c r="O937">
        <f t="shared" si="148"/>
        <v>0.59444075112411954</v>
      </c>
      <c r="P937">
        <f t="shared" si="149"/>
        <v>13.566118956093625</v>
      </c>
    </row>
    <row r="938" spans="3:16" x14ac:dyDescent="0.25">
      <c r="C938">
        <v>0.91</v>
      </c>
      <c r="D938">
        <f t="shared" si="140"/>
        <v>-2.680665556560399</v>
      </c>
      <c r="E938">
        <f t="shared" si="141"/>
        <v>10.750395025131363</v>
      </c>
      <c r="F938">
        <f t="shared" si="144"/>
        <v>1</v>
      </c>
      <c r="G938">
        <f t="shared" si="145"/>
        <v>0.70455817428116618</v>
      </c>
      <c r="H938">
        <f t="shared" si="146"/>
        <v>9.0236626691324702</v>
      </c>
      <c r="K938">
        <v>0.91</v>
      </c>
      <c r="L938">
        <f t="shared" si="142"/>
        <v>3.1593344434395974</v>
      </c>
      <c r="M938">
        <f t="shared" si="143"/>
        <v>17.583259250184952</v>
      </c>
      <c r="N938">
        <f t="shared" si="147"/>
        <v>1</v>
      </c>
      <c r="O938">
        <f t="shared" si="148"/>
        <v>0.58934183348663227</v>
      </c>
      <c r="P938">
        <f t="shared" si="149"/>
        <v>13.498422406117536</v>
      </c>
    </row>
    <row r="939" spans="3:16" x14ac:dyDescent="0.25">
      <c r="C939">
        <v>0.91100000000000003</v>
      </c>
      <c r="D939">
        <f t="shared" si="140"/>
        <v>-2.643472976302327</v>
      </c>
      <c r="E939">
        <f t="shared" si="141"/>
        <v>10.742962012976953</v>
      </c>
      <c r="F939">
        <f t="shared" si="144"/>
        <v>1</v>
      </c>
      <c r="G939">
        <f t="shared" si="145"/>
        <v>0.69901903464527493</v>
      </c>
      <c r="H939">
        <f t="shared" si="146"/>
        <v>8.9819067322952719</v>
      </c>
      <c r="K939">
        <v>0.91100000000000003</v>
      </c>
      <c r="L939">
        <f t="shared" si="142"/>
        <v>3.2205270236976773</v>
      </c>
      <c r="M939">
        <f t="shared" si="143"/>
        <v>17.571029789640349</v>
      </c>
      <c r="N939">
        <f t="shared" si="147"/>
        <v>1</v>
      </c>
      <c r="O939">
        <f t="shared" si="148"/>
        <v>0.58421106255339095</v>
      </c>
      <c r="P939">
        <f t="shared" si="149"/>
        <v>13.430188345570754</v>
      </c>
    </row>
    <row r="940" spans="3:16" x14ac:dyDescent="0.25">
      <c r="C940">
        <v>0.91200000000000003</v>
      </c>
      <c r="D940">
        <f t="shared" si="140"/>
        <v>-2.606280396044248</v>
      </c>
      <c r="E940">
        <f t="shared" si="141"/>
        <v>10.73552900082254</v>
      </c>
      <c r="F940">
        <f t="shared" si="144"/>
        <v>1</v>
      </c>
      <c r="G940">
        <f t="shared" si="145"/>
        <v>0.69342845041336509</v>
      </c>
      <c r="H940">
        <f t="shared" si="146"/>
        <v>8.9397274319245899</v>
      </c>
      <c r="K940">
        <v>0.91200000000000003</v>
      </c>
      <c r="L940">
        <f t="shared" si="142"/>
        <v>3.2817196039557572</v>
      </c>
      <c r="M940">
        <f t="shared" si="143"/>
        <v>17.558800329095746</v>
      </c>
      <c r="N940">
        <f t="shared" si="147"/>
        <v>1</v>
      </c>
      <c r="O940">
        <f t="shared" si="148"/>
        <v>0.57904843832439556</v>
      </c>
      <c r="P940">
        <f t="shared" si="149"/>
        <v>13.361409904656162</v>
      </c>
    </row>
    <row r="941" spans="3:16" x14ac:dyDescent="0.25">
      <c r="C941">
        <v>0.91300000000000003</v>
      </c>
      <c r="D941">
        <f t="shared" si="140"/>
        <v>-2.569087815786169</v>
      </c>
      <c r="E941">
        <f t="shared" si="141"/>
        <v>10.728095988668127</v>
      </c>
      <c r="F941">
        <f t="shared" si="144"/>
        <v>1</v>
      </c>
      <c r="G941">
        <f t="shared" si="145"/>
        <v>0.68778642158543746</v>
      </c>
      <c r="H941">
        <f t="shared" si="146"/>
        <v>8.8971200273324733</v>
      </c>
      <c r="K941">
        <v>0.91300000000000003</v>
      </c>
      <c r="L941">
        <f t="shared" si="142"/>
        <v>3.3429121842138372</v>
      </c>
      <c r="M941">
        <f t="shared" si="143"/>
        <v>17.546570868551143</v>
      </c>
      <c r="N941">
        <f t="shared" si="147"/>
        <v>1</v>
      </c>
      <c r="O941">
        <f t="shared" si="148"/>
        <v>0.57385396079964623</v>
      </c>
      <c r="P941">
        <f t="shared" si="149"/>
        <v>13.292080002911558</v>
      </c>
    </row>
    <row r="942" spans="3:16" x14ac:dyDescent="0.25">
      <c r="C942">
        <v>0.91400000000000003</v>
      </c>
      <c r="D942">
        <f t="shared" si="140"/>
        <v>-2.5318952355280899</v>
      </c>
      <c r="E942">
        <f t="shared" si="141"/>
        <v>10.720662976513715</v>
      </c>
      <c r="F942">
        <f t="shared" si="144"/>
        <v>1</v>
      </c>
      <c r="G942">
        <f t="shared" si="145"/>
        <v>0.68209294816149213</v>
      </c>
      <c r="H942">
        <f t="shared" si="146"/>
        <v>8.8540796230107528</v>
      </c>
      <c r="K942">
        <v>0.91400000000000003</v>
      </c>
      <c r="L942">
        <f t="shared" si="142"/>
        <v>3.40410476447191</v>
      </c>
      <c r="M942">
        <f t="shared" si="143"/>
        <v>17.53434140800654</v>
      </c>
      <c r="N942">
        <f t="shared" si="147"/>
        <v>1</v>
      </c>
      <c r="O942">
        <f t="shared" si="148"/>
        <v>0.56862762997914329</v>
      </c>
      <c r="P942">
        <f t="shared" si="149"/>
        <v>13.222191340795868</v>
      </c>
    </row>
    <row r="943" spans="3:16" x14ac:dyDescent="0.25">
      <c r="C943">
        <v>0.91500000000000004</v>
      </c>
      <c r="D943">
        <f t="shared" si="140"/>
        <v>-2.4947026552700109</v>
      </c>
      <c r="E943">
        <f t="shared" si="141"/>
        <v>10.713229964359302</v>
      </c>
      <c r="F943">
        <f t="shared" si="144"/>
        <v>1</v>
      </c>
      <c r="G943">
        <f t="shared" si="145"/>
        <v>0.67634803014152922</v>
      </c>
      <c r="H943">
        <f t="shared" si="146"/>
        <v>8.8106011624947964</v>
      </c>
      <c r="K943">
        <v>0.91500000000000004</v>
      </c>
      <c r="L943">
        <f t="shared" si="142"/>
        <v>3.46529734472999</v>
      </c>
      <c r="M943">
        <f t="shared" si="143"/>
        <v>17.522111947461937</v>
      </c>
      <c r="N943">
        <f t="shared" si="147"/>
        <v>1</v>
      </c>
      <c r="O943">
        <f t="shared" si="148"/>
        <v>0.56336944586288584</v>
      </c>
      <c r="P943">
        <f t="shared" si="149"/>
        <v>13.151736390833095</v>
      </c>
    </row>
    <row r="944" spans="3:16" x14ac:dyDescent="0.25">
      <c r="C944">
        <v>0.91600000000000004</v>
      </c>
      <c r="D944">
        <f t="shared" si="140"/>
        <v>-2.4575100750119319</v>
      </c>
      <c r="E944">
        <f t="shared" si="141"/>
        <v>10.705796952204889</v>
      </c>
      <c r="F944">
        <f t="shared" si="144"/>
        <v>1</v>
      </c>
      <c r="G944">
        <f t="shared" si="145"/>
        <v>0.67055166752554851</v>
      </c>
      <c r="H944">
        <f t="shared" si="146"/>
        <v>8.7666794218998945</v>
      </c>
      <c r="K944">
        <v>0.91600000000000004</v>
      </c>
      <c r="L944">
        <f t="shared" si="142"/>
        <v>3.5264899249880699</v>
      </c>
      <c r="M944">
        <f t="shared" si="143"/>
        <v>17.509882486917334</v>
      </c>
      <c r="N944">
        <f t="shared" si="147"/>
        <v>1</v>
      </c>
      <c r="O944">
        <f t="shared" si="148"/>
        <v>0.55807940845087423</v>
      </c>
      <c r="P944">
        <f t="shared" si="149"/>
        <v>13.080707388285424</v>
      </c>
    </row>
    <row r="945" spans="3:16" x14ac:dyDescent="0.25">
      <c r="C945">
        <v>0.91700000000000004</v>
      </c>
      <c r="D945">
        <f t="shared" si="140"/>
        <v>-2.4203174947538528</v>
      </c>
      <c r="E945">
        <f t="shared" si="141"/>
        <v>10.698363940050477</v>
      </c>
      <c r="F945">
        <f t="shared" si="144"/>
        <v>1</v>
      </c>
      <c r="G945">
        <f t="shared" si="145"/>
        <v>0.66470386031355011</v>
      </c>
      <c r="H945">
        <f t="shared" si="146"/>
        <v>8.7223090031088155</v>
      </c>
      <c r="K945">
        <v>0.91700000000000004</v>
      </c>
      <c r="L945">
        <f t="shared" si="142"/>
        <v>3.5876825052461498</v>
      </c>
      <c r="M945">
        <f t="shared" si="143"/>
        <v>17.497653026372728</v>
      </c>
      <c r="N945">
        <f t="shared" si="147"/>
        <v>1</v>
      </c>
      <c r="O945">
        <f t="shared" si="148"/>
        <v>0.55275751774310877</v>
      </c>
      <c r="P945">
        <f t="shared" si="149"/>
        <v>13.009096321324492</v>
      </c>
    </row>
    <row r="946" spans="3:16" x14ac:dyDescent="0.25">
      <c r="C946">
        <v>0.91800000000000004</v>
      </c>
      <c r="D946">
        <f t="shared" si="140"/>
        <v>-2.3831249144957738</v>
      </c>
      <c r="E946">
        <f t="shared" si="141"/>
        <v>10.690930927896064</v>
      </c>
      <c r="F946">
        <f t="shared" si="144"/>
        <v>1</v>
      </c>
      <c r="G946">
        <f t="shared" si="145"/>
        <v>0.65880460850553391</v>
      </c>
      <c r="H946">
        <f t="shared" si="146"/>
        <v>8.6774843265874466</v>
      </c>
      <c r="K946">
        <v>0.91800000000000004</v>
      </c>
      <c r="L946">
        <f t="shared" si="142"/>
        <v>3.6488750855042298</v>
      </c>
      <c r="M946">
        <f t="shared" si="143"/>
        <v>17.485423565828125</v>
      </c>
      <c r="N946">
        <f t="shared" si="147"/>
        <v>1</v>
      </c>
      <c r="O946">
        <f t="shared" si="148"/>
        <v>0.54740377373958915</v>
      </c>
      <c r="P946">
        <f t="shared" si="149"/>
        <v>12.936894920667541</v>
      </c>
    </row>
    <row r="947" spans="3:16" x14ac:dyDescent="0.25">
      <c r="C947">
        <v>0.91900000000000004</v>
      </c>
      <c r="D947">
        <f t="shared" si="140"/>
        <v>-2.3459323342376948</v>
      </c>
      <c r="E947">
        <f t="shared" si="141"/>
        <v>10.683497915741652</v>
      </c>
      <c r="F947">
        <f t="shared" si="144"/>
        <v>1</v>
      </c>
      <c r="G947">
        <f t="shared" si="145"/>
        <v>0.65285391210150023</v>
      </c>
      <c r="H947">
        <f t="shared" si="146"/>
        <v>8.6321996238035847</v>
      </c>
      <c r="K947">
        <v>0.91900000000000004</v>
      </c>
      <c r="L947">
        <f t="shared" si="142"/>
        <v>3.7100676657623026</v>
      </c>
      <c r="M947">
        <f t="shared" si="143"/>
        <v>17.473194105283522</v>
      </c>
      <c r="N947">
        <f t="shared" si="147"/>
        <v>1</v>
      </c>
      <c r="O947">
        <f t="shared" si="148"/>
        <v>0.54201817644031614</v>
      </c>
      <c r="P947">
        <f t="shared" si="149"/>
        <v>12.864094648642491</v>
      </c>
    </row>
    <row r="948" spans="3:16" x14ac:dyDescent="0.25">
      <c r="C948">
        <v>0.92</v>
      </c>
      <c r="D948">
        <f t="shared" si="140"/>
        <v>-2.3087397539796157</v>
      </c>
      <c r="E948">
        <f t="shared" si="141"/>
        <v>10.676064903587239</v>
      </c>
      <c r="F948">
        <f t="shared" si="144"/>
        <v>1</v>
      </c>
      <c r="G948">
        <f t="shared" si="145"/>
        <v>0.64685177110144876</v>
      </c>
      <c r="H948">
        <f t="shared" si="146"/>
        <v>8.5864489292218913</v>
      </c>
      <c r="K948">
        <v>0.92</v>
      </c>
      <c r="L948">
        <f t="shared" si="142"/>
        <v>3.7712602460203826</v>
      </c>
      <c r="M948">
        <f t="shared" si="143"/>
        <v>17.460964644738919</v>
      </c>
      <c r="N948">
        <f t="shared" si="147"/>
        <v>1</v>
      </c>
      <c r="O948">
        <f t="shared" si="148"/>
        <v>0.5366007258452884</v>
      </c>
      <c r="P948">
        <f t="shared" si="149"/>
        <v>12.790686687643019</v>
      </c>
    </row>
    <row r="949" spans="3:16" x14ac:dyDescent="0.25">
      <c r="C949">
        <v>0.92100000000000004</v>
      </c>
      <c r="D949">
        <f t="shared" si="140"/>
        <v>-2.2715471737215367</v>
      </c>
      <c r="E949">
        <f t="shared" si="141"/>
        <v>10.668631891432826</v>
      </c>
      <c r="F949">
        <f t="shared" si="144"/>
        <v>1</v>
      </c>
      <c r="G949">
        <f t="shared" si="145"/>
        <v>0.64079818550537948</v>
      </c>
      <c r="H949">
        <f t="shared" si="146"/>
        <v>8.5402260718459502</v>
      </c>
      <c r="K949">
        <v>0.92100000000000004</v>
      </c>
      <c r="L949">
        <f t="shared" si="142"/>
        <v>3.8324528262784625</v>
      </c>
      <c r="M949">
        <f t="shared" si="143"/>
        <v>17.448735184194316</v>
      </c>
      <c r="N949">
        <f t="shared" si="147"/>
        <v>1</v>
      </c>
      <c r="O949">
        <f t="shared" si="148"/>
        <v>0.53115142195450671</v>
      </c>
      <c r="P949">
        <f t="shared" si="149"/>
        <v>12.71666192793173</v>
      </c>
    </row>
    <row r="950" spans="3:16" x14ac:dyDescent="0.25">
      <c r="C950">
        <v>0.92200000000000004</v>
      </c>
      <c r="D950">
        <f t="shared" si="140"/>
        <v>-2.2343545934634577</v>
      </c>
      <c r="E950">
        <f t="shared" si="141"/>
        <v>10.661198879278414</v>
      </c>
      <c r="F950">
        <f t="shared" si="144"/>
        <v>1</v>
      </c>
      <c r="G950">
        <f t="shared" si="145"/>
        <v>0.63469315531329262</v>
      </c>
      <c r="H950">
        <f t="shared" si="146"/>
        <v>8.4935246662757873</v>
      </c>
      <c r="K950">
        <v>0.92200000000000004</v>
      </c>
      <c r="L950">
        <f t="shared" si="142"/>
        <v>3.8936454065365425</v>
      </c>
      <c r="M950">
        <f t="shared" si="143"/>
        <v>17.436505723649713</v>
      </c>
      <c r="N950">
        <f t="shared" si="147"/>
        <v>1</v>
      </c>
      <c r="O950">
        <f t="shared" si="148"/>
        <v>0.52567026476797096</v>
      </c>
      <c r="P950">
        <f t="shared" si="149"/>
        <v>12.642010954745736</v>
      </c>
    </row>
    <row r="951" spans="3:16" x14ac:dyDescent="0.25">
      <c r="C951">
        <v>0.92300000000000004</v>
      </c>
      <c r="D951">
        <f t="shared" si="140"/>
        <v>-2.1971620132053786</v>
      </c>
      <c r="E951">
        <f t="shared" si="141"/>
        <v>10.653765867124001</v>
      </c>
      <c r="F951">
        <f t="shared" si="144"/>
        <v>1</v>
      </c>
      <c r="G951">
        <f t="shared" si="145"/>
        <v>0.62853668052518807</v>
      </c>
      <c r="H951">
        <f t="shared" si="146"/>
        <v>8.4463381032467382</v>
      </c>
      <c r="K951">
        <v>0.92300000000000004</v>
      </c>
      <c r="L951">
        <f t="shared" si="142"/>
        <v>3.9548379867946224</v>
      </c>
      <c r="M951">
        <f t="shared" si="143"/>
        <v>17.424276263105106</v>
      </c>
      <c r="N951">
        <f t="shared" si="147"/>
        <v>1</v>
      </c>
      <c r="O951">
        <f t="shared" si="148"/>
        <v>0.52015725428568116</v>
      </c>
      <c r="P951">
        <f t="shared" si="149"/>
        <v>12.56672403465549</v>
      </c>
    </row>
    <row r="952" spans="3:16" x14ac:dyDescent="0.25">
      <c r="C952">
        <v>0.92400000000000004</v>
      </c>
      <c r="D952">
        <f t="shared" si="140"/>
        <v>-2.1599694329472996</v>
      </c>
      <c r="E952">
        <f t="shared" si="141"/>
        <v>10.646332854969588</v>
      </c>
      <c r="F952">
        <f t="shared" si="144"/>
        <v>1</v>
      </c>
      <c r="G952">
        <f t="shared" si="145"/>
        <v>0.62232876114106572</v>
      </c>
      <c r="H952">
        <f t="shared" si="146"/>
        <v>8.3986595396125825</v>
      </c>
      <c r="K952">
        <v>0.92400000000000004</v>
      </c>
      <c r="L952">
        <f t="shared" si="142"/>
        <v>4.0160305670526952</v>
      </c>
      <c r="M952">
        <f t="shared" si="143"/>
        <v>17.412046802560507</v>
      </c>
      <c r="N952">
        <f t="shared" si="147"/>
        <v>1</v>
      </c>
      <c r="O952">
        <f t="shared" si="148"/>
        <v>0.51461239050763796</v>
      </c>
      <c r="P952">
        <f t="shared" si="149"/>
        <v>12.490791101123369</v>
      </c>
    </row>
    <row r="953" spans="3:16" x14ac:dyDescent="0.25">
      <c r="C953">
        <v>0.92500000000000004</v>
      </c>
      <c r="D953">
        <f t="shared" si="140"/>
        <v>-2.1227768526892206</v>
      </c>
      <c r="E953">
        <f t="shared" si="141"/>
        <v>10.638899842815176</v>
      </c>
      <c r="F953">
        <f t="shared" si="144"/>
        <v>1</v>
      </c>
      <c r="G953">
        <f t="shared" si="145"/>
        <v>0.6160693971609259</v>
      </c>
      <c r="H953">
        <f t="shared" si="146"/>
        <v>8.3504818877326823</v>
      </c>
      <c r="K953">
        <v>0.92500000000000004</v>
      </c>
      <c r="L953">
        <f t="shared" si="142"/>
        <v>4.0772231473107752</v>
      </c>
      <c r="M953">
        <f t="shared" si="143"/>
        <v>17.399817342015901</v>
      </c>
      <c r="N953">
        <f t="shared" si="147"/>
        <v>1</v>
      </c>
      <c r="O953">
        <f t="shared" si="148"/>
        <v>0.50903567343384015</v>
      </c>
      <c r="P953">
        <f t="shared" si="149"/>
        <v>12.414201739203806</v>
      </c>
    </row>
    <row r="954" spans="3:16" x14ac:dyDescent="0.25">
      <c r="C954">
        <v>0.92600000000000005</v>
      </c>
      <c r="D954">
        <f t="shared" si="140"/>
        <v>-2.0855842724311486</v>
      </c>
      <c r="E954">
        <f t="shared" si="141"/>
        <v>10.631466830660765</v>
      </c>
      <c r="F954">
        <f t="shared" si="144"/>
        <v>1</v>
      </c>
      <c r="G954">
        <f t="shared" si="145"/>
        <v>0.60975858858476939</v>
      </c>
      <c r="H954">
        <f t="shared" si="146"/>
        <v>8.3017978042193885</v>
      </c>
      <c r="K954">
        <v>0.92600000000000005</v>
      </c>
      <c r="L954">
        <f t="shared" si="142"/>
        <v>4.1384157275688551</v>
      </c>
      <c r="M954">
        <f t="shared" si="143"/>
        <v>17.387587881471298</v>
      </c>
      <c r="N954">
        <f t="shared" si="147"/>
        <v>1</v>
      </c>
      <c r="O954">
        <f t="shared" si="148"/>
        <v>0.50342710306428806</v>
      </c>
      <c r="P954">
        <f t="shared" si="149"/>
        <v>12.336945169322137</v>
      </c>
    </row>
    <row r="955" spans="3:16" x14ac:dyDescent="0.25">
      <c r="C955">
        <v>0.92700000000000005</v>
      </c>
      <c r="D955">
        <f t="shared" si="140"/>
        <v>-2.0483916921730696</v>
      </c>
      <c r="E955">
        <f t="shared" si="141"/>
        <v>10.624033818506351</v>
      </c>
      <c r="F955">
        <f t="shared" si="144"/>
        <v>1</v>
      </c>
      <c r="G955">
        <f t="shared" si="145"/>
        <v>0.60339633541259396</v>
      </c>
      <c r="H955">
        <f t="shared" si="146"/>
        <v>8.2525996779980719</v>
      </c>
      <c r="K955">
        <v>0.92700000000000005</v>
      </c>
      <c r="L955">
        <f t="shared" si="142"/>
        <v>4.1996083078269351</v>
      </c>
      <c r="M955">
        <f t="shared" si="143"/>
        <v>17.375358420926695</v>
      </c>
      <c r="N955">
        <f t="shared" si="147"/>
        <v>1</v>
      </c>
      <c r="O955">
        <f t="shared" si="148"/>
        <v>0.49778667939898213</v>
      </c>
      <c r="P955">
        <f t="shared" si="149"/>
        <v>12.25901023006317</v>
      </c>
    </row>
    <row r="956" spans="3:16" x14ac:dyDescent="0.25">
      <c r="C956">
        <v>0.92800000000000005</v>
      </c>
      <c r="D956">
        <f t="shared" si="140"/>
        <v>-2.0111991119149906</v>
      </c>
      <c r="E956">
        <f t="shared" si="141"/>
        <v>10.61660080635194</v>
      </c>
      <c r="F956">
        <f t="shared" si="144"/>
        <v>1</v>
      </c>
      <c r="G956">
        <f t="shared" si="145"/>
        <v>0.59698263764440096</v>
      </c>
      <c r="H956">
        <f t="shared" si="146"/>
        <v>8.2028796176280903</v>
      </c>
      <c r="K956">
        <v>0.92800000000000005</v>
      </c>
      <c r="L956">
        <f t="shared" si="142"/>
        <v>4.260800888085015</v>
      </c>
      <c r="M956">
        <f t="shared" si="143"/>
        <v>17.363128960382092</v>
      </c>
      <c r="N956">
        <f t="shared" si="147"/>
        <v>1</v>
      </c>
      <c r="O956">
        <f t="shared" si="148"/>
        <v>0.49211440243792215</v>
      </c>
      <c r="P956">
        <f t="shared" si="149"/>
        <v>12.18038535989489</v>
      </c>
    </row>
    <row r="957" spans="3:16" x14ac:dyDescent="0.25">
      <c r="C957">
        <v>0.92900000000000005</v>
      </c>
      <c r="D957">
        <f t="shared" si="140"/>
        <v>-1.9740065316569115</v>
      </c>
      <c r="E957">
        <f t="shared" si="141"/>
        <v>10.609167794197527</v>
      </c>
      <c r="F957">
        <f t="shared" si="144"/>
        <v>1</v>
      </c>
      <c r="G957">
        <f t="shared" si="145"/>
        <v>0.59051749528019015</v>
      </c>
      <c r="H957">
        <f t="shared" si="146"/>
        <v>8.1526294378279012</v>
      </c>
      <c r="K957">
        <v>0.92900000000000005</v>
      </c>
      <c r="L957">
        <f t="shared" si="142"/>
        <v>4.3219934683430949</v>
      </c>
      <c r="M957">
        <f t="shared" si="143"/>
        <v>17.350899499837489</v>
      </c>
      <c r="N957">
        <f t="shared" si="147"/>
        <v>1</v>
      </c>
      <c r="O957">
        <f t="shared" si="148"/>
        <v>0.48641027218110822</v>
      </c>
      <c r="P957">
        <f t="shared" si="149"/>
        <v>12.101058577745636</v>
      </c>
    </row>
    <row r="958" spans="3:16" x14ac:dyDescent="0.25">
      <c r="C958">
        <v>0.93</v>
      </c>
      <c r="D958">
        <f t="shared" si="140"/>
        <v>-1.9368139513988325</v>
      </c>
      <c r="E958">
        <f t="shared" si="141"/>
        <v>10.601734782043113</v>
      </c>
      <c r="F958">
        <f t="shared" si="144"/>
        <v>1</v>
      </c>
      <c r="G958">
        <f t="shared" si="145"/>
        <v>0.58400090831996176</v>
      </c>
      <c r="H958">
        <f t="shared" si="146"/>
        <v>8.1018406451428309</v>
      </c>
      <c r="K958">
        <v>0.93</v>
      </c>
      <c r="L958">
        <f t="shared" si="142"/>
        <v>4.3831860486011678</v>
      </c>
      <c r="M958">
        <f t="shared" si="143"/>
        <v>17.338670039292886</v>
      </c>
      <c r="N958">
        <f t="shared" si="147"/>
        <v>1</v>
      </c>
      <c r="O958">
        <f t="shared" si="148"/>
        <v>0.48067428862854078</v>
      </c>
      <c r="P958">
        <f t="shared" si="149"/>
        <v>12.021017462345677</v>
      </c>
    </row>
    <row r="959" spans="3:16" x14ac:dyDescent="0.25">
      <c r="C959">
        <v>0.93100000000000005</v>
      </c>
      <c r="D959">
        <f t="shared" si="140"/>
        <v>-1.8996213711407535</v>
      </c>
      <c r="E959">
        <f t="shared" si="141"/>
        <v>10.594301769888702</v>
      </c>
      <c r="F959">
        <f t="shared" si="144"/>
        <v>1</v>
      </c>
      <c r="G959">
        <f t="shared" si="145"/>
        <v>0.57743287676371557</v>
      </c>
      <c r="H959">
        <f t="shared" si="146"/>
        <v>8.0505044226878741</v>
      </c>
      <c r="K959">
        <v>0.93100000000000005</v>
      </c>
      <c r="L959">
        <f t="shared" si="142"/>
        <v>4.4443786288592477</v>
      </c>
      <c r="M959">
        <f t="shared" si="143"/>
        <v>17.326440578748283</v>
      </c>
      <c r="N959">
        <f t="shared" si="147"/>
        <v>1</v>
      </c>
      <c r="O959">
        <f t="shared" si="148"/>
        <v>0.47490645178021862</v>
      </c>
      <c r="P959">
        <f t="shared" si="149"/>
        <v>11.940249130235808</v>
      </c>
    </row>
    <row r="960" spans="3:16" x14ac:dyDescent="0.25">
      <c r="C960">
        <v>0.93200000000000005</v>
      </c>
      <c r="D960">
        <f t="shared" si="140"/>
        <v>-1.8624287908826744</v>
      </c>
      <c r="E960">
        <f t="shared" si="141"/>
        <v>10.586868757734289</v>
      </c>
      <c r="F960">
        <f t="shared" si="144"/>
        <v>1</v>
      </c>
      <c r="G960">
        <f t="shared" si="145"/>
        <v>0.57081340061145169</v>
      </c>
      <c r="H960">
        <f t="shared" si="146"/>
        <v>7.99861161389176</v>
      </c>
      <c r="K960">
        <v>0.93200000000000005</v>
      </c>
      <c r="L960">
        <f t="shared" si="142"/>
        <v>4.5055712091173277</v>
      </c>
      <c r="M960">
        <f t="shared" si="143"/>
        <v>17.31421111820368</v>
      </c>
      <c r="N960">
        <f t="shared" si="147"/>
        <v>1</v>
      </c>
      <c r="O960">
        <f t="shared" si="148"/>
        <v>0.46910676163614251</v>
      </c>
      <c r="P960">
        <f t="shared" si="149"/>
        <v>11.858740212336462</v>
      </c>
    </row>
    <row r="961" spans="3:16" x14ac:dyDescent="0.25">
      <c r="C961">
        <v>0.93300000000000005</v>
      </c>
      <c r="D961">
        <f t="shared" si="140"/>
        <v>-1.8252362106245954</v>
      </c>
      <c r="E961">
        <f t="shared" si="141"/>
        <v>10.579435745579875</v>
      </c>
      <c r="F961">
        <f t="shared" si="144"/>
        <v>1</v>
      </c>
      <c r="G961">
        <f t="shared" si="145"/>
        <v>0.56414247986317023</v>
      </c>
      <c r="H961">
        <f t="shared" si="146"/>
        <v>7.9461527051613103</v>
      </c>
      <c r="K961">
        <v>0.93300000000000005</v>
      </c>
      <c r="L961">
        <f t="shared" si="142"/>
        <v>4.5667637893754076</v>
      </c>
      <c r="M961">
        <f t="shared" si="143"/>
        <v>17.301981657659077</v>
      </c>
      <c r="N961">
        <f t="shared" si="147"/>
        <v>1</v>
      </c>
      <c r="O961">
        <f t="shared" si="148"/>
        <v>0.46327521819631234</v>
      </c>
      <c r="P961">
        <f t="shared" si="149"/>
        <v>11.776476828960394</v>
      </c>
    </row>
    <row r="962" spans="3:16" x14ac:dyDescent="0.25">
      <c r="C962">
        <v>0.93400000000000005</v>
      </c>
      <c r="D962">
        <f t="shared" si="140"/>
        <v>-1.7880436303665164</v>
      </c>
      <c r="E962">
        <f t="shared" si="141"/>
        <v>10.572002733425464</v>
      </c>
      <c r="F962">
        <f t="shared" si="144"/>
        <v>1</v>
      </c>
      <c r="G962">
        <f t="shared" si="145"/>
        <v>0.55742011451887097</v>
      </c>
      <c r="H962">
        <f t="shared" si="146"/>
        <v>7.8931178073773154</v>
      </c>
      <c r="K962">
        <v>0.93400000000000005</v>
      </c>
      <c r="L962">
        <f t="shared" si="142"/>
        <v>4.6279563696334876</v>
      </c>
      <c r="M962">
        <f t="shared" si="143"/>
        <v>17.289752197114474</v>
      </c>
      <c r="N962">
        <f t="shared" si="147"/>
        <v>1</v>
      </c>
      <c r="O962">
        <f t="shared" si="148"/>
        <v>0.45741182146072812</v>
      </c>
      <c r="P962">
        <f t="shared" si="149"/>
        <v>11.693444563140922</v>
      </c>
    </row>
    <row r="963" spans="3:16" x14ac:dyDescent="0.25">
      <c r="C963">
        <v>0.93500000000000005</v>
      </c>
      <c r="D963">
        <f t="shared" si="140"/>
        <v>-1.7508510501084373</v>
      </c>
      <c r="E963">
        <f t="shared" si="141"/>
        <v>10.564569721271051</v>
      </c>
      <c r="F963">
        <f t="shared" si="144"/>
        <v>1</v>
      </c>
      <c r="G963">
        <f t="shared" si="145"/>
        <v>0.55064630457855401</v>
      </c>
      <c r="H963">
        <f t="shared" si="146"/>
        <v>7.8394966361243501</v>
      </c>
      <c r="K963">
        <v>0.93500000000000005</v>
      </c>
      <c r="L963">
        <f t="shared" si="142"/>
        <v>4.6891489498915604</v>
      </c>
      <c r="M963">
        <f t="shared" si="143"/>
        <v>17.277522736569871</v>
      </c>
      <c r="N963">
        <f t="shared" si="147"/>
        <v>1</v>
      </c>
      <c r="O963">
        <f t="shared" si="148"/>
        <v>0.4515165714293905</v>
      </c>
      <c r="P963">
        <f t="shared" si="149"/>
        <v>11.609628432134784</v>
      </c>
    </row>
    <row r="964" spans="3:16" x14ac:dyDescent="0.25">
      <c r="C964">
        <v>0.93600000000000005</v>
      </c>
      <c r="D964">
        <f t="shared" si="140"/>
        <v>-1.7136584698503583</v>
      </c>
      <c r="E964">
        <f t="shared" si="141"/>
        <v>10.557136709116639</v>
      </c>
      <c r="F964">
        <f t="shared" si="144"/>
        <v>1</v>
      </c>
      <c r="G964">
        <f t="shared" si="145"/>
        <v>0.54382105004221937</v>
      </c>
      <c r="H964">
        <f t="shared" si="146"/>
        <v>7.7852784905471903</v>
      </c>
      <c r="K964">
        <v>0.93600000000000005</v>
      </c>
      <c r="L964">
        <f t="shared" si="142"/>
        <v>4.7503415301496403</v>
      </c>
      <c r="M964">
        <f t="shared" si="143"/>
        <v>17.265293276025268</v>
      </c>
      <c r="N964">
        <f t="shared" si="147"/>
        <v>1</v>
      </c>
      <c r="O964">
        <f t="shared" si="148"/>
        <v>0.44558946810229827</v>
      </c>
      <c r="P964">
        <f t="shared" si="149"/>
        <v>11.525012856944665</v>
      </c>
    </row>
    <row r="965" spans="3:16" x14ac:dyDescent="0.25">
      <c r="C965">
        <v>0.93700000000000006</v>
      </c>
      <c r="D965">
        <f t="shared" si="140"/>
        <v>-1.6764658895922793</v>
      </c>
      <c r="E965">
        <f t="shared" si="141"/>
        <v>10.549703696962226</v>
      </c>
      <c r="F965">
        <f t="shared" si="144"/>
        <v>1</v>
      </c>
      <c r="G965">
        <f t="shared" si="145"/>
        <v>0.53694435090986703</v>
      </c>
      <c r="H965">
        <f t="shared" si="146"/>
        <v>7.7304522307155121</v>
      </c>
      <c r="K965">
        <v>0.93700000000000006</v>
      </c>
      <c r="L965">
        <f t="shared" si="142"/>
        <v>4.8115341104077203</v>
      </c>
      <c r="M965">
        <f t="shared" si="143"/>
        <v>17.253063815480665</v>
      </c>
      <c r="N965">
        <f t="shared" si="147"/>
        <v>1</v>
      </c>
      <c r="O965">
        <f t="shared" si="148"/>
        <v>0.43963051147945176</v>
      </c>
      <c r="P965">
        <f t="shared" si="149"/>
        <v>11.439581629690696</v>
      </c>
    </row>
    <row r="966" spans="3:16" x14ac:dyDescent="0.25">
      <c r="C966">
        <v>0.93799999999999994</v>
      </c>
      <c r="D966">
        <f t="shared" si="140"/>
        <v>-1.6392733093342073</v>
      </c>
      <c r="E966">
        <f t="shared" si="141"/>
        <v>10.542270684807814</v>
      </c>
      <c r="F966">
        <f t="shared" si="144"/>
        <v>1</v>
      </c>
      <c r="G966">
        <f t="shared" si="145"/>
        <v>0.53001620718149822</v>
      </c>
      <c r="H966">
        <f t="shared" si="146"/>
        <v>7.6750062533663828</v>
      </c>
      <c r="K966">
        <v>0.93799999999999994</v>
      </c>
      <c r="L966">
        <f t="shared" si="142"/>
        <v>4.8727266906657931</v>
      </c>
      <c r="M966">
        <f t="shared" si="143"/>
        <v>17.240834354936062</v>
      </c>
      <c r="N966">
        <f t="shared" si="147"/>
        <v>1</v>
      </c>
      <c r="O966">
        <f t="shared" si="148"/>
        <v>0.43363970156085208</v>
      </c>
      <c r="P966">
        <f t="shared" si="149"/>
        <v>11.353317878642367</v>
      </c>
    </row>
    <row r="967" spans="3:16" x14ac:dyDescent="0.25">
      <c r="C967">
        <v>0.93899999999999995</v>
      </c>
      <c r="D967">
        <f t="shared" si="140"/>
        <v>-1.6020807290761283</v>
      </c>
      <c r="E967">
        <f t="shared" si="141"/>
        <v>10.534837672653401</v>
      </c>
      <c r="F967">
        <f t="shared" si="144"/>
        <v>1</v>
      </c>
      <c r="G967">
        <f t="shared" si="145"/>
        <v>0.5230366188571105</v>
      </c>
      <c r="H967">
        <f t="shared" si="146"/>
        <v>7.6189284658801979</v>
      </c>
      <c r="K967">
        <v>0.93899999999999995</v>
      </c>
      <c r="L967">
        <f t="shared" si="142"/>
        <v>4.9339192709238731</v>
      </c>
      <c r="M967">
        <f t="shared" si="143"/>
        <v>17.228604894391459</v>
      </c>
      <c r="N967">
        <f t="shared" si="147"/>
        <v>1</v>
      </c>
      <c r="O967">
        <f t="shared" si="148"/>
        <v>0.42761703834649778</v>
      </c>
      <c r="P967">
        <f t="shared" si="149"/>
        <v>11.266204030702585</v>
      </c>
    </row>
    <row r="968" spans="3:16" x14ac:dyDescent="0.25">
      <c r="C968">
        <v>0.94</v>
      </c>
      <c r="D968">
        <f t="shared" si="140"/>
        <v>-1.5648881488180493</v>
      </c>
      <c r="E968">
        <f t="shared" si="141"/>
        <v>10.527404660498989</v>
      </c>
      <c r="F968">
        <f t="shared" si="144"/>
        <v>1</v>
      </c>
      <c r="G968">
        <f t="shared" si="145"/>
        <v>0.5160055859367052</v>
      </c>
      <c r="H968">
        <f t="shared" si="146"/>
        <v>7.5622062583305549</v>
      </c>
      <c r="K968">
        <v>0.94</v>
      </c>
      <c r="L968">
        <f t="shared" si="142"/>
        <v>4.9951118511819459</v>
      </c>
      <c r="M968">
        <f t="shared" si="143"/>
        <v>17.216375433846856</v>
      </c>
      <c r="N968">
        <f t="shared" si="147"/>
        <v>1</v>
      </c>
      <c r="O968">
        <f t="shared" si="148"/>
        <v>0.42156252183638998</v>
      </c>
      <c r="P968">
        <f t="shared" si="149"/>
        <v>11.17822177111346</v>
      </c>
    </row>
    <row r="969" spans="3:16" x14ac:dyDescent="0.25">
      <c r="C969">
        <v>0.94099999999999995</v>
      </c>
      <c r="D969">
        <f t="shared" si="140"/>
        <v>-1.5276955685599702</v>
      </c>
      <c r="E969">
        <f t="shared" si="141"/>
        <v>10.519971648344576</v>
      </c>
      <c r="F969">
        <f t="shared" si="144"/>
        <v>1</v>
      </c>
      <c r="G969">
        <f t="shared" si="145"/>
        <v>0.50892310842028199</v>
      </c>
      <c r="H969">
        <f t="shared" si="146"/>
        <v>7.5048264734308017</v>
      </c>
      <c r="K969">
        <v>0.94099999999999995</v>
      </c>
      <c r="L969">
        <f t="shared" si="142"/>
        <v>5.0563044314400258</v>
      </c>
      <c r="M969">
        <f t="shared" si="143"/>
        <v>17.204145973302253</v>
      </c>
      <c r="N969">
        <f t="shared" si="147"/>
        <v>1</v>
      </c>
      <c r="O969">
        <f t="shared" si="148"/>
        <v>0.41547615203052746</v>
      </c>
      <c r="P969">
        <f t="shared" si="149"/>
        <v>11.089352000127922</v>
      </c>
    </row>
    <row r="970" spans="3:16" x14ac:dyDescent="0.25">
      <c r="C970">
        <v>0.94199999999999995</v>
      </c>
      <c r="D970">
        <f t="shared" si="140"/>
        <v>-1.4905029883018912</v>
      </c>
      <c r="E970">
        <f t="shared" si="141"/>
        <v>10.512538636190165</v>
      </c>
      <c r="F970">
        <f t="shared" si="144"/>
        <v>1</v>
      </c>
      <c r="G970">
        <f t="shared" si="145"/>
        <v>0.5017891863078412</v>
      </c>
      <c r="H970">
        <f t="shared" si="146"/>
        <v>7.4467753741808398</v>
      </c>
      <c r="K970">
        <v>0.94199999999999995</v>
      </c>
      <c r="L970">
        <f t="shared" si="142"/>
        <v>5.1174970116981058</v>
      </c>
      <c r="M970">
        <f t="shared" si="143"/>
        <v>17.191916512757651</v>
      </c>
      <c r="N970">
        <f t="shared" si="147"/>
        <v>1</v>
      </c>
      <c r="O970">
        <f t="shared" si="148"/>
        <v>0.40935792892891087</v>
      </c>
      <c r="P970">
        <f t="shared" si="149"/>
        <v>10.999574786363524</v>
      </c>
    </row>
    <row r="971" spans="3:16" x14ac:dyDescent="0.25">
      <c r="C971">
        <v>0.94299999999999995</v>
      </c>
      <c r="D971">
        <f t="shared" si="140"/>
        <v>-1.4533104080438122</v>
      </c>
      <c r="E971">
        <f t="shared" si="141"/>
        <v>10.505105624035751</v>
      </c>
      <c r="F971">
        <f t="shared" si="144"/>
        <v>1</v>
      </c>
      <c r="G971">
        <f t="shared" si="145"/>
        <v>0.49460381959938271</v>
      </c>
      <c r="H971">
        <f t="shared" si="146"/>
        <v>7.3880386089953474</v>
      </c>
      <c r="K971">
        <v>0.94299999999999995</v>
      </c>
      <c r="L971">
        <f t="shared" si="142"/>
        <v>5.1786895919561857</v>
      </c>
      <c r="M971">
        <f t="shared" si="143"/>
        <v>17.179687052213044</v>
      </c>
      <c r="N971">
        <f t="shared" si="147"/>
        <v>1</v>
      </c>
      <c r="O971">
        <f t="shared" si="148"/>
        <v>0.40320785253154034</v>
      </c>
      <c r="P971">
        <f t="shared" si="149"/>
        <v>10.908869316522338</v>
      </c>
    </row>
    <row r="972" spans="3:16" x14ac:dyDescent="0.25">
      <c r="C972">
        <v>0.94399999999999995</v>
      </c>
      <c r="D972">
        <f t="shared" si="140"/>
        <v>-1.4161178277857331</v>
      </c>
      <c r="E972">
        <f t="shared" si="141"/>
        <v>10.497672611881338</v>
      </c>
      <c r="F972">
        <f t="shared" si="144"/>
        <v>1</v>
      </c>
      <c r="G972">
        <f t="shared" si="145"/>
        <v>0.48736700829490653</v>
      </c>
      <c r="H972">
        <f t="shared" si="146"/>
        <v>7.3286011740697417</v>
      </c>
      <c r="K972">
        <v>0.94399999999999995</v>
      </c>
      <c r="L972">
        <f t="shared" si="142"/>
        <v>5.2398821722142657</v>
      </c>
      <c r="M972">
        <f t="shared" si="143"/>
        <v>17.167457591668441</v>
      </c>
      <c r="N972">
        <f t="shared" si="147"/>
        <v>1</v>
      </c>
      <c r="O972">
        <f t="shared" si="148"/>
        <v>0.39702592283841576</v>
      </c>
      <c r="P972">
        <f t="shared" si="149"/>
        <v>10.81721384112504</v>
      </c>
    </row>
    <row r="973" spans="3:16" x14ac:dyDescent="0.25">
      <c r="C973">
        <v>0.94499999999999995</v>
      </c>
      <c r="D973">
        <f t="shared" si="140"/>
        <v>-1.3789252475276541</v>
      </c>
      <c r="E973">
        <f t="shared" si="141"/>
        <v>10.490239599726927</v>
      </c>
      <c r="F973">
        <f t="shared" si="144"/>
        <v>1</v>
      </c>
      <c r="G973">
        <f t="shared" si="145"/>
        <v>0.48007875239441256</v>
      </c>
      <c r="H973">
        <f t="shared" si="146"/>
        <v>7.2684473727116936</v>
      </c>
      <c r="K973">
        <v>0.94499999999999995</v>
      </c>
      <c r="L973">
        <f t="shared" si="142"/>
        <v>5.3010747524723456</v>
      </c>
      <c r="M973">
        <f t="shared" si="143"/>
        <v>17.155228131123838</v>
      </c>
      <c r="N973">
        <f t="shared" si="147"/>
        <v>1</v>
      </c>
      <c r="O973">
        <f t="shared" si="148"/>
        <v>0.390812139849537</v>
      </c>
      <c r="P973">
        <f t="shared" si="149"/>
        <v>10.724585615866065</v>
      </c>
    </row>
    <row r="974" spans="3:16" x14ac:dyDescent="0.25">
      <c r="C974">
        <v>0.94599999999999995</v>
      </c>
      <c r="D974">
        <f t="shared" si="140"/>
        <v>-1.3417326672695751</v>
      </c>
      <c r="E974">
        <f t="shared" si="141"/>
        <v>10.482806587572513</v>
      </c>
      <c r="F974">
        <f t="shared" si="144"/>
        <v>1</v>
      </c>
      <c r="G974">
        <f t="shared" si="145"/>
        <v>0.47273905189790089</v>
      </c>
      <c r="H974">
        <f t="shared" si="146"/>
        <v>7.2075607713337781</v>
      </c>
      <c r="K974">
        <v>0.94599999999999995</v>
      </c>
      <c r="L974">
        <f t="shared" si="142"/>
        <v>5.3622673327304184</v>
      </c>
      <c r="M974">
        <f t="shared" si="143"/>
        <v>17.142998670579235</v>
      </c>
      <c r="N974">
        <f t="shared" si="147"/>
        <v>1</v>
      </c>
      <c r="O974">
        <f t="shared" si="148"/>
        <v>0.38456650356490507</v>
      </c>
      <c r="P974">
        <f t="shared" si="149"/>
        <v>10.63096083815009</v>
      </c>
    </row>
    <row r="975" spans="3:16" x14ac:dyDescent="0.25">
      <c r="C975">
        <v>0.94699999999999995</v>
      </c>
      <c r="D975">
        <f t="shared" si="140"/>
        <v>-1.304540087011496</v>
      </c>
      <c r="E975">
        <f t="shared" si="141"/>
        <v>10.4753735754181</v>
      </c>
      <c r="F975">
        <f t="shared" si="144"/>
        <v>1</v>
      </c>
      <c r="G975">
        <f t="shared" si="145"/>
        <v>0.46534790680537164</v>
      </c>
      <c r="H975">
        <f t="shared" si="146"/>
        <v>7.1459241517660468</v>
      </c>
      <c r="K975">
        <v>0.94699999999999995</v>
      </c>
      <c r="L975">
        <f t="shared" si="142"/>
        <v>5.4234599129884984</v>
      </c>
      <c r="M975">
        <f t="shared" si="143"/>
        <v>17.130769210034632</v>
      </c>
      <c r="N975">
        <f t="shared" si="147"/>
        <v>1</v>
      </c>
      <c r="O975">
        <f t="shared" si="148"/>
        <v>0.37828901398451842</v>
      </c>
      <c r="P975">
        <f t="shared" si="149"/>
        <v>10.536314578316908</v>
      </c>
    </row>
    <row r="976" spans="3:16" x14ac:dyDescent="0.25">
      <c r="C976">
        <v>0.94799999999999995</v>
      </c>
      <c r="D976">
        <f t="shared" si="140"/>
        <v>-1.2673475067534241</v>
      </c>
      <c r="E976">
        <f t="shared" si="141"/>
        <v>10.46794056326369</v>
      </c>
      <c r="F976">
        <f t="shared" si="144"/>
        <v>1</v>
      </c>
      <c r="G976">
        <f t="shared" si="145"/>
        <v>0.45790531711682603</v>
      </c>
      <c r="H976">
        <f t="shared" si="146"/>
        <v>7.0835194595052844</v>
      </c>
      <c r="K976">
        <v>0.94799999999999995</v>
      </c>
      <c r="L976">
        <f t="shared" si="142"/>
        <v>5.4846524932465783</v>
      </c>
      <c r="M976">
        <f t="shared" si="143"/>
        <v>17.118539749490029</v>
      </c>
      <c r="N976">
        <f t="shared" si="147"/>
        <v>1</v>
      </c>
      <c r="O976">
        <f t="shared" si="148"/>
        <v>0.3719796711083776</v>
      </c>
      <c r="P976">
        <f t="shared" si="149"/>
        <v>10.440620705001184</v>
      </c>
    </row>
    <row r="977" spans="3:16" x14ac:dyDescent="0.25">
      <c r="C977">
        <v>0.94899999999999995</v>
      </c>
      <c r="D977">
        <f t="shared" si="140"/>
        <v>-1.2301549264953451</v>
      </c>
      <c r="E977">
        <f t="shared" si="141"/>
        <v>10.460507551109277</v>
      </c>
      <c r="F977">
        <f t="shared" si="144"/>
        <v>1</v>
      </c>
      <c r="G977">
        <f t="shared" si="145"/>
        <v>0.45041128283226139</v>
      </c>
      <c r="H977">
        <f t="shared" si="146"/>
        <v>7.0203277474695618</v>
      </c>
      <c r="K977">
        <v>0.94899999999999995</v>
      </c>
      <c r="L977">
        <f t="shared" si="142"/>
        <v>5.5458450735046583</v>
      </c>
      <c r="M977">
        <f t="shared" si="143"/>
        <v>17.106310288945423</v>
      </c>
      <c r="N977">
        <f t="shared" si="147"/>
        <v>1</v>
      </c>
      <c r="O977">
        <f t="shared" si="148"/>
        <v>0.36563847493648283</v>
      </c>
      <c r="P977">
        <f t="shared" si="149"/>
        <v>10.343851804003753</v>
      </c>
    </row>
    <row r="978" spans="3:16" x14ac:dyDescent="0.25">
      <c r="C978">
        <v>0.95</v>
      </c>
      <c r="D978">
        <f t="shared" si="140"/>
        <v>-1.192962346237266</v>
      </c>
      <c r="E978">
        <f t="shared" si="141"/>
        <v>10.453074538954864</v>
      </c>
      <c r="F978">
        <f t="shared" si="144"/>
        <v>1</v>
      </c>
      <c r="G978">
        <f t="shared" si="145"/>
        <v>0.44286580395167896</v>
      </c>
      <c r="H978">
        <f t="shared" si="146"/>
        <v>6.956329114771707</v>
      </c>
      <c r="K978">
        <v>0.95</v>
      </c>
      <c r="L978">
        <f t="shared" si="142"/>
        <v>5.6070376537627382</v>
      </c>
      <c r="M978">
        <f t="shared" si="143"/>
        <v>17.09408082840082</v>
      </c>
      <c r="N978">
        <f t="shared" si="147"/>
        <v>1</v>
      </c>
      <c r="O978">
        <f t="shared" si="148"/>
        <v>0.35926542546883389</v>
      </c>
      <c r="P978">
        <f t="shared" si="149"/>
        <v>10.245979089971602</v>
      </c>
    </row>
    <row r="979" spans="3:16" x14ac:dyDescent="0.25">
      <c r="C979">
        <v>0.95099999999999996</v>
      </c>
      <c r="D979">
        <f t="shared" si="140"/>
        <v>-1.155769765979187</v>
      </c>
      <c r="E979">
        <f t="shared" si="141"/>
        <v>10.445641526800452</v>
      </c>
      <c r="F979">
        <f t="shared" si="144"/>
        <v>1</v>
      </c>
      <c r="G979">
        <f t="shared" si="145"/>
        <v>0.43526888047507883</v>
      </c>
      <c r="H979">
        <f t="shared" si="146"/>
        <v>6.8915026399614039</v>
      </c>
      <c r="K979">
        <v>0.95099999999999996</v>
      </c>
      <c r="L979">
        <f t="shared" si="142"/>
        <v>5.6682302340208111</v>
      </c>
      <c r="M979">
        <f t="shared" si="143"/>
        <v>17.081851367856217</v>
      </c>
      <c r="N979">
        <f t="shared" si="147"/>
        <v>1</v>
      </c>
      <c r="O979">
        <f t="shared" si="148"/>
        <v>0.35286052270543178</v>
      </c>
      <c r="P979">
        <f t="shared" si="149"/>
        <v>10.146972310091716</v>
      </c>
    </row>
    <row r="980" spans="3:16" x14ac:dyDescent="0.25">
      <c r="C980">
        <v>0.95199999999999996</v>
      </c>
      <c r="D980">
        <f t="shared" si="140"/>
        <v>-1.118577185721108</v>
      </c>
      <c r="E980">
        <f t="shared" si="141"/>
        <v>10.438208514646039</v>
      </c>
      <c r="F980">
        <f t="shared" si="144"/>
        <v>1</v>
      </c>
      <c r="G980">
        <f t="shared" si="145"/>
        <v>0.42762051240246113</v>
      </c>
      <c r="H980">
        <f t="shared" si="146"/>
        <v>6.8258263081126929</v>
      </c>
      <c r="K980">
        <v>0.95199999999999996</v>
      </c>
      <c r="L980">
        <f t="shared" si="142"/>
        <v>5.729422814278891</v>
      </c>
      <c r="M980">
        <f t="shared" si="143"/>
        <v>17.069621907311614</v>
      </c>
      <c r="N980">
        <f t="shared" si="147"/>
        <v>1</v>
      </c>
      <c r="O980">
        <f t="shared" si="148"/>
        <v>0.34642376664627483</v>
      </c>
      <c r="P980">
        <f t="shared" si="149"/>
        <v>10.046799638897911</v>
      </c>
    </row>
    <row r="981" spans="3:16" x14ac:dyDescent="0.25">
      <c r="C981">
        <v>0.95299999999999996</v>
      </c>
      <c r="D981">
        <f t="shared" si="140"/>
        <v>-1.0813846054630289</v>
      </c>
      <c r="E981">
        <f t="shared" si="141"/>
        <v>10.430775502491626</v>
      </c>
      <c r="F981">
        <f t="shared" si="144"/>
        <v>1</v>
      </c>
      <c r="G981">
        <f t="shared" si="145"/>
        <v>0.41992069973382562</v>
      </c>
      <c r="H981">
        <f t="shared" si="146"/>
        <v>6.759276931048686</v>
      </c>
      <c r="K981">
        <v>0.95299999999999996</v>
      </c>
      <c r="L981">
        <f t="shared" si="142"/>
        <v>5.7906153945369709</v>
      </c>
      <c r="M981">
        <f t="shared" si="143"/>
        <v>17.057392446767011</v>
      </c>
      <c r="N981">
        <f t="shared" si="147"/>
        <v>1</v>
      </c>
      <c r="O981">
        <f t="shared" si="148"/>
        <v>0.33995515729136394</v>
      </c>
      <c r="P981">
        <f t="shared" si="149"/>
        <v>9.9454275631674687</v>
      </c>
    </row>
    <row r="982" spans="3:16" x14ac:dyDescent="0.25">
      <c r="C982">
        <v>0.95399999999999996</v>
      </c>
      <c r="D982">
        <f t="shared" si="140"/>
        <v>-1.0441920252049499</v>
      </c>
      <c r="E982">
        <f t="shared" si="141"/>
        <v>10.423342490337214</v>
      </c>
      <c r="F982">
        <f t="shared" si="144"/>
        <v>1</v>
      </c>
      <c r="G982">
        <f t="shared" si="145"/>
        <v>0.41216944246917242</v>
      </c>
      <c r="H982">
        <f t="shared" si="146"/>
        <v>6.6918300598968878</v>
      </c>
      <c r="K982">
        <v>0.95399999999999996</v>
      </c>
      <c r="L982">
        <f t="shared" si="142"/>
        <v>5.8518079747950509</v>
      </c>
      <c r="M982">
        <f t="shared" si="143"/>
        <v>17.045162986222408</v>
      </c>
      <c r="N982">
        <f t="shared" si="147"/>
        <v>1</v>
      </c>
      <c r="O982">
        <f t="shared" si="148"/>
        <v>0.33345469464069888</v>
      </c>
      <c r="P982">
        <f t="shared" si="149"/>
        <v>9.8428207557416521</v>
      </c>
    </row>
    <row r="983" spans="3:16" x14ac:dyDescent="0.25">
      <c r="C983">
        <v>0.95499999999999996</v>
      </c>
      <c r="D983">
        <f t="shared" si="140"/>
        <v>-1.0069994449468709</v>
      </c>
      <c r="E983">
        <f t="shared" si="141"/>
        <v>10.415909478182801</v>
      </c>
      <c r="F983">
        <f t="shared" si="144"/>
        <v>1</v>
      </c>
      <c r="G983">
        <f t="shared" si="145"/>
        <v>0.40436674060850164</v>
      </c>
      <c r="H983">
        <f t="shared" si="146"/>
        <v>6.6234598890540193</v>
      </c>
      <c r="K983">
        <v>0.95499999999999996</v>
      </c>
      <c r="L983">
        <f t="shared" si="142"/>
        <v>5.9130005550531308</v>
      </c>
      <c r="M983">
        <f t="shared" si="143"/>
        <v>17.032933525677805</v>
      </c>
      <c r="N983">
        <f t="shared" si="147"/>
        <v>1</v>
      </c>
      <c r="O983">
        <f t="shared" si="148"/>
        <v>0.32692237869427987</v>
      </c>
      <c r="P983">
        <f t="shared" si="149"/>
        <v>9.7389419369389625</v>
      </c>
    </row>
    <row r="984" spans="3:16" x14ac:dyDescent="0.25">
      <c r="C984">
        <v>0.95599999999999996</v>
      </c>
      <c r="D984">
        <f t="shared" si="140"/>
        <v>-0.96980686468879185</v>
      </c>
      <c r="E984">
        <f t="shared" si="141"/>
        <v>10.408476466028389</v>
      </c>
      <c r="F984">
        <f t="shared" si="144"/>
        <v>1</v>
      </c>
      <c r="G984">
        <f t="shared" si="145"/>
        <v>0.39651259415181306</v>
      </c>
      <c r="H984">
        <f t="shared" si="146"/>
        <v>6.5541391505055273</v>
      </c>
      <c r="K984">
        <v>0.95599999999999996</v>
      </c>
      <c r="L984">
        <f t="shared" si="142"/>
        <v>5.9741931353112037</v>
      </c>
      <c r="M984">
        <f t="shared" si="143"/>
        <v>17.020704065133202</v>
      </c>
      <c r="N984">
        <f t="shared" si="147"/>
        <v>1</v>
      </c>
      <c r="O984">
        <f t="shared" si="148"/>
        <v>0.32035820945210758</v>
      </c>
      <c r="P984">
        <f t="shared" si="149"/>
        <v>9.6337517220364415</v>
      </c>
    </row>
    <row r="985" spans="3:16" x14ac:dyDescent="0.25">
      <c r="C985">
        <v>0.95699999999999996</v>
      </c>
      <c r="D985">
        <f t="shared" si="140"/>
        <v>-0.93261428443071281</v>
      </c>
      <c r="E985">
        <f t="shared" si="141"/>
        <v>10.401043453873976</v>
      </c>
      <c r="F985">
        <f t="shared" si="144"/>
        <v>1</v>
      </c>
      <c r="G985">
        <f t="shared" si="145"/>
        <v>0.38860700309910667</v>
      </c>
      <c r="H985">
        <f t="shared" si="146"/>
        <v>6.4838389972882693</v>
      </c>
      <c r="K985">
        <v>0.95699999999999996</v>
      </c>
      <c r="L985">
        <f t="shared" si="142"/>
        <v>6.0353857155692836</v>
      </c>
      <c r="M985">
        <f t="shared" si="143"/>
        <v>17.008474604588599</v>
      </c>
      <c r="N985">
        <f t="shared" si="147"/>
        <v>1</v>
      </c>
      <c r="O985">
        <f t="shared" si="148"/>
        <v>0.31376218691418045</v>
      </c>
      <c r="P985">
        <f t="shared" si="149"/>
        <v>9.5272084530677112</v>
      </c>
    </row>
    <row r="986" spans="3:16" x14ac:dyDescent="0.25">
      <c r="C986">
        <v>0.95799999999999996</v>
      </c>
      <c r="D986">
        <f t="shared" si="140"/>
        <v>-0.89542170417263378</v>
      </c>
      <c r="E986">
        <f t="shared" si="141"/>
        <v>10.393610441719563</v>
      </c>
      <c r="F986">
        <f t="shared" si="144"/>
        <v>1</v>
      </c>
      <c r="G986">
        <f t="shared" si="145"/>
        <v>0.38064996745038282</v>
      </c>
      <c r="H986">
        <f t="shared" si="146"/>
        <v>6.412528874700806</v>
      </c>
      <c r="K986">
        <v>0.95799999999999996</v>
      </c>
      <c r="L986">
        <f t="shared" si="142"/>
        <v>6.0965782958273635</v>
      </c>
      <c r="M986">
        <f t="shared" si="143"/>
        <v>16.996245144043996</v>
      </c>
      <c r="N986">
        <f t="shared" si="147"/>
        <v>1</v>
      </c>
      <c r="O986">
        <f t="shared" si="148"/>
        <v>0.30713431108049927</v>
      </c>
      <c r="P986">
        <f t="shared" si="149"/>
        <v>9.4192680129204778</v>
      </c>
    </row>
    <row r="987" spans="3:16" x14ac:dyDescent="0.25">
      <c r="C987">
        <v>0.95899999999999996</v>
      </c>
      <c r="D987">
        <f t="shared" si="140"/>
        <v>-0.85822912391455475</v>
      </c>
      <c r="E987">
        <f t="shared" si="141"/>
        <v>10.386177429565151</v>
      </c>
      <c r="F987">
        <f t="shared" si="144"/>
        <v>1</v>
      </c>
      <c r="G987">
        <f t="shared" si="145"/>
        <v>0.37264148720564105</v>
      </c>
      <c r="H987">
        <f t="shared" si="146"/>
        <v>6.3401763776484614</v>
      </c>
      <c r="K987">
        <v>0.95899999999999996</v>
      </c>
      <c r="L987">
        <f t="shared" si="142"/>
        <v>6.1577708760854435</v>
      </c>
      <c r="M987">
        <f t="shared" si="143"/>
        <v>16.984015683499393</v>
      </c>
      <c r="N987">
        <f t="shared" si="147"/>
        <v>1</v>
      </c>
      <c r="O987">
        <f t="shared" si="148"/>
        <v>0.30047458195106402</v>
      </c>
      <c r="P987">
        <f t="shared" si="149"/>
        <v>9.3098836194016226</v>
      </c>
    </row>
    <row r="988" spans="3:16" x14ac:dyDescent="0.25">
      <c r="C988">
        <v>0.96</v>
      </c>
      <c r="D988">
        <f t="shared" ref="D988:D1028" si="150">-$J$23+($J$15+$J$23)*C988</f>
        <v>-0.82103654365647571</v>
      </c>
      <c r="E988">
        <f t="shared" ref="E988:E1028" si="151">$J$12-$J$11*D988</f>
        <v>10.378744417410738</v>
      </c>
      <c r="F988">
        <f t="shared" si="144"/>
        <v>1</v>
      </c>
      <c r="G988">
        <f t="shared" si="145"/>
        <v>0.36458156236488171</v>
      </c>
      <c r="H988">
        <f t="shared" si="146"/>
        <v>6.2667470922532438</v>
      </c>
      <c r="K988">
        <v>0.96</v>
      </c>
      <c r="L988">
        <f t="shared" ref="L988:L1028" si="152">-$M$23+($M$15+$M$23)*K988</f>
        <v>6.2189634563435234</v>
      </c>
      <c r="M988">
        <f t="shared" ref="M988:M1028" si="153">$J$12-$J$11*L988+$E$18</f>
        <v>16.97178622295479</v>
      </c>
      <c r="N988">
        <f t="shared" si="147"/>
        <v>1</v>
      </c>
      <c r="O988">
        <f t="shared" si="148"/>
        <v>0.29378299952587483</v>
      </c>
      <c r="P988">
        <f t="shared" si="149"/>
        <v>9.1990055965664528</v>
      </c>
    </row>
    <row r="989" spans="3:16" x14ac:dyDescent="0.25">
      <c r="C989">
        <v>0.96099999999999997</v>
      </c>
      <c r="D989">
        <f t="shared" si="150"/>
        <v>-0.78384396339839668</v>
      </c>
      <c r="E989">
        <f t="shared" si="151"/>
        <v>10.371311405256325</v>
      </c>
      <c r="F989">
        <f t="shared" ref="F989:F1028" si="154">IF(D989&lt;$J$20,MAX(1-(D989-$J$20)^2/$J$22^2,0),1)</f>
        <v>1</v>
      </c>
      <c r="G989">
        <f t="shared" ref="G989:G1028" si="155">IF(D989&gt;$J$17,MAX(1-(D989-$J$17)^2/($J$15-$J$17)^2,0),1)</f>
        <v>0.35647019292810467</v>
      </c>
      <c r="H989">
        <f t="shared" ref="H989:H1028" si="156">SQRT(E989^2*F989*G989)</f>
        <v>6.1922044195529606</v>
      </c>
      <c r="K989">
        <v>0.96099999999999997</v>
      </c>
      <c r="L989">
        <f t="shared" si="152"/>
        <v>6.2801560366015963</v>
      </c>
      <c r="M989">
        <f t="shared" si="153"/>
        <v>16.959556762410188</v>
      </c>
      <c r="N989">
        <f t="shared" ref="N989:N1028" si="157">IF(L989&lt;$J$20,MAX(1-(L989-$J$20)^2/$M$22^2,0),1)</f>
        <v>1</v>
      </c>
      <c r="O989">
        <f t="shared" ref="O989:O1028" si="158">IF(L989&gt;$J$17,MAX(1-(L989-$J$17)^2/($M$15-$J$17)^2,0),1)</f>
        <v>0.28705956380493236</v>
      </c>
      <c r="P989">
        <f t="shared" ref="P989:P1028" si="159">SQRT(M989^2*N989*O989)</f>
        <v>9.0865811201663185</v>
      </c>
    </row>
    <row r="990" spans="3:16" x14ac:dyDescent="0.25">
      <c r="C990">
        <v>0.96199999999999997</v>
      </c>
      <c r="D990">
        <f t="shared" si="150"/>
        <v>-0.74665138314031765</v>
      </c>
      <c r="E990">
        <f t="shared" si="151"/>
        <v>10.363878393101913</v>
      </c>
      <c r="F990">
        <f t="shared" si="154"/>
        <v>1</v>
      </c>
      <c r="G990">
        <f t="shared" si="155"/>
        <v>0.34830737889530994</v>
      </c>
      <c r="H990">
        <f t="shared" si="156"/>
        <v>6.1165093787490479</v>
      </c>
      <c r="K990">
        <v>0.96199999999999997</v>
      </c>
      <c r="L990">
        <f t="shared" si="152"/>
        <v>6.3413486168596762</v>
      </c>
      <c r="M990">
        <f t="shared" si="153"/>
        <v>16.947327301865585</v>
      </c>
      <c r="N990">
        <f t="shared" si="157"/>
        <v>1</v>
      </c>
      <c r="O990">
        <f t="shared" si="158"/>
        <v>0.28030427478823505</v>
      </c>
      <c r="P990">
        <f t="shared" si="159"/>
        <v>8.9725539335409916</v>
      </c>
    </row>
    <row r="991" spans="3:16" x14ac:dyDescent="0.25">
      <c r="C991">
        <v>0.96299999999999997</v>
      </c>
      <c r="D991">
        <f t="shared" si="150"/>
        <v>-0.70945880288224572</v>
      </c>
      <c r="E991">
        <f t="shared" si="151"/>
        <v>10.356445380947502</v>
      </c>
      <c r="F991">
        <f t="shared" si="154"/>
        <v>1</v>
      </c>
      <c r="G991">
        <f t="shared" si="155"/>
        <v>0.34009312026649896</v>
      </c>
      <c r="H991">
        <f t="shared" si="156"/>
        <v>6.0396203870253204</v>
      </c>
      <c r="K991">
        <v>0.96299999999999997</v>
      </c>
      <c r="L991">
        <f t="shared" si="152"/>
        <v>6.4025411971177562</v>
      </c>
      <c r="M991">
        <f t="shared" si="153"/>
        <v>16.935097841320982</v>
      </c>
      <c r="N991">
        <f t="shared" si="157"/>
        <v>1</v>
      </c>
      <c r="O991">
        <f t="shared" si="158"/>
        <v>0.27351713247578358</v>
      </c>
      <c r="P991">
        <f t="shared" si="159"/>
        <v>8.8568640296497581</v>
      </c>
    </row>
    <row r="992" spans="3:16" x14ac:dyDescent="0.25">
      <c r="C992">
        <v>0.96399999999999997</v>
      </c>
      <c r="D992">
        <f t="shared" si="150"/>
        <v>-0.67226622262416669</v>
      </c>
      <c r="E992">
        <f t="shared" si="151"/>
        <v>10.349012368793089</v>
      </c>
      <c r="F992">
        <f t="shared" si="154"/>
        <v>1</v>
      </c>
      <c r="G992">
        <f t="shared" si="155"/>
        <v>0.33182741704166885</v>
      </c>
      <c r="H992">
        <f t="shared" si="156"/>
        <v>5.9614930124331682</v>
      </c>
      <c r="K992">
        <v>0.96399999999999997</v>
      </c>
      <c r="L992">
        <f t="shared" si="152"/>
        <v>6.4637337773758361</v>
      </c>
      <c r="M992">
        <f t="shared" si="153"/>
        <v>16.922868380776375</v>
      </c>
      <c r="N992">
        <f t="shared" si="157"/>
        <v>1</v>
      </c>
      <c r="O992">
        <f t="shared" si="158"/>
        <v>0.26669813686757826</v>
      </c>
      <c r="P992">
        <f t="shared" si="159"/>
        <v>8.7394472941729422</v>
      </c>
    </row>
    <row r="993" spans="3:16" x14ac:dyDescent="0.25">
      <c r="C993">
        <v>0.96499999999999997</v>
      </c>
      <c r="D993">
        <f t="shared" si="150"/>
        <v>-0.63507364236608765</v>
      </c>
      <c r="E993">
        <f t="shared" si="151"/>
        <v>10.341579356638677</v>
      </c>
      <c r="F993">
        <f t="shared" si="154"/>
        <v>1</v>
      </c>
      <c r="G993">
        <f t="shared" si="155"/>
        <v>0.32351026922082105</v>
      </c>
      <c r="H993">
        <f t="shared" si="156"/>
        <v>5.8820796957019121</v>
      </c>
      <c r="K993">
        <v>0.96499999999999997</v>
      </c>
      <c r="L993">
        <f t="shared" si="152"/>
        <v>6.524926357633916</v>
      </c>
      <c r="M993">
        <f t="shared" si="153"/>
        <v>16.910638920231772</v>
      </c>
      <c r="N993">
        <f t="shared" si="157"/>
        <v>1</v>
      </c>
      <c r="O993">
        <f t="shared" si="158"/>
        <v>0.25984728796361878</v>
      </c>
      <c r="P993">
        <f t="shared" si="159"/>
        <v>8.6202351036941849</v>
      </c>
    </row>
    <row r="994" spans="3:16" x14ac:dyDescent="0.25">
      <c r="C994">
        <v>0.96599999999999997</v>
      </c>
      <c r="D994">
        <f t="shared" si="150"/>
        <v>-0.59788106210800862</v>
      </c>
      <c r="E994">
        <f t="shared" si="151"/>
        <v>10.334146344484264</v>
      </c>
      <c r="F994">
        <f t="shared" si="154"/>
        <v>1</v>
      </c>
      <c r="G994">
        <f t="shared" si="155"/>
        <v>0.31514167680395544</v>
      </c>
      <c r="H994">
        <f t="shared" si="156"/>
        <v>5.8013294360579524</v>
      </c>
      <c r="K994">
        <v>0.96599999999999997</v>
      </c>
      <c r="L994">
        <f t="shared" si="152"/>
        <v>6.586118937891996</v>
      </c>
      <c r="M994">
        <f t="shared" si="153"/>
        <v>16.898409459687169</v>
      </c>
      <c r="N994">
        <f t="shared" si="157"/>
        <v>1</v>
      </c>
      <c r="O994">
        <f t="shared" si="158"/>
        <v>0.25296458576390535</v>
      </c>
      <c r="P994">
        <f t="shared" si="159"/>
        <v>8.4991538718528314</v>
      </c>
    </row>
    <row r="995" spans="3:16" x14ac:dyDescent="0.25">
      <c r="C995">
        <v>0.96699999999999997</v>
      </c>
      <c r="D995">
        <f t="shared" si="150"/>
        <v>-0.56068848184992959</v>
      </c>
      <c r="E995">
        <f t="shared" si="151"/>
        <v>10.326713332329851</v>
      </c>
      <c r="F995">
        <f t="shared" si="154"/>
        <v>1</v>
      </c>
      <c r="G995">
        <f t="shared" si="155"/>
        <v>0.30672163979107225</v>
      </c>
      <c r="H995">
        <f t="shared" si="156"/>
        <v>5.7191874351901033</v>
      </c>
      <c r="K995">
        <v>0.96699999999999997</v>
      </c>
      <c r="L995">
        <f t="shared" si="152"/>
        <v>6.6473115181500688</v>
      </c>
      <c r="M995">
        <f t="shared" si="153"/>
        <v>16.886179999142566</v>
      </c>
      <c r="N995">
        <f t="shared" si="157"/>
        <v>1</v>
      </c>
      <c r="O995">
        <f t="shared" si="158"/>
        <v>0.24605003026843864</v>
      </c>
      <c r="P995">
        <f t="shared" si="159"/>
        <v>8.3761245349857756</v>
      </c>
    </row>
    <row r="996" spans="3:16" x14ac:dyDescent="0.25">
      <c r="C996">
        <v>0.96799999999999997</v>
      </c>
      <c r="D996">
        <f t="shared" si="150"/>
        <v>-0.52349590159185055</v>
      </c>
      <c r="E996">
        <f t="shared" si="151"/>
        <v>10.319280320175439</v>
      </c>
      <c r="F996">
        <f t="shared" si="154"/>
        <v>1</v>
      </c>
      <c r="G996">
        <f t="shared" si="155"/>
        <v>0.29825015818217127</v>
      </c>
      <c r="H996">
        <f t="shared" si="156"/>
        <v>5.6355946923344478</v>
      </c>
      <c r="K996">
        <v>0.96799999999999997</v>
      </c>
      <c r="L996">
        <f t="shared" si="152"/>
        <v>6.7085040984081488</v>
      </c>
      <c r="M996">
        <f t="shared" si="153"/>
        <v>16.873950538597963</v>
      </c>
      <c r="N996">
        <f t="shared" si="157"/>
        <v>1</v>
      </c>
      <c r="O996">
        <f t="shared" si="158"/>
        <v>0.23910362147721698</v>
      </c>
      <c r="P996">
        <f t="shared" si="159"/>
        <v>8.2510619670941647</v>
      </c>
    </row>
    <row r="997" spans="3:16" x14ac:dyDescent="0.25">
      <c r="C997">
        <v>0.96899999999999997</v>
      </c>
      <c r="D997">
        <f t="shared" si="150"/>
        <v>-0.48630332133377152</v>
      </c>
      <c r="E997">
        <f t="shared" si="151"/>
        <v>10.311847308021026</v>
      </c>
      <c r="F997">
        <f t="shared" si="154"/>
        <v>1</v>
      </c>
      <c r="G997">
        <f t="shared" si="155"/>
        <v>0.2897272319772527</v>
      </c>
      <c r="H997">
        <f t="shared" si="156"/>
        <v>5.5504875420136166</v>
      </c>
      <c r="K997">
        <v>0.96899999999999997</v>
      </c>
      <c r="L997">
        <f t="shared" si="152"/>
        <v>6.7696966786662287</v>
      </c>
      <c r="M997">
        <f t="shared" si="153"/>
        <v>16.86172107805336</v>
      </c>
      <c r="N997">
        <f t="shared" si="157"/>
        <v>1</v>
      </c>
      <c r="O997">
        <f t="shared" si="158"/>
        <v>0.23212535939024148</v>
      </c>
      <c r="P997">
        <f t="shared" si="159"/>
        <v>8.123874311888553</v>
      </c>
    </row>
    <row r="998" spans="3:16" x14ac:dyDescent="0.25">
      <c r="C998">
        <v>0.97</v>
      </c>
      <c r="D998">
        <f t="shared" si="150"/>
        <v>-0.44911074107569249</v>
      </c>
      <c r="E998">
        <f t="shared" si="151"/>
        <v>10.304414295866613</v>
      </c>
      <c r="F998">
        <f t="shared" si="154"/>
        <v>1</v>
      </c>
      <c r="G998">
        <f t="shared" si="155"/>
        <v>0.28115286117631633</v>
      </c>
      <c r="H998">
        <f t="shared" si="156"/>
        <v>5.4637971241756063</v>
      </c>
      <c r="K998">
        <v>0.97</v>
      </c>
      <c r="L998">
        <f t="shared" si="152"/>
        <v>6.8308892589243086</v>
      </c>
      <c r="M998">
        <f t="shared" si="153"/>
        <v>16.849491617508754</v>
      </c>
      <c r="N998">
        <f t="shared" si="157"/>
        <v>1</v>
      </c>
      <c r="O998">
        <f t="shared" si="158"/>
        <v>0.22511524400751182</v>
      </c>
      <c r="P998">
        <f t="shared" si="159"/>
        <v>7.994462217075502</v>
      </c>
    </row>
    <row r="999" spans="3:16" x14ac:dyDescent="0.25">
      <c r="C999">
        <v>0.97099999999999997</v>
      </c>
      <c r="D999">
        <f t="shared" si="150"/>
        <v>-0.41191816081761345</v>
      </c>
      <c r="E999">
        <f t="shared" si="151"/>
        <v>10.296981283712201</v>
      </c>
      <c r="F999">
        <f t="shared" si="154"/>
        <v>1</v>
      </c>
      <c r="G999">
        <f t="shared" si="155"/>
        <v>0.27252704577936226</v>
      </c>
      <c r="H999">
        <f t="shared" si="156"/>
        <v>5.375448774236177</v>
      </c>
      <c r="K999">
        <v>0.97099999999999997</v>
      </c>
      <c r="L999">
        <f t="shared" si="152"/>
        <v>6.8920818391823886</v>
      </c>
      <c r="M999">
        <f t="shared" si="153"/>
        <v>16.837262156964151</v>
      </c>
      <c r="N999">
        <f t="shared" si="157"/>
        <v>1</v>
      </c>
      <c r="O999">
        <f t="shared" si="158"/>
        <v>0.2180732753290282</v>
      </c>
      <c r="P999">
        <f t="shared" si="159"/>
        <v>7.8627179528053635</v>
      </c>
    </row>
    <row r="1000" spans="3:16" x14ac:dyDescent="0.25">
      <c r="C1000">
        <v>0.97199999999999998</v>
      </c>
      <c r="D1000">
        <f t="shared" si="150"/>
        <v>-0.37472558055953442</v>
      </c>
      <c r="E1000">
        <f t="shared" si="151"/>
        <v>10.289548271557788</v>
      </c>
      <c r="F1000">
        <f t="shared" si="154"/>
        <v>1</v>
      </c>
      <c r="G1000">
        <f t="shared" si="155"/>
        <v>0.26384978578639051</v>
      </c>
      <c r="H1000">
        <f t="shared" si="156"/>
        <v>5.2853613177027707</v>
      </c>
      <c r="K1000">
        <v>0.97199999999999998</v>
      </c>
      <c r="L1000">
        <f t="shared" si="152"/>
        <v>6.9532744194404614</v>
      </c>
      <c r="M1000">
        <f t="shared" si="153"/>
        <v>16.825032696419548</v>
      </c>
      <c r="N1000">
        <f t="shared" si="157"/>
        <v>1</v>
      </c>
      <c r="O1000">
        <f t="shared" si="158"/>
        <v>0.21099945335479131</v>
      </c>
      <c r="P1000">
        <f t="shared" si="159"/>
        <v>7.728524392110053</v>
      </c>
    </row>
    <row r="1001" spans="3:16" x14ac:dyDescent="0.25">
      <c r="C1001">
        <v>0.97299999999999998</v>
      </c>
      <c r="D1001">
        <f t="shared" si="150"/>
        <v>-0.33753300030145539</v>
      </c>
      <c r="E1001">
        <f t="shared" si="151"/>
        <v>10.282115259403376</v>
      </c>
      <c r="F1001">
        <f t="shared" si="154"/>
        <v>1</v>
      </c>
      <c r="G1001">
        <f t="shared" si="155"/>
        <v>0.25512108119740118</v>
      </c>
      <c r="H1001">
        <f t="shared" si="156"/>
        <v>5.1934462504674492</v>
      </c>
      <c r="K1001">
        <v>0.97299999999999998</v>
      </c>
      <c r="L1001">
        <f t="shared" si="152"/>
        <v>7.0144669996985414</v>
      </c>
      <c r="M1001">
        <f t="shared" si="153"/>
        <v>16.812803235874945</v>
      </c>
      <c r="N1001">
        <f t="shared" si="157"/>
        <v>1</v>
      </c>
      <c r="O1001">
        <f t="shared" si="158"/>
        <v>0.20389377808479958</v>
      </c>
      <c r="P1001">
        <f t="shared" si="159"/>
        <v>7.5917538259623329</v>
      </c>
    </row>
    <row r="1002" spans="3:16" x14ac:dyDescent="0.25">
      <c r="C1002">
        <v>0.97399999999999998</v>
      </c>
      <c r="D1002">
        <f t="shared" si="150"/>
        <v>-0.30034042004337635</v>
      </c>
      <c r="E1002">
        <f t="shared" si="151"/>
        <v>10.274682247248963</v>
      </c>
      <c r="F1002">
        <f t="shared" si="154"/>
        <v>1</v>
      </c>
      <c r="G1002">
        <f t="shared" si="155"/>
        <v>0.24634093201239393</v>
      </c>
      <c r="H1002">
        <f t="shared" si="156"/>
        <v>5.0996067812583936</v>
      </c>
      <c r="K1002">
        <v>0.97399999999999998</v>
      </c>
      <c r="L1002">
        <f t="shared" si="152"/>
        <v>7.0756595799566213</v>
      </c>
      <c r="M1002">
        <f t="shared" si="153"/>
        <v>16.800573775330342</v>
      </c>
      <c r="N1002">
        <f t="shared" si="157"/>
        <v>1</v>
      </c>
      <c r="O1002">
        <f t="shared" si="158"/>
        <v>0.19675624951905379</v>
      </c>
      <c r="P1002">
        <f t="shared" si="159"/>
        <v>7.4522665789322673</v>
      </c>
    </row>
    <row r="1003" spans="3:16" x14ac:dyDescent="0.25">
      <c r="C1003">
        <v>0.97499999999999998</v>
      </c>
      <c r="D1003">
        <f t="shared" si="150"/>
        <v>-0.26314783978529732</v>
      </c>
      <c r="E1003">
        <f t="shared" si="151"/>
        <v>10.26724923509455</v>
      </c>
      <c r="F1003">
        <f t="shared" si="154"/>
        <v>1</v>
      </c>
      <c r="G1003">
        <f t="shared" si="155"/>
        <v>0.2375093382313691</v>
      </c>
      <c r="H1003">
        <f t="shared" si="156"/>
        <v>5.0037367068012628</v>
      </c>
      <c r="K1003">
        <v>0.97499999999999998</v>
      </c>
      <c r="L1003">
        <f t="shared" si="152"/>
        <v>7.1368521602147013</v>
      </c>
      <c r="M1003">
        <f t="shared" si="153"/>
        <v>16.788344314785739</v>
      </c>
      <c r="N1003">
        <f t="shared" si="157"/>
        <v>1</v>
      </c>
      <c r="O1003">
        <f t="shared" si="158"/>
        <v>0.18958686765755395</v>
      </c>
      <c r="P1003">
        <f t="shared" si="159"/>
        <v>7.3099093828190282</v>
      </c>
    </row>
    <row r="1004" spans="3:16" x14ac:dyDescent="0.25">
      <c r="C1004">
        <v>0.97599999999999998</v>
      </c>
      <c r="D1004">
        <f t="shared" si="150"/>
        <v>-0.22595525952721829</v>
      </c>
      <c r="E1004">
        <f t="shared" si="151"/>
        <v>10.259816222940138</v>
      </c>
      <c r="F1004">
        <f t="shared" si="154"/>
        <v>1</v>
      </c>
      <c r="G1004">
        <f t="shared" si="155"/>
        <v>0.2286262998543267</v>
      </c>
      <c r="H1004">
        <f t="shared" si="156"/>
        <v>4.9057190825018795</v>
      </c>
      <c r="K1004">
        <v>0.97599999999999998</v>
      </c>
      <c r="L1004">
        <f t="shared" si="152"/>
        <v>7.1980447404727812</v>
      </c>
      <c r="M1004">
        <f t="shared" si="153"/>
        <v>16.776114854241136</v>
      </c>
      <c r="N1004">
        <f t="shared" si="157"/>
        <v>1</v>
      </c>
      <c r="O1004">
        <f t="shared" si="158"/>
        <v>0.18238563250030004</v>
      </c>
      <c r="P1004">
        <f t="shared" si="159"/>
        <v>7.1645134544311384</v>
      </c>
    </row>
    <row r="1005" spans="3:16" x14ac:dyDescent="0.25">
      <c r="C1005">
        <v>0.97699999999999998</v>
      </c>
      <c r="D1005">
        <f t="shared" si="150"/>
        <v>-0.18876267926913926</v>
      </c>
      <c r="E1005">
        <f t="shared" si="151"/>
        <v>10.252383210785725</v>
      </c>
      <c r="F1005">
        <f t="shared" si="154"/>
        <v>1</v>
      </c>
      <c r="G1005">
        <f t="shared" si="155"/>
        <v>0.21969181688126649</v>
      </c>
      <c r="H1005">
        <f t="shared" si="156"/>
        <v>4.8054246412751684</v>
      </c>
      <c r="K1005">
        <v>0.97699999999999998</v>
      </c>
      <c r="L1005">
        <f t="shared" si="152"/>
        <v>7.259237320730854</v>
      </c>
      <c r="M1005">
        <f t="shared" si="153"/>
        <v>16.763885393696533</v>
      </c>
      <c r="N1005">
        <f t="shared" si="157"/>
        <v>1</v>
      </c>
      <c r="O1005">
        <f t="shared" si="158"/>
        <v>0.17515254404729297</v>
      </c>
      <c r="P1005">
        <f t="shared" si="159"/>
        <v>7.0158922089387517</v>
      </c>
    </row>
    <row r="1006" spans="3:16" x14ac:dyDescent="0.25">
      <c r="C1006">
        <v>0.97799999999999998</v>
      </c>
      <c r="D1006">
        <f t="shared" si="150"/>
        <v>-0.15157009901106733</v>
      </c>
      <c r="E1006">
        <f t="shared" si="151"/>
        <v>10.244950198631313</v>
      </c>
      <c r="F1006">
        <f t="shared" si="154"/>
        <v>1</v>
      </c>
      <c r="G1006">
        <f t="shared" si="155"/>
        <v>0.21070588931219025</v>
      </c>
      <c r="H1006">
        <f t="shared" si="156"/>
        <v>4.7027098995959049</v>
      </c>
      <c r="K1006">
        <v>0.97799999999999998</v>
      </c>
      <c r="L1006">
        <f t="shared" si="152"/>
        <v>7.320429900988934</v>
      </c>
      <c r="M1006">
        <f t="shared" si="153"/>
        <v>16.75165593315193</v>
      </c>
      <c r="N1006">
        <f t="shared" si="157"/>
        <v>1</v>
      </c>
      <c r="O1006">
        <f t="shared" si="158"/>
        <v>0.16788760229853106</v>
      </c>
      <c r="P1006">
        <f t="shared" si="159"/>
        <v>6.863838520602342</v>
      </c>
    </row>
    <row r="1007" spans="3:16" x14ac:dyDescent="0.25">
      <c r="C1007">
        <v>0.97899999999999998</v>
      </c>
      <c r="D1007">
        <f t="shared" si="150"/>
        <v>-0.11437751875298829</v>
      </c>
      <c r="E1007">
        <f t="shared" si="151"/>
        <v>10.237517186476902</v>
      </c>
      <c r="F1007">
        <f t="shared" si="154"/>
        <v>1</v>
      </c>
      <c r="G1007">
        <f t="shared" si="155"/>
        <v>0.20166851714709455</v>
      </c>
      <c r="H1007">
        <f t="shared" si="156"/>
        <v>4.5974148716181418</v>
      </c>
      <c r="K1007">
        <v>0.97899999999999998</v>
      </c>
      <c r="L1007">
        <f t="shared" si="152"/>
        <v>7.3816224812470139</v>
      </c>
      <c r="M1007">
        <f t="shared" si="153"/>
        <v>16.739426472607327</v>
      </c>
      <c r="N1007">
        <f t="shared" si="157"/>
        <v>1</v>
      </c>
      <c r="O1007">
        <f t="shared" si="158"/>
        <v>0.16059080725401509</v>
      </c>
      <c r="P1007">
        <f t="shared" si="159"/>
        <v>6.7081214162863771</v>
      </c>
    </row>
    <row r="1008" spans="3:16" x14ac:dyDescent="0.25">
      <c r="C1008">
        <v>0.98</v>
      </c>
      <c r="D1008">
        <f t="shared" si="150"/>
        <v>-7.7184938494909261E-2</v>
      </c>
      <c r="E1008">
        <f t="shared" si="151"/>
        <v>10.230084174322489</v>
      </c>
      <c r="F1008">
        <f t="shared" si="154"/>
        <v>1</v>
      </c>
      <c r="G1008">
        <f t="shared" si="155"/>
        <v>0.19257970038598138</v>
      </c>
      <c r="H1008">
        <f t="shared" si="156"/>
        <v>4.4893602873824827</v>
      </c>
      <c r="K1008">
        <v>0.98</v>
      </c>
      <c r="L1008">
        <f t="shared" si="152"/>
        <v>7.4428150615050939</v>
      </c>
      <c r="M1008">
        <f t="shared" si="153"/>
        <v>16.727197012062724</v>
      </c>
      <c r="N1008">
        <f t="shared" si="157"/>
        <v>1</v>
      </c>
      <c r="O1008">
        <f t="shared" si="158"/>
        <v>0.15326215891374506</v>
      </c>
      <c r="P1008">
        <f t="shared" si="159"/>
        <v>6.5484820512107813</v>
      </c>
    </row>
    <row r="1009" spans="3:16" x14ac:dyDescent="0.25">
      <c r="C1009">
        <v>0.98099999999999998</v>
      </c>
      <c r="D1009">
        <f t="shared" si="150"/>
        <v>-3.9992358236830228E-2</v>
      </c>
      <c r="E1009">
        <f t="shared" si="151"/>
        <v>10.222651162168075</v>
      </c>
      <c r="F1009">
        <f t="shared" si="154"/>
        <v>1</v>
      </c>
      <c r="G1009">
        <f t="shared" si="155"/>
        <v>0.18343943902885029</v>
      </c>
      <c r="H1009">
        <f t="shared" si="156"/>
        <v>4.3783441768550686</v>
      </c>
      <c r="K1009">
        <v>0.98099999999999998</v>
      </c>
      <c r="L1009">
        <f t="shared" si="152"/>
        <v>7.5040076417631738</v>
      </c>
      <c r="M1009">
        <f t="shared" si="153"/>
        <v>16.714967551518122</v>
      </c>
      <c r="N1009">
        <f t="shared" si="157"/>
        <v>1</v>
      </c>
      <c r="O1009">
        <f t="shared" si="158"/>
        <v>0.14590165727772098</v>
      </c>
      <c r="P1009">
        <f t="shared" si="159"/>
        <v>6.3846287667555428</v>
      </c>
    </row>
    <row r="1010" spans="3:16" x14ac:dyDescent="0.25">
      <c r="C1010">
        <v>0.98199999999999998</v>
      </c>
      <c r="D1010">
        <f t="shared" si="150"/>
        <v>-2.7997779787511945E-3</v>
      </c>
      <c r="E1010">
        <f t="shared" si="151"/>
        <v>10.215218150013664</v>
      </c>
      <c r="F1010">
        <f t="shared" si="154"/>
        <v>1</v>
      </c>
      <c r="G1010">
        <f t="shared" si="155"/>
        <v>0.17424773307570163</v>
      </c>
      <c r="H1010">
        <f t="shared" si="156"/>
        <v>4.2641376335290797</v>
      </c>
      <c r="K1010">
        <v>0.98199999999999998</v>
      </c>
      <c r="L1010">
        <f t="shared" si="152"/>
        <v>7.5652002220212466</v>
      </c>
      <c r="M1010">
        <f t="shared" si="153"/>
        <v>16.702738090973519</v>
      </c>
      <c r="N1010">
        <f t="shared" si="157"/>
        <v>1</v>
      </c>
      <c r="O1010">
        <f t="shared" si="158"/>
        <v>0.13850930234594383</v>
      </c>
      <c r="P1010">
        <f t="shared" si="159"/>
        <v>6.2162309605933217</v>
      </c>
    </row>
    <row r="1011" spans="3:16" x14ac:dyDescent="0.25">
      <c r="C1011">
        <v>0.98299999999999998</v>
      </c>
      <c r="D1011">
        <f t="shared" si="150"/>
        <v>3.4392802279327839E-2</v>
      </c>
      <c r="E1011">
        <f t="shared" si="151"/>
        <v>10.207785137859251</v>
      </c>
      <c r="F1011">
        <f t="shared" si="154"/>
        <v>1</v>
      </c>
      <c r="G1011">
        <f t="shared" si="155"/>
        <v>0.16500458252653527</v>
      </c>
      <c r="H1011">
        <f t="shared" si="156"/>
        <v>4.1464795029683019</v>
      </c>
      <c r="K1011">
        <v>0.98299999999999998</v>
      </c>
      <c r="L1011">
        <f t="shared" si="152"/>
        <v>7.6263928022793266</v>
      </c>
      <c r="M1011">
        <f t="shared" si="153"/>
        <v>16.690508630428916</v>
      </c>
      <c r="N1011">
        <f t="shared" si="157"/>
        <v>1</v>
      </c>
      <c r="O1011">
        <f t="shared" si="158"/>
        <v>0.13108509411841163</v>
      </c>
      <c r="P1011">
        <f t="shared" si="159"/>
        <v>6.0429114004238098</v>
      </c>
    </row>
    <row r="1012" spans="3:16" x14ac:dyDescent="0.25">
      <c r="C1012">
        <v>0.98399999999999999</v>
      </c>
      <c r="D1012">
        <f t="shared" si="150"/>
        <v>7.1585382537406872E-2</v>
      </c>
      <c r="E1012">
        <f t="shared" si="151"/>
        <v>10.200352125704837</v>
      </c>
      <c r="F1012">
        <f t="shared" si="154"/>
        <v>1</v>
      </c>
      <c r="G1012">
        <f t="shared" si="155"/>
        <v>0.15570998738135122</v>
      </c>
      <c r="H1012">
        <f t="shared" si="156"/>
        <v>4.0250696426322135</v>
      </c>
      <c r="K1012">
        <v>0.98399999999999999</v>
      </c>
      <c r="L1012">
        <f t="shared" si="152"/>
        <v>7.6875853825374065</v>
      </c>
      <c r="M1012">
        <f t="shared" si="153"/>
        <v>16.678279169884313</v>
      </c>
      <c r="N1012">
        <f t="shared" si="157"/>
        <v>1</v>
      </c>
      <c r="O1012">
        <f t="shared" si="158"/>
        <v>0.12362903259512548</v>
      </c>
      <c r="P1012">
        <f t="shared" si="159"/>
        <v>5.8642364691226021</v>
      </c>
    </row>
    <row r="1013" spans="3:16" x14ac:dyDescent="0.25">
      <c r="C1013">
        <v>0.98499999999999999</v>
      </c>
      <c r="D1013">
        <f t="shared" si="150"/>
        <v>0.10877796279548591</v>
      </c>
      <c r="E1013">
        <f t="shared" si="151"/>
        <v>10.192919113550426</v>
      </c>
      <c r="F1013">
        <f t="shared" si="154"/>
        <v>1</v>
      </c>
      <c r="G1013">
        <f t="shared" si="155"/>
        <v>0.14636394764014937</v>
      </c>
      <c r="H1013">
        <f t="shared" si="156"/>
        <v>3.899560252970554</v>
      </c>
      <c r="K1013">
        <v>0.98499999999999999</v>
      </c>
      <c r="L1013">
        <f t="shared" si="152"/>
        <v>7.7487779627954865</v>
      </c>
      <c r="M1013">
        <f t="shared" si="153"/>
        <v>16.66604970933971</v>
      </c>
      <c r="N1013">
        <f t="shared" si="157"/>
        <v>1</v>
      </c>
      <c r="O1013">
        <f t="shared" si="158"/>
        <v>0.11614111777608527</v>
      </c>
      <c r="P1013">
        <f t="shared" si="159"/>
        <v>5.6797036171109516</v>
      </c>
    </row>
    <row r="1014" spans="3:16" x14ac:dyDescent="0.25">
      <c r="C1014">
        <v>0.98599999999999999</v>
      </c>
      <c r="D1014">
        <f t="shared" si="150"/>
        <v>0.14597054305356494</v>
      </c>
      <c r="E1014">
        <f t="shared" si="151"/>
        <v>10.185486101396013</v>
      </c>
      <c r="F1014">
        <f t="shared" si="154"/>
        <v>1</v>
      </c>
      <c r="G1014">
        <f t="shared" si="155"/>
        <v>0.13696646330292994</v>
      </c>
      <c r="H1014">
        <f t="shared" si="156"/>
        <v>3.7695445587382457</v>
      </c>
      <c r="K1014">
        <v>0.98599999999999999</v>
      </c>
      <c r="L1014">
        <f t="shared" si="152"/>
        <v>7.8099705430535664</v>
      </c>
      <c r="M1014">
        <f t="shared" si="153"/>
        <v>16.653820248795103</v>
      </c>
      <c r="N1014">
        <f t="shared" si="157"/>
        <v>1</v>
      </c>
      <c r="O1014">
        <f t="shared" si="158"/>
        <v>0.108621349661291</v>
      </c>
      <c r="P1014">
        <f t="shared" si="159"/>
        <v>5.4887249775379923</v>
      </c>
    </row>
    <row r="1015" spans="3:16" x14ac:dyDescent="0.25">
      <c r="C1015">
        <v>0.98699999999999999</v>
      </c>
      <c r="D1015">
        <f t="shared" si="150"/>
        <v>0.18316312331164397</v>
      </c>
      <c r="E1015">
        <f t="shared" si="151"/>
        <v>10.178053089241601</v>
      </c>
      <c r="F1015">
        <f t="shared" si="154"/>
        <v>1</v>
      </c>
      <c r="G1015">
        <f t="shared" si="155"/>
        <v>0.12751753436969271</v>
      </c>
      <c r="H1015">
        <f t="shared" si="156"/>
        <v>3.6345417773743685</v>
      </c>
      <c r="K1015">
        <v>0.98699999999999999</v>
      </c>
      <c r="L1015">
        <f t="shared" si="152"/>
        <v>7.8711631233116393</v>
      </c>
      <c r="M1015">
        <f t="shared" si="153"/>
        <v>16.641590788250504</v>
      </c>
      <c r="N1015">
        <f t="shared" si="157"/>
        <v>1</v>
      </c>
      <c r="O1015">
        <f t="shared" si="158"/>
        <v>0.10106972825074356</v>
      </c>
      <c r="P1015">
        <f t="shared" si="159"/>
        <v>5.2906056042261396</v>
      </c>
    </row>
    <row r="1016" spans="3:16" x14ac:dyDescent="0.25">
      <c r="C1016">
        <v>0.98799999999999999</v>
      </c>
      <c r="D1016">
        <f t="shared" si="150"/>
        <v>0.220355703569723</v>
      </c>
      <c r="E1016">
        <f t="shared" si="151"/>
        <v>10.170620077087188</v>
      </c>
      <c r="F1016">
        <f t="shared" si="154"/>
        <v>1</v>
      </c>
      <c r="G1016">
        <f t="shared" si="155"/>
        <v>0.11801716084043778</v>
      </c>
      <c r="H1016">
        <f t="shared" si="156"/>
        <v>3.4939767669639661</v>
      </c>
      <c r="K1016">
        <v>0.98799999999999999</v>
      </c>
      <c r="L1016">
        <f t="shared" si="152"/>
        <v>7.9323557035697192</v>
      </c>
      <c r="M1016">
        <f t="shared" si="153"/>
        <v>16.629361327705897</v>
      </c>
      <c r="N1016">
        <f t="shared" si="157"/>
        <v>1</v>
      </c>
      <c r="O1016">
        <f t="shared" si="158"/>
        <v>9.3486253544441289E-2</v>
      </c>
      <c r="P1016">
        <f t="shared" si="159"/>
        <v>5.0845140036700212</v>
      </c>
    </row>
    <row r="1017" spans="3:16" x14ac:dyDescent="0.25">
      <c r="C1017">
        <v>0.98899999999999999</v>
      </c>
      <c r="D1017">
        <f t="shared" si="150"/>
        <v>0.25754828382780204</v>
      </c>
      <c r="E1017">
        <f t="shared" si="151"/>
        <v>10.163187064932774</v>
      </c>
      <c r="F1017">
        <f t="shared" si="154"/>
        <v>1</v>
      </c>
      <c r="G1017">
        <f t="shared" si="155"/>
        <v>0.10846534271516528</v>
      </c>
      <c r="H1017">
        <f t="shared" si="156"/>
        <v>3.3471518525539317</v>
      </c>
      <c r="K1017">
        <v>0.98899999999999999</v>
      </c>
      <c r="L1017">
        <f t="shared" si="152"/>
        <v>7.9935482838277991</v>
      </c>
      <c r="M1017">
        <f t="shared" si="153"/>
        <v>16.617131867161294</v>
      </c>
      <c r="N1017">
        <f t="shared" si="157"/>
        <v>1</v>
      </c>
      <c r="O1017">
        <f t="shared" si="158"/>
        <v>8.5870925542384957E-2</v>
      </c>
      <c r="P1017">
        <f t="shared" si="159"/>
        <v>4.8694413373671068</v>
      </c>
    </row>
    <row r="1018" spans="3:16" x14ac:dyDescent="0.25">
      <c r="C1018">
        <v>0.99</v>
      </c>
      <c r="D1018">
        <f t="shared" si="150"/>
        <v>0.29474086408588107</v>
      </c>
      <c r="E1018">
        <f t="shared" si="151"/>
        <v>10.155754052778363</v>
      </c>
      <c r="F1018">
        <f t="shared" si="154"/>
        <v>1</v>
      </c>
      <c r="G1018">
        <f t="shared" si="155"/>
        <v>9.8862079993874863E-2</v>
      </c>
      <c r="H1018">
        <f t="shared" si="156"/>
        <v>3.193206808087266</v>
      </c>
      <c r="K1018">
        <v>0.99</v>
      </c>
      <c r="L1018">
        <f t="shared" si="152"/>
        <v>8.0547408640858791</v>
      </c>
      <c r="M1018">
        <f t="shared" si="153"/>
        <v>16.604902406616691</v>
      </c>
      <c r="N1018">
        <f t="shared" si="157"/>
        <v>1</v>
      </c>
      <c r="O1018">
        <f t="shared" si="158"/>
        <v>7.8223744244574456E-2</v>
      </c>
      <c r="P1018">
        <f t="shared" si="159"/>
        <v>4.6441434660007834</v>
      </c>
    </row>
    <row r="1019" spans="3:16" x14ac:dyDescent="0.25">
      <c r="C1019">
        <v>0.99099999999999999</v>
      </c>
      <c r="D1019">
        <f t="shared" si="150"/>
        <v>0.3319334443439601</v>
      </c>
      <c r="E1019">
        <f t="shared" si="151"/>
        <v>10.14832104062395</v>
      </c>
      <c r="F1019">
        <f t="shared" si="154"/>
        <v>1</v>
      </c>
      <c r="G1019">
        <f t="shared" si="155"/>
        <v>8.9207372676566976E-2</v>
      </c>
      <c r="H1019">
        <f t="shared" si="156"/>
        <v>3.0310602698192759</v>
      </c>
      <c r="K1019">
        <v>0.99099999999999999</v>
      </c>
      <c r="L1019">
        <f t="shared" si="152"/>
        <v>8.115933444343959</v>
      </c>
      <c r="M1019">
        <f t="shared" si="153"/>
        <v>16.592672946072085</v>
      </c>
      <c r="N1019">
        <f t="shared" si="157"/>
        <v>1</v>
      </c>
      <c r="O1019">
        <f t="shared" si="158"/>
        <v>7.0544709651010118E-2</v>
      </c>
      <c r="P1019">
        <f t="shared" si="159"/>
        <v>4.4070560922528941</v>
      </c>
    </row>
    <row r="1020" spans="3:16" x14ac:dyDescent="0.25">
      <c r="C1020">
        <v>0.99199999999999999</v>
      </c>
      <c r="D1020">
        <f t="shared" si="150"/>
        <v>0.36912602460203914</v>
      </c>
      <c r="E1020">
        <f t="shared" si="151"/>
        <v>10.140888028469536</v>
      </c>
      <c r="F1020">
        <f t="shared" si="154"/>
        <v>1</v>
      </c>
      <c r="G1020">
        <f t="shared" si="155"/>
        <v>7.9501220763241287E-2</v>
      </c>
      <c r="H1020">
        <f t="shared" si="156"/>
        <v>2.8593208172304974</v>
      </c>
      <c r="K1020">
        <v>0.99199999999999999</v>
      </c>
      <c r="L1020">
        <f t="shared" si="152"/>
        <v>8.177126024602039</v>
      </c>
      <c r="M1020">
        <f t="shared" si="153"/>
        <v>16.580443485527482</v>
      </c>
      <c r="N1020">
        <f t="shared" si="157"/>
        <v>1</v>
      </c>
      <c r="O1020">
        <f t="shared" si="158"/>
        <v>6.2833821761691611E-2</v>
      </c>
      <c r="P1020">
        <f t="shared" si="159"/>
        <v>4.1561659550384524</v>
      </c>
    </row>
    <row r="1021" spans="3:16" x14ac:dyDescent="0.25">
      <c r="C1021">
        <v>0.99299999999999999</v>
      </c>
      <c r="D1021">
        <f t="shared" si="150"/>
        <v>0.40631860486011107</v>
      </c>
      <c r="E1021">
        <f t="shared" si="151"/>
        <v>10.133455016315127</v>
      </c>
      <c r="F1021">
        <f t="shared" si="154"/>
        <v>1</v>
      </c>
      <c r="G1021">
        <f t="shared" si="155"/>
        <v>6.9743624253899794E-2</v>
      </c>
      <c r="H1021">
        <f t="shared" si="156"/>
        <v>2.6761459800291614</v>
      </c>
      <c r="K1021">
        <v>0.99299999999999999</v>
      </c>
      <c r="L1021">
        <f t="shared" si="152"/>
        <v>8.2383186048601118</v>
      </c>
      <c r="M1021">
        <f t="shared" si="153"/>
        <v>16.568214024982883</v>
      </c>
      <c r="N1021">
        <f t="shared" si="157"/>
        <v>1</v>
      </c>
      <c r="O1021">
        <f t="shared" si="158"/>
        <v>5.5091080576619933E-2</v>
      </c>
      <c r="P1021">
        <f t="shared" si="159"/>
        <v>3.8888065672731633</v>
      </c>
    </row>
    <row r="1022" spans="3:16" x14ac:dyDescent="0.25">
      <c r="C1022">
        <v>0.99399999999999999</v>
      </c>
      <c r="D1022">
        <f t="shared" si="150"/>
        <v>0.4435111851181901</v>
      </c>
      <c r="E1022">
        <f t="shared" si="151"/>
        <v>10.126022004160713</v>
      </c>
      <c r="F1022">
        <f t="shared" si="154"/>
        <v>1</v>
      </c>
      <c r="G1022">
        <f t="shared" si="155"/>
        <v>5.9934583148538612E-2</v>
      </c>
      <c r="H1022">
        <f t="shared" si="156"/>
        <v>2.4790061908763827</v>
      </c>
      <c r="K1022">
        <v>0.99399999999999999</v>
      </c>
      <c r="L1022">
        <f t="shared" si="152"/>
        <v>8.2995111851181917</v>
      </c>
      <c r="M1022">
        <f t="shared" si="153"/>
        <v>16.555984564438276</v>
      </c>
      <c r="N1022">
        <f t="shared" si="157"/>
        <v>1</v>
      </c>
      <c r="O1022">
        <f t="shared" si="158"/>
        <v>4.731648609579342E-2</v>
      </c>
      <c r="P1022">
        <f t="shared" si="159"/>
        <v>3.6013162047827243</v>
      </c>
    </row>
    <row r="1023" spans="3:16" x14ac:dyDescent="0.25">
      <c r="C1023">
        <v>0.995</v>
      </c>
      <c r="D1023">
        <f t="shared" si="150"/>
        <v>0.48070376537626913</v>
      </c>
      <c r="E1023">
        <f t="shared" si="151"/>
        <v>10.1185889920063</v>
      </c>
      <c r="F1023">
        <f t="shared" si="154"/>
        <v>1</v>
      </c>
      <c r="G1023">
        <f t="shared" si="155"/>
        <v>5.007409744715996E-2</v>
      </c>
      <c r="H1023">
        <f t="shared" si="156"/>
        <v>2.2642611795160006</v>
      </c>
      <c r="K1023">
        <v>0.995</v>
      </c>
      <c r="L1023">
        <f t="shared" si="152"/>
        <v>8.3607037653762717</v>
      </c>
      <c r="M1023">
        <f t="shared" si="153"/>
        <v>16.543755103893673</v>
      </c>
      <c r="N1023">
        <f t="shared" si="157"/>
        <v>1</v>
      </c>
      <c r="O1023">
        <f t="shared" si="158"/>
        <v>3.9510038319212737E-2</v>
      </c>
      <c r="P1023">
        <f t="shared" si="159"/>
        <v>3.288424067417969</v>
      </c>
    </row>
    <row r="1024" spans="3:16" x14ac:dyDescent="0.25">
      <c r="C1024">
        <v>0.996</v>
      </c>
      <c r="D1024">
        <f t="shared" si="150"/>
        <v>0.51789634563434817</v>
      </c>
      <c r="E1024">
        <f t="shared" si="151"/>
        <v>10.111155979851889</v>
      </c>
      <c r="F1024">
        <f t="shared" si="154"/>
        <v>1</v>
      </c>
      <c r="G1024">
        <f t="shared" si="155"/>
        <v>4.0162167149763506E-2</v>
      </c>
      <c r="H1024">
        <f t="shared" si="156"/>
        <v>2.0263262929700181</v>
      </c>
      <c r="K1024">
        <v>0.996</v>
      </c>
      <c r="L1024">
        <f t="shared" si="152"/>
        <v>8.4218963456343516</v>
      </c>
      <c r="M1024">
        <f t="shared" si="153"/>
        <v>16.53152564334907</v>
      </c>
      <c r="N1024">
        <f t="shared" si="157"/>
        <v>1</v>
      </c>
      <c r="O1024">
        <f t="shared" si="158"/>
        <v>3.1671737246878107E-2</v>
      </c>
      <c r="P1024">
        <f t="shared" si="159"/>
        <v>2.942042065537156</v>
      </c>
    </row>
    <row r="1025" spans="3:16" x14ac:dyDescent="0.25">
      <c r="C1025">
        <v>0.997</v>
      </c>
      <c r="D1025">
        <f t="shared" si="150"/>
        <v>0.5550889258924272</v>
      </c>
      <c r="E1025">
        <f t="shared" si="151"/>
        <v>10.103722967697475</v>
      </c>
      <c r="F1025">
        <f t="shared" si="154"/>
        <v>1</v>
      </c>
      <c r="G1025">
        <f t="shared" si="155"/>
        <v>3.019879225634936E-2</v>
      </c>
      <c r="H1025">
        <f t="shared" si="156"/>
        <v>1.7558047400059291</v>
      </c>
      <c r="K1025">
        <v>0.997</v>
      </c>
      <c r="L1025">
        <f t="shared" si="152"/>
        <v>8.4830889258924316</v>
      </c>
      <c r="M1025">
        <f t="shared" si="153"/>
        <v>16.519296182804467</v>
      </c>
      <c r="N1025">
        <f t="shared" si="157"/>
        <v>1</v>
      </c>
      <c r="O1025">
        <f t="shared" si="158"/>
        <v>2.3801582878789418E-2</v>
      </c>
      <c r="P1025">
        <f t="shared" si="159"/>
        <v>2.5485576373717933</v>
      </c>
    </row>
    <row r="1026" spans="3:16" x14ac:dyDescent="0.25">
      <c r="C1026">
        <v>0.998</v>
      </c>
      <c r="D1026">
        <f t="shared" si="150"/>
        <v>0.59228150615050623</v>
      </c>
      <c r="E1026">
        <f t="shared" si="151"/>
        <v>10.096289955543062</v>
      </c>
      <c r="F1026">
        <f t="shared" si="154"/>
        <v>1</v>
      </c>
      <c r="G1026">
        <f t="shared" si="155"/>
        <v>2.0183972766917524E-2</v>
      </c>
      <c r="H1026">
        <f t="shared" si="156"/>
        <v>1.4343830361382626</v>
      </c>
      <c r="K1026">
        <v>0.998</v>
      </c>
      <c r="L1026">
        <f t="shared" si="152"/>
        <v>8.5442815061505044</v>
      </c>
      <c r="M1026">
        <f t="shared" si="153"/>
        <v>16.507066722259864</v>
      </c>
      <c r="N1026">
        <f t="shared" si="157"/>
        <v>1</v>
      </c>
      <c r="O1026">
        <f t="shared" si="158"/>
        <v>1.589957521494767E-2</v>
      </c>
      <c r="P1026">
        <f t="shared" si="159"/>
        <v>2.0814341105066352</v>
      </c>
    </row>
    <row r="1027" spans="3:16" x14ac:dyDescent="0.25">
      <c r="C1027">
        <v>0.999</v>
      </c>
      <c r="D1027">
        <f t="shared" si="150"/>
        <v>0.62947408640858526</v>
      </c>
      <c r="E1027">
        <f t="shared" si="151"/>
        <v>10.088856943388651</v>
      </c>
      <c r="F1027">
        <f t="shared" si="154"/>
        <v>1</v>
      </c>
      <c r="G1027">
        <f t="shared" si="155"/>
        <v>1.0117708681467885E-2</v>
      </c>
      <c r="H1027">
        <f t="shared" si="156"/>
        <v>1.01480605360672</v>
      </c>
      <c r="K1027">
        <v>0.999</v>
      </c>
      <c r="L1027">
        <f t="shared" si="152"/>
        <v>8.6054740864085844</v>
      </c>
      <c r="M1027">
        <f t="shared" si="153"/>
        <v>16.494837261715261</v>
      </c>
      <c r="N1027">
        <f t="shared" si="157"/>
        <v>1</v>
      </c>
      <c r="O1027">
        <f t="shared" si="158"/>
        <v>7.9657142553508642E-3</v>
      </c>
      <c r="P1027">
        <f t="shared" si="159"/>
        <v>1.4721782489576329</v>
      </c>
    </row>
    <row r="1028" spans="3:16" x14ac:dyDescent="0.25">
      <c r="C1028">
        <v>1</v>
      </c>
      <c r="D1028">
        <f t="shared" si="150"/>
        <v>0.6666666666666643</v>
      </c>
      <c r="E1028">
        <f t="shared" si="151"/>
        <v>10.081423931234237</v>
      </c>
      <c r="F1028">
        <f t="shared" si="154"/>
        <v>1</v>
      </c>
      <c r="G1028">
        <f t="shared" si="155"/>
        <v>6.6613381477509392E-16</v>
      </c>
      <c r="H1028">
        <f t="shared" si="156"/>
        <v>2.6019719930795531E-7</v>
      </c>
      <c r="K1028">
        <v>1</v>
      </c>
      <c r="L1028">
        <f t="shared" si="152"/>
        <v>8.6666666666666643</v>
      </c>
      <c r="M1028">
        <f t="shared" si="153"/>
        <v>16.482607801170658</v>
      </c>
      <c r="N1028">
        <f t="shared" si="157"/>
        <v>1</v>
      </c>
      <c r="O1028">
        <f t="shared" si="158"/>
        <v>0</v>
      </c>
      <c r="P1028">
        <f t="shared" si="159"/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psi</vt:lpstr>
      <vt:lpstr>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Brock</dc:creator>
  <cp:lastModifiedBy>Brock D Hedegaard</cp:lastModifiedBy>
  <dcterms:created xsi:type="dcterms:W3CDTF">2021-08-17T17:04:41Z</dcterms:created>
  <dcterms:modified xsi:type="dcterms:W3CDTF">2023-03-03T20:49:05Z</dcterms:modified>
</cp:coreProperties>
</file>